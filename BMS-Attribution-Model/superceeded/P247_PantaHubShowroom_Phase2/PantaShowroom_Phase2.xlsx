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backupFile="1" codeName="ThisWorkbook"/>
  <mc:AlternateContent xmlns:mc="http://schemas.openxmlformats.org/markup-compatibility/2006">
    <mc:Choice Requires="x15">
      <x15ac:absPath xmlns:x15ac="http://schemas.microsoft.com/office/spreadsheetml/2010/11/ac" url="https://d.docs.live.net/d8e42587b76b10ba/Documents/Visual Code Studio/Claude/BMS-Attribution-Model/projects/"/>
    </mc:Choice>
  </mc:AlternateContent>
  <xr:revisionPtr revIDLastSave="0" documentId="8_{6EA917DC-8043-47EF-AC91-C624900FC515}" xr6:coauthVersionLast="47" xr6:coauthVersionMax="47" xr10:uidLastSave="{00000000-0000-0000-0000-000000000000}"/>
  <bookViews>
    <workbookView xWindow="28680" yWindow="-120" windowWidth="29040" windowHeight="15720" tabRatio="811" activeTab="4" xr2:uid="{00000000-000D-0000-FFFF-FFFF00000000}"/>
  </bookViews>
  <sheets>
    <sheet name="Notes" sheetId="10" r:id="rId1"/>
    <sheet name="ML_Sum" sheetId="1" r:id="rId2"/>
    <sheet name="Quote" sheetId="18" r:id="rId3"/>
    <sheet name="Elec_Rates" sheetId="11" r:id="rId4"/>
    <sheet name="Elec_Est" sheetId="8" r:id="rId5"/>
    <sheet name="E_BOQ" sheetId="14" r:id="rId6"/>
    <sheet name="E_DBOQ" sheetId="20" r:id="rId7"/>
  </sheets>
  <externalReferences>
    <externalReference r:id="rId8"/>
  </externalReferences>
  <definedNames>
    <definedName name="_xlnm._FilterDatabase" localSheetId="5" hidden="1">E_BOQ!$E$1:$E$102</definedName>
    <definedName name="_xlnm._FilterDatabase" localSheetId="4" hidden="1">Elec_Est!$G$1:$G$13</definedName>
    <definedName name="Access_Control">[1]Elec_Est!#REF!</definedName>
    <definedName name="AREAS" localSheetId="5">#REF!</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5">E_BOQ!$A$1:$F$147</definedName>
    <definedName name="_xlnm.Print_Area" localSheetId="4">Elec_Est!$A$1:$T$13</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1" i="1" l="1"/>
  <c r="R447" i="8"/>
  <c r="T447" i="8"/>
  <c r="G24" i="1"/>
  <c r="H24" i="1"/>
  <c r="I24" i="1"/>
  <c r="J24" i="1"/>
  <c r="G25" i="1"/>
  <c r="H25" i="1"/>
  <c r="I25" i="1"/>
  <c r="J25" i="1"/>
  <c r="G26" i="1"/>
  <c r="H26" i="1"/>
  <c r="I26" i="1"/>
  <c r="J26" i="1"/>
  <c r="G27" i="1"/>
  <c r="H27" i="1"/>
  <c r="I27" i="1"/>
  <c r="J27" i="1"/>
  <c r="G28" i="1"/>
  <c r="H28" i="1"/>
  <c r="I28" i="1"/>
  <c r="J28" i="1"/>
  <c r="G29" i="1"/>
  <c r="H29" i="1"/>
  <c r="I29" i="1"/>
  <c r="J29" i="1"/>
  <c r="G30" i="1"/>
  <c r="H30" i="1"/>
  <c r="I30" i="1"/>
  <c r="J30" i="1"/>
  <c r="G31" i="1"/>
  <c r="H31" i="1"/>
  <c r="I31" i="1"/>
  <c r="J31" i="1"/>
  <c r="G32" i="1"/>
  <c r="H32" i="1"/>
  <c r="I32" i="1"/>
  <c r="J32" i="1"/>
  <c r="G23" i="1"/>
  <c r="H23" i="1"/>
  <c r="J23" i="1"/>
  <c r="D122" i="14"/>
  <c r="C122" i="14"/>
  <c r="B122" i="14"/>
  <c r="A122" i="14"/>
  <c r="B120" i="14"/>
  <c r="A120" i="14"/>
  <c r="D117" i="14"/>
  <c r="C117" i="14"/>
  <c r="B117" i="14"/>
  <c r="A117" i="14"/>
  <c r="D115" i="14"/>
  <c r="C115" i="14"/>
  <c r="B115" i="14"/>
  <c r="A115" i="14"/>
  <c r="B113" i="14"/>
  <c r="A113" i="14"/>
  <c r="D110" i="14"/>
  <c r="C110" i="14"/>
  <c r="B110" i="14"/>
  <c r="A110" i="14"/>
  <c r="D108" i="14"/>
  <c r="C108" i="14"/>
  <c r="B108" i="14"/>
  <c r="A108" i="14"/>
  <c r="B106" i="14"/>
  <c r="A106" i="14"/>
  <c r="D93" i="14"/>
  <c r="C93" i="14"/>
  <c r="B93" i="14"/>
  <c r="A93" i="14"/>
  <c r="D91" i="14"/>
  <c r="C91" i="14"/>
  <c r="B91" i="14"/>
  <c r="A91" i="14"/>
  <c r="D89" i="14"/>
  <c r="C89" i="14"/>
  <c r="B89" i="14"/>
  <c r="A89" i="14"/>
  <c r="D87" i="14"/>
  <c r="C87" i="14"/>
  <c r="B87" i="14"/>
  <c r="A87" i="14"/>
  <c r="D85" i="14"/>
  <c r="C85" i="14"/>
  <c r="B85" i="14"/>
  <c r="A85" i="14"/>
  <c r="B83" i="14"/>
  <c r="A83" i="14"/>
  <c r="D80" i="14"/>
  <c r="C80" i="14"/>
  <c r="B80" i="14"/>
  <c r="A80" i="14"/>
  <c r="D78" i="14"/>
  <c r="C78" i="14"/>
  <c r="B78" i="14"/>
  <c r="A78" i="14"/>
  <c r="D76" i="14"/>
  <c r="C76" i="14"/>
  <c r="B76" i="14"/>
  <c r="A76" i="14"/>
  <c r="B74" i="14"/>
  <c r="A74" i="14"/>
  <c r="D71" i="14"/>
  <c r="C71" i="14"/>
  <c r="B71" i="14"/>
  <c r="A71" i="14"/>
  <c r="D69" i="14"/>
  <c r="C69" i="14"/>
  <c r="B69" i="14"/>
  <c r="A69" i="14"/>
  <c r="D67" i="14"/>
  <c r="C67" i="14"/>
  <c r="B67" i="14"/>
  <c r="A67" i="14"/>
  <c r="D65" i="14"/>
  <c r="C65" i="14"/>
  <c r="B65" i="14"/>
  <c r="A65" i="14"/>
  <c r="D63" i="14"/>
  <c r="C63" i="14"/>
  <c r="B63" i="14"/>
  <c r="A63" i="14"/>
  <c r="D61" i="14"/>
  <c r="C61" i="14"/>
  <c r="B61" i="14"/>
  <c r="A61" i="14"/>
  <c r="D59" i="14"/>
  <c r="C59" i="14"/>
  <c r="B59" i="14"/>
  <c r="A59" i="14"/>
  <c r="D57" i="14"/>
  <c r="C57" i="14"/>
  <c r="B57" i="14"/>
  <c r="A57" i="14"/>
  <c r="D55" i="14"/>
  <c r="C55" i="14"/>
  <c r="B55" i="14"/>
  <c r="A55" i="14"/>
  <c r="B53" i="14"/>
  <c r="A53" i="14"/>
  <c r="D41" i="14"/>
  <c r="C41" i="14"/>
  <c r="B41" i="14"/>
  <c r="A41" i="14"/>
  <c r="B39" i="14"/>
  <c r="A39" i="14"/>
  <c r="D36" i="14"/>
  <c r="C36" i="14"/>
  <c r="B36" i="14"/>
  <c r="A36" i="14"/>
  <c r="D34" i="14"/>
  <c r="C34" i="14"/>
  <c r="B34" i="14"/>
  <c r="A34" i="14"/>
  <c r="B32" i="14"/>
  <c r="A32" i="14"/>
  <c r="D29" i="14"/>
  <c r="C29" i="14"/>
  <c r="B29" i="14"/>
  <c r="A29" i="14"/>
  <c r="D27" i="14"/>
  <c r="C27" i="14"/>
  <c r="B27" i="14"/>
  <c r="A27" i="14"/>
  <c r="D25" i="14"/>
  <c r="C25" i="14"/>
  <c r="B25" i="14"/>
  <c r="A25" i="14"/>
  <c r="B23" i="14"/>
  <c r="A23" i="14"/>
  <c r="D20" i="14"/>
  <c r="C20" i="14"/>
  <c r="B20" i="14"/>
  <c r="A20" i="14"/>
  <c r="B18" i="14"/>
  <c r="A18" i="14"/>
  <c r="D15" i="14"/>
  <c r="C15" i="14"/>
  <c r="B15" i="14"/>
  <c r="A15" i="14"/>
  <c r="D13" i="14"/>
  <c r="C13" i="14"/>
  <c r="B13" i="14"/>
  <c r="A13" i="14"/>
  <c r="B11" i="14"/>
  <c r="A11" i="14"/>
  <c r="D8" i="14"/>
  <c r="C8" i="14"/>
  <c r="B8" i="14"/>
  <c r="A8" i="14"/>
  <c r="D6" i="14"/>
  <c r="C6" i="14"/>
  <c r="B6" i="14"/>
  <c r="A6" i="14"/>
  <c r="B4" i="14"/>
  <c r="A4" i="14"/>
  <c r="D455" i="8"/>
  <c r="D110" i="8"/>
  <c r="C110" i="8"/>
  <c r="D98" i="8"/>
  <c r="C98" i="8"/>
  <c r="D87" i="8"/>
  <c r="C87" i="8"/>
  <c r="R22" i="11"/>
  <c r="Q21" i="11"/>
  <c r="R21" i="11" s="1"/>
  <c r="A237" i="8"/>
  <c r="R237" i="8" s="1"/>
  <c r="Q236" i="8"/>
  <c r="R236" i="8" s="1"/>
  <c r="R235" i="8"/>
  <c r="R234" i="8"/>
  <c r="Q140" i="8"/>
  <c r="D109" i="8"/>
  <c r="D86" i="8"/>
  <c r="D97" i="8"/>
  <c r="B455" i="8" l="1"/>
  <c r="B19" i="11" s="1"/>
  <c r="R23" i="11"/>
  <c r="R143" i="8" l="1"/>
  <c r="R142" i="8"/>
  <c r="R141" i="8"/>
  <c r="R140" i="8"/>
  <c r="R130" i="8"/>
  <c r="R129" i="8"/>
  <c r="Q128" i="8"/>
  <c r="R121" i="8"/>
  <c r="R400" i="8" s="1"/>
  <c r="R118" i="1" s="1"/>
  <c r="Q120" i="8"/>
  <c r="R120" i="8" s="1"/>
  <c r="R128" i="8" l="1"/>
  <c r="R122" i="8"/>
  <c r="S360" i="8" l="1"/>
  <c r="R359" i="8"/>
  <c r="Q349" i="8"/>
  <c r="R349" i="8" s="1"/>
  <c r="R348" i="8"/>
  <c r="R347" i="8"/>
  <c r="R346" i="8"/>
  <c r="R345" i="8"/>
  <c r="R344" i="8"/>
  <c r="Q338" i="8"/>
  <c r="R338" i="8" s="1"/>
  <c r="R337" i="8"/>
  <c r="R336" i="8"/>
  <c r="R335" i="8"/>
  <c r="R334" i="8"/>
  <c r="R333" i="8"/>
  <c r="Q313" i="8"/>
  <c r="R313" i="8" s="1"/>
  <c r="Q323" i="8"/>
  <c r="R323" i="8" s="1"/>
  <c r="R322" i="8"/>
  <c r="R321" i="8"/>
  <c r="R320" i="8"/>
  <c r="R319" i="8"/>
  <c r="R324" i="8"/>
  <c r="R312" i="8"/>
  <c r="R311" i="8"/>
  <c r="R310" i="8"/>
  <c r="R309" i="8"/>
  <c r="R360" i="8"/>
  <c r="R44" i="8"/>
  <c r="R325" i="8" l="1"/>
  <c r="AM317" i="8" s="1"/>
  <c r="R72" i="8" l="1"/>
  <c r="R71" i="8"/>
  <c r="R70" i="8"/>
  <c r="Q69" i="8"/>
  <c r="R69" i="8" s="1"/>
  <c r="R68" i="8"/>
  <c r="R67" i="8"/>
  <c r="R66" i="8"/>
  <c r="R65" i="8"/>
  <c r="R64" i="8"/>
  <c r="R63" i="8"/>
  <c r="T388" i="8" l="1"/>
  <c r="R388" i="8"/>
  <c r="F388" i="8"/>
  <c r="T379" i="8"/>
  <c r="T32" i="1" s="1"/>
  <c r="R379" i="8"/>
  <c r="R32" i="1" s="1"/>
  <c r="F379" i="8"/>
  <c r="F32" i="1" s="1"/>
  <c r="T378" i="8"/>
  <c r="T31" i="1" s="1"/>
  <c r="R378" i="8"/>
  <c r="R31" i="1" s="1"/>
  <c r="F378" i="8"/>
  <c r="F31" i="1" s="1"/>
  <c r="T377" i="8"/>
  <c r="T30" i="1" s="1"/>
  <c r="R377" i="8"/>
  <c r="R30" i="1" s="1"/>
  <c r="F377" i="8"/>
  <c r="F30" i="1" s="1"/>
  <c r="T376" i="8"/>
  <c r="T29" i="1" s="1"/>
  <c r="R376" i="8"/>
  <c r="R29" i="1" s="1"/>
  <c r="F376" i="8"/>
  <c r="F29" i="1" s="1"/>
  <c r="T375" i="8"/>
  <c r="R375" i="8"/>
  <c r="R28" i="1" s="1"/>
  <c r="F375" i="8"/>
  <c r="T374" i="8"/>
  <c r="T27" i="1" s="1"/>
  <c r="R374" i="8"/>
  <c r="R27" i="1" s="1"/>
  <c r="F374" i="8"/>
  <c r="F27" i="1" s="1"/>
  <c r="T373" i="8"/>
  <c r="T26" i="1" s="1"/>
  <c r="R373" i="8"/>
  <c r="R26" i="1" s="1"/>
  <c r="F373" i="8"/>
  <c r="F26" i="1" s="1"/>
  <c r="T372" i="8"/>
  <c r="T25" i="1" s="1"/>
  <c r="R372" i="8"/>
  <c r="R25" i="1" s="1"/>
  <c r="F372" i="8"/>
  <c r="F25" i="1" s="1"/>
  <c r="T371" i="8"/>
  <c r="T24" i="1" s="1"/>
  <c r="R371" i="8"/>
  <c r="R24" i="1" s="1"/>
  <c r="F371" i="8"/>
  <c r="F24" i="1" s="1"/>
  <c r="F365" i="8" l="1"/>
  <c r="F28" i="1"/>
  <c r="T28" i="1"/>
  <c r="A263" i="8"/>
  <c r="R34" i="8"/>
  <c r="R33" i="8"/>
  <c r="R32" i="8"/>
  <c r="R31" i="8"/>
  <c r="R30" i="8"/>
  <c r="R24" i="8"/>
  <c r="R23" i="8"/>
  <c r="R22" i="8"/>
  <c r="R21" i="8"/>
  <c r="R253" i="8"/>
  <c r="R252" i="8"/>
  <c r="R251" i="8"/>
  <c r="R245" i="8"/>
  <c r="R244" i="8"/>
  <c r="R243" i="8"/>
  <c r="R224" i="8"/>
  <c r="R223" i="8"/>
  <c r="S215" i="8"/>
  <c r="R217" i="8"/>
  <c r="R216" i="8"/>
  <c r="R215" i="8"/>
  <c r="S199" i="8"/>
  <c r="S207" i="8"/>
  <c r="R209" i="8"/>
  <c r="R208" i="8"/>
  <c r="R207" i="8"/>
  <c r="R201" i="8"/>
  <c r="R200" i="8"/>
  <c r="R199" i="8"/>
  <c r="R161" i="8"/>
  <c r="R160" i="8"/>
  <c r="R159" i="8"/>
  <c r="S191" i="8"/>
  <c r="R193" i="8"/>
  <c r="R192" i="8"/>
  <c r="R191" i="8"/>
  <c r="S183" i="8"/>
  <c r="R185" i="8"/>
  <c r="R184" i="8"/>
  <c r="R183" i="8"/>
  <c r="S175" i="8"/>
  <c r="R177" i="8"/>
  <c r="R176" i="8"/>
  <c r="R175" i="8"/>
  <c r="R169" i="8"/>
  <c r="R168" i="8"/>
  <c r="R167" i="8"/>
  <c r="R293" i="8"/>
  <c r="R287" i="8"/>
  <c r="R286" i="8"/>
  <c r="R285" i="8"/>
  <c r="R284" i="8"/>
  <c r="A269" i="8"/>
  <c r="R269" i="8" s="1"/>
  <c r="R278" i="8"/>
  <c r="R277" i="8"/>
  <c r="R276" i="8"/>
  <c r="R275" i="8"/>
  <c r="Q263" i="8"/>
  <c r="R85" i="8"/>
  <c r="R84" i="8"/>
  <c r="R83" i="8"/>
  <c r="R82" i="8"/>
  <c r="R96" i="8"/>
  <c r="R95" i="8"/>
  <c r="R94" i="8"/>
  <c r="R93" i="8"/>
  <c r="R108" i="8"/>
  <c r="R107" i="8"/>
  <c r="R106" i="8"/>
  <c r="R105" i="8"/>
  <c r="R104" i="8"/>
  <c r="R53" i="8"/>
  <c r="R52" i="8"/>
  <c r="R51" i="8"/>
  <c r="R50" i="8"/>
  <c r="R361" i="8"/>
  <c r="R350" i="8"/>
  <c r="R339" i="8"/>
  <c r="R314" i="8"/>
  <c r="R294" i="8"/>
  <c r="R288" i="8"/>
  <c r="R279" i="8"/>
  <c r="R270" i="8"/>
  <c r="R264" i="8"/>
  <c r="R254" i="8"/>
  <c r="R246" i="8"/>
  <c r="R238" i="8"/>
  <c r="R225" i="8"/>
  <c r="R218" i="8"/>
  <c r="R210" i="8"/>
  <c r="R202" i="8"/>
  <c r="R194" i="8"/>
  <c r="R186" i="8"/>
  <c r="R178" i="8"/>
  <c r="R170" i="8"/>
  <c r="R162" i="8"/>
  <c r="R144" i="8"/>
  <c r="R131" i="8"/>
  <c r="R123" i="8"/>
  <c r="R111" i="8"/>
  <c r="R99" i="8"/>
  <c r="R88" i="8"/>
  <c r="R73" i="8"/>
  <c r="R54" i="8"/>
  <c r="R45" i="8"/>
  <c r="R35" i="8"/>
  <c r="R25" i="8"/>
  <c r="R263" i="8" l="1"/>
  <c r="R362" i="8"/>
  <c r="R55" i="8"/>
  <c r="AM48" i="8" s="1"/>
  <c r="R315" i="8"/>
  <c r="AM307" i="8" s="1"/>
  <c r="R351" i="8"/>
  <c r="AM342" i="8" s="1"/>
  <c r="R36" i="8"/>
  <c r="AM28" i="8" s="1"/>
  <c r="R295" i="8"/>
  <c r="AM291" i="8" s="1"/>
  <c r="R340" i="8"/>
  <c r="AM331" i="8" s="1"/>
  <c r="R26" i="8"/>
  <c r="R74" i="8"/>
  <c r="AM61" i="8" s="1"/>
  <c r="R46" i="8"/>
  <c r="AM42" i="8" s="1"/>
  <c r="R132" i="8"/>
  <c r="AM126" i="8" s="1"/>
  <c r="R203" i="8"/>
  <c r="AM197" i="8" s="1"/>
  <c r="R255" i="8"/>
  <c r="AM249" i="8" s="1"/>
  <c r="R280" i="8"/>
  <c r="AM273" i="8" s="1"/>
  <c r="R171" i="8"/>
  <c r="AM165" i="8" s="1"/>
  <c r="R187" i="8"/>
  <c r="AM181" i="8" s="1"/>
  <c r="R219" i="8"/>
  <c r="AM213" i="8" s="1"/>
  <c r="R239" i="8"/>
  <c r="AM232" i="8" s="1"/>
  <c r="R124" i="8"/>
  <c r="R145" i="8"/>
  <c r="R163" i="8"/>
  <c r="R179" i="8"/>
  <c r="R195" i="8"/>
  <c r="R211" i="8"/>
  <c r="R226" i="8"/>
  <c r="R247" i="8"/>
  <c r="R271" i="8"/>
  <c r="R289" i="8"/>
  <c r="K111" i="20"/>
  <c r="I111" i="20"/>
  <c r="R265" i="8" l="1"/>
  <c r="AM261" i="8" s="1"/>
  <c r="R413" i="8"/>
  <c r="R131" i="1" s="1"/>
  <c r="R298" i="8"/>
  <c r="AM357" i="8"/>
  <c r="AM19" i="8"/>
  <c r="AM241" i="8"/>
  <c r="AM221" i="8"/>
  <c r="AM189" i="8"/>
  <c r="AM157" i="8"/>
  <c r="AM118" i="8"/>
  <c r="AM267" i="8"/>
  <c r="AM282" i="8"/>
  <c r="AM205" i="8"/>
  <c r="AM173" i="8"/>
  <c r="AM138" i="8"/>
  <c r="K567" i="20" l="1"/>
  <c r="K510" i="20"/>
  <c r="K453" i="20"/>
  <c r="K396" i="20"/>
  <c r="K339" i="20"/>
  <c r="K282" i="20"/>
  <c r="K225" i="20"/>
  <c r="K168" i="20"/>
  <c r="K54" i="20"/>
  <c r="F22" i="18" l="1"/>
  <c r="D7" i="18" l="1"/>
  <c r="D8" i="18"/>
  <c r="D9" i="18"/>
  <c r="D10" i="18"/>
  <c r="D6" i="18"/>
  <c r="A1" i="18" l="1"/>
  <c r="I567" i="20"/>
  <c r="I510" i="20"/>
  <c r="I453" i="20"/>
  <c r="I396" i="20"/>
  <c r="I339" i="20"/>
  <c r="I282" i="20"/>
  <c r="I225" i="20"/>
  <c r="I168" i="20"/>
  <c r="I54" i="20"/>
  <c r="P49" i="14"/>
  <c r="O49" i="14"/>
  <c r="N49" i="14"/>
  <c r="M49" i="14"/>
  <c r="L49" i="14"/>
  <c r="K49" i="14"/>
  <c r="J49" i="14"/>
  <c r="I49" i="14"/>
  <c r="H49" i="14"/>
  <c r="G49" i="14"/>
  <c r="A2" i="18" l="1"/>
  <c r="D5" i="18" s="1"/>
  <c r="S5" i="18"/>
  <c r="A31" i="1" l="1"/>
  <c r="A28" i="1"/>
  <c r="T1" i="8"/>
  <c r="T2" i="1"/>
  <c r="S2" i="8"/>
  <c r="S12" i="11"/>
  <c r="T12" i="11"/>
  <c r="F1" i="11"/>
  <c r="S12" i="8"/>
  <c r="T12" i="8"/>
  <c r="F1" i="8"/>
  <c r="O6" i="1"/>
  <c r="B18" i="1"/>
  <c r="Q1" i="1"/>
  <c r="E36" i="1" s="1"/>
  <c r="C11" i="1"/>
  <c r="S1" i="1"/>
  <c r="C2" i="1"/>
  <c r="T13" i="1"/>
  <c r="T1" i="11"/>
  <c r="R24" i="11"/>
  <c r="Q19" i="11"/>
  <c r="S2" i="11"/>
  <c r="S1" i="11"/>
  <c r="F77" i="1"/>
  <c r="T33" i="11"/>
  <c r="T34" i="11"/>
  <c r="T392" i="8" s="1"/>
  <c r="T110" i="1" s="1"/>
  <c r="S110" i="1" s="1"/>
  <c r="T35" i="11"/>
  <c r="T36" i="11"/>
  <c r="T394" i="8" s="1"/>
  <c r="T112" i="1" s="1"/>
  <c r="S112" i="1" s="1"/>
  <c r="T37" i="11"/>
  <c r="T395" i="8" s="1"/>
  <c r="T113" i="1" s="1"/>
  <c r="S113" i="1" s="1"/>
  <c r="T38" i="11"/>
  <c r="T396" i="8" s="1"/>
  <c r="T114" i="1" s="1"/>
  <c r="S114" i="1" s="1"/>
  <c r="T39" i="11"/>
  <c r="T397" i="8" s="1"/>
  <c r="T115" i="1" s="1"/>
  <c r="S115" i="1" s="1"/>
  <c r="T40" i="11"/>
  <c r="T398" i="8" s="1"/>
  <c r="T116" i="1" s="1"/>
  <c r="S116" i="1" s="1"/>
  <c r="T41" i="11"/>
  <c r="T43" i="11"/>
  <c r="T44" i="11"/>
  <c r="T45" i="11"/>
  <c r="T46" i="11"/>
  <c r="T404" i="8" s="1"/>
  <c r="T122" i="1" s="1"/>
  <c r="S122" i="1" s="1"/>
  <c r="T47" i="11"/>
  <c r="T405" i="8" s="1"/>
  <c r="T123" i="1" s="1"/>
  <c r="S123" i="1" s="1"/>
  <c r="T48" i="11"/>
  <c r="T406" i="8" s="1"/>
  <c r="T124" i="1" s="1"/>
  <c r="S124" i="1" s="1"/>
  <c r="T49" i="11"/>
  <c r="T407" i="8" s="1"/>
  <c r="T125" i="1" s="1"/>
  <c r="S125" i="1" s="1"/>
  <c r="T50" i="11"/>
  <c r="T51" i="11"/>
  <c r="T409" i="8" s="1"/>
  <c r="T127" i="1" s="1"/>
  <c r="S127" i="1" s="1"/>
  <c r="T52" i="11"/>
  <c r="T410" i="8" s="1"/>
  <c r="T128" i="1" s="1"/>
  <c r="S128" i="1" s="1"/>
  <c r="T53" i="11"/>
  <c r="T411" i="8" s="1"/>
  <c r="T129" i="1" s="1"/>
  <c r="S129" i="1" s="1"/>
  <c r="T54" i="11"/>
  <c r="T412" i="8" s="1"/>
  <c r="T130" i="1" s="1"/>
  <c r="S130" i="1" s="1"/>
  <c r="T56" i="11"/>
  <c r="T57" i="11"/>
  <c r="T415" i="8" s="1"/>
  <c r="T133" i="1" s="1"/>
  <c r="S133" i="1" s="1"/>
  <c r="T58" i="11"/>
  <c r="T59" i="11"/>
  <c r="T417" i="8" s="1"/>
  <c r="T135" i="1" s="1"/>
  <c r="S135" i="1" s="1"/>
  <c r="T60" i="11"/>
  <c r="T418" i="8" s="1"/>
  <c r="T136" i="1" s="1"/>
  <c r="S136" i="1" s="1"/>
  <c r="T61" i="11"/>
  <c r="T62" i="11"/>
  <c r="T420" i="8" s="1"/>
  <c r="T138" i="1" s="1"/>
  <c r="S138" i="1" s="1"/>
  <c r="T63" i="11"/>
  <c r="T421" i="8" s="1"/>
  <c r="T139" i="1" s="1"/>
  <c r="S139" i="1" s="1"/>
  <c r="T64" i="11"/>
  <c r="T422" i="8" s="1"/>
  <c r="T140" i="1" s="1"/>
  <c r="S140" i="1" s="1"/>
  <c r="T65" i="11"/>
  <c r="T423" i="8" s="1"/>
  <c r="T141" i="1" s="1"/>
  <c r="S141" i="1" s="1"/>
  <c r="T66" i="11"/>
  <c r="T424" i="8" s="1"/>
  <c r="T142" i="1" s="1"/>
  <c r="S142" i="1" s="1"/>
  <c r="T67" i="11"/>
  <c r="T425" i="8" s="1"/>
  <c r="T143" i="1" s="1"/>
  <c r="S143" i="1" s="1"/>
  <c r="T68" i="11"/>
  <c r="T426" i="8" s="1"/>
  <c r="T144" i="1" s="1"/>
  <c r="S144" i="1" s="1"/>
  <c r="T69" i="11"/>
  <c r="T427" i="8" s="1"/>
  <c r="T145" i="1" s="1"/>
  <c r="S145" i="1" s="1"/>
  <c r="T70" i="11"/>
  <c r="T71" i="11"/>
  <c r="T72" i="11"/>
  <c r="T430" i="8" s="1"/>
  <c r="T148" i="1" s="1"/>
  <c r="S148" i="1" s="1"/>
  <c r="T73" i="11"/>
  <c r="T431" i="8" s="1"/>
  <c r="T149" i="1" s="1"/>
  <c r="S149" i="1" s="1"/>
  <c r="T74" i="11"/>
  <c r="T432" i="8" s="1"/>
  <c r="T150" i="1" s="1"/>
  <c r="S150" i="1" s="1"/>
  <c r="T75" i="11"/>
  <c r="T433" i="8" s="1"/>
  <c r="T76" i="11"/>
  <c r="T434" i="8" s="1"/>
  <c r="T152" i="1" s="1"/>
  <c r="S152" i="1" s="1"/>
  <c r="T77" i="11"/>
  <c r="T78" i="11"/>
  <c r="T436" i="8" s="1"/>
  <c r="T154" i="1" s="1"/>
  <c r="S154" i="1" s="1"/>
  <c r="T79" i="11"/>
  <c r="T80" i="11"/>
  <c r="T438" i="8" s="1"/>
  <c r="T156" i="1" s="1"/>
  <c r="S156" i="1" s="1"/>
  <c r="T81" i="11"/>
  <c r="T439" i="8" s="1"/>
  <c r="T157" i="1" s="1"/>
  <c r="S157" i="1" s="1"/>
  <c r="T82" i="11"/>
  <c r="T83" i="11"/>
  <c r="T441" i="8" s="1"/>
  <c r="T159" i="1" s="1"/>
  <c r="S159" i="1" s="1"/>
  <c r="T84" i="11"/>
  <c r="T442" i="8" s="1"/>
  <c r="T160" i="1" s="1"/>
  <c r="S160" i="1" s="1"/>
  <c r="T85" i="11"/>
  <c r="T443" i="8" s="1"/>
  <c r="T161" i="1" s="1"/>
  <c r="S161" i="1" s="1"/>
  <c r="T86" i="11"/>
  <c r="T444" i="8" s="1"/>
  <c r="T162" i="1" s="1"/>
  <c r="S162" i="1" s="1"/>
  <c r="T87" i="11"/>
  <c r="T445" i="8" s="1"/>
  <c r="T163" i="1" s="1"/>
  <c r="S163" i="1" s="1"/>
  <c r="T88" i="11"/>
  <c r="T446" i="8" s="1"/>
  <c r="T164" i="1" s="1"/>
  <c r="S164" i="1" s="1"/>
  <c r="R33" i="11"/>
  <c r="R391" i="8" s="1"/>
  <c r="R34" i="11"/>
  <c r="R392" i="8" s="1"/>
  <c r="R110" i="1" s="1"/>
  <c r="R35" i="11"/>
  <c r="R393" i="8" s="1"/>
  <c r="R36" i="11"/>
  <c r="R394" i="8" s="1"/>
  <c r="R112" i="1" s="1"/>
  <c r="R37" i="11"/>
  <c r="R395" i="8" s="1"/>
  <c r="R113" i="1" s="1"/>
  <c r="R38" i="11"/>
  <c r="R396" i="8" s="1"/>
  <c r="R114" i="1" s="1"/>
  <c r="R39" i="11"/>
  <c r="R397" i="8" s="1"/>
  <c r="R115" i="1" s="1"/>
  <c r="R40" i="11"/>
  <c r="R398" i="8" s="1"/>
  <c r="R116" i="1" s="1"/>
  <c r="R41" i="11"/>
  <c r="R399" i="8" s="1"/>
  <c r="R117" i="1" s="1"/>
  <c r="R42" i="11"/>
  <c r="R43" i="11"/>
  <c r="R401" i="8" s="1"/>
  <c r="R119" i="1" s="1"/>
  <c r="R44" i="11"/>
  <c r="R402" i="8" s="1"/>
  <c r="R120" i="1" s="1"/>
  <c r="R45" i="11"/>
  <c r="R403" i="8" s="1"/>
  <c r="R121" i="1" s="1"/>
  <c r="R46" i="11"/>
  <c r="R404" i="8" s="1"/>
  <c r="R122" i="1" s="1"/>
  <c r="R47" i="11"/>
  <c r="R405" i="8" s="1"/>
  <c r="R123" i="1" s="1"/>
  <c r="R48" i="11"/>
  <c r="R406" i="8" s="1"/>
  <c r="R124" i="1" s="1"/>
  <c r="R49" i="11"/>
  <c r="R407" i="8" s="1"/>
  <c r="R125" i="1" s="1"/>
  <c r="R50" i="11"/>
  <c r="R408" i="8" s="1"/>
  <c r="R126" i="1" s="1"/>
  <c r="R51" i="11"/>
  <c r="R409" i="8" s="1"/>
  <c r="R127" i="1" s="1"/>
  <c r="R52" i="11"/>
  <c r="R410" i="8" s="1"/>
  <c r="R128" i="1" s="1"/>
  <c r="R53" i="11"/>
  <c r="R411" i="8" s="1"/>
  <c r="R129" i="1" s="1"/>
  <c r="R54" i="11"/>
  <c r="R412" i="8" s="1"/>
  <c r="R130" i="1" s="1"/>
  <c r="R55" i="11"/>
  <c r="R56" i="11"/>
  <c r="R414" i="8" s="1"/>
  <c r="R57" i="11"/>
  <c r="R415" i="8" s="1"/>
  <c r="R133" i="1" s="1"/>
  <c r="R58" i="11"/>
  <c r="R416" i="8" s="1"/>
  <c r="R134" i="1" s="1"/>
  <c r="R59" i="11"/>
  <c r="R417" i="8" s="1"/>
  <c r="R135" i="1" s="1"/>
  <c r="R60" i="11"/>
  <c r="R418" i="8" s="1"/>
  <c r="R136" i="1" s="1"/>
  <c r="R61" i="11"/>
  <c r="R419" i="8" s="1"/>
  <c r="R137" i="1" s="1"/>
  <c r="R62" i="11"/>
  <c r="R420" i="8" s="1"/>
  <c r="R138" i="1" s="1"/>
  <c r="R63" i="11"/>
  <c r="R421" i="8" s="1"/>
  <c r="R139" i="1" s="1"/>
  <c r="R64" i="11"/>
  <c r="R422" i="8" s="1"/>
  <c r="R140" i="1" s="1"/>
  <c r="R65" i="11"/>
  <c r="R423" i="8" s="1"/>
  <c r="R141" i="1" s="1"/>
  <c r="R66" i="11"/>
  <c r="R424" i="8" s="1"/>
  <c r="R142" i="1" s="1"/>
  <c r="R67" i="11"/>
  <c r="R425" i="8" s="1"/>
  <c r="R143" i="1" s="1"/>
  <c r="R68" i="11"/>
  <c r="R426" i="8" s="1"/>
  <c r="R144" i="1" s="1"/>
  <c r="R69" i="11"/>
  <c r="R427" i="8" s="1"/>
  <c r="R145" i="1" s="1"/>
  <c r="R70" i="11"/>
  <c r="R428" i="8" s="1"/>
  <c r="R146" i="1" s="1"/>
  <c r="R71" i="11"/>
  <c r="R429" i="8" s="1"/>
  <c r="R147" i="1" s="1"/>
  <c r="R72" i="11"/>
  <c r="R430" i="8" s="1"/>
  <c r="R148" i="1" s="1"/>
  <c r="R73" i="11"/>
  <c r="R431" i="8" s="1"/>
  <c r="R149" i="1" s="1"/>
  <c r="R74" i="11"/>
  <c r="R432" i="8" s="1"/>
  <c r="R150" i="1" s="1"/>
  <c r="R75" i="11"/>
  <c r="R433" i="8" s="1"/>
  <c r="R76" i="11"/>
  <c r="R434" i="8" s="1"/>
  <c r="R152" i="1" s="1"/>
  <c r="R77" i="11"/>
  <c r="R435" i="8" s="1"/>
  <c r="R153" i="1" s="1"/>
  <c r="R78" i="11"/>
  <c r="R436" i="8" s="1"/>
  <c r="R154" i="1" s="1"/>
  <c r="R79" i="11"/>
  <c r="R437" i="8" s="1"/>
  <c r="R155" i="1" s="1"/>
  <c r="R80" i="11"/>
  <c r="R438" i="8" s="1"/>
  <c r="R156" i="1" s="1"/>
  <c r="R81" i="11"/>
  <c r="R439" i="8" s="1"/>
  <c r="R157" i="1" s="1"/>
  <c r="R82" i="11"/>
  <c r="R440" i="8" s="1"/>
  <c r="R158" i="1" s="1"/>
  <c r="R83" i="11"/>
  <c r="R441" i="8" s="1"/>
  <c r="R159" i="1" s="1"/>
  <c r="R84" i="11"/>
  <c r="R442" i="8" s="1"/>
  <c r="R160" i="1" s="1"/>
  <c r="R85" i="11"/>
  <c r="R443" i="8" s="1"/>
  <c r="R161" i="1" s="1"/>
  <c r="R86" i="11"/>
  <c r="R444" i="8" s="1"/>
  <c r="R162" i="1" s="1"/>
  <c r="R87" i="11"/>
  <c r="R445" i="8" s="1"/>
  <c r="R163" i="1" s="1"/>
  <c r="R88" i="11"/>
  <c r="R446" i="8" s="1"/>
  <c r="R164" i="1" s="1"/>
  <c r="C3" i="1"/>
  <c r="C3" i="8" s="1"/>
  <c r="C4" i="1"/>
  <c r="C5" i="1"/>
  <c r="C6" i="1"/>
  <c r="C7" i="1"/>
  <c r="C8" i="1"/>
  <c r="C9" i="1"/>
  <c r="C10" i="1"/>
  <c r="C12" i="1"/>
  <c r="C12" i="8" s="1"/>
  <c r="F22" i="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1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8" s="1"/>
  <c r="L3" i="1"/>
  <c r="L3" i="11" s="1"/>
  <c r="K3" i="1"/>
  <c r="K3" i="11" s="1"/>
  <c r="J3" i="1"/>
  <c r="J3" i="11" s="1"/>
  <c r="F3" i="11"/>
  <c r="D3" i="11"/>
  <c r="Q2" i="11"/>
  <c r="O2" i="1"/>
  <c r="O2" i="11" s="1"/>
  <c r="N2" i="1"/>
  <c r="N2" i="11" s="1"/>
  <c r="M2" i="1"/>
  <c r="M2" i="8" s="1"/>
  <c r="L2" i="1"/>
  <c r="L2" i="11" s="1"/>
  <c r="K2" i="1"/>
  <c r="K2" i="11" s="1"/>
  <c r="J2" i="1"/>
  <c r="J2" i="11"/>
  <c r="F2" i="11"/>
  <c r="D2" i="11"/>
  <c r="U1" i="11"/>
  <c r="O1" i="1"/>
  <c r="O1" i="11" s="1"/>
  <c r="N1" i="1"/>
  <c r="N1" i="11" s="1"/>
  <c r="M1" i="1"/>
  <c r="M1" i="11" s="1"/>
  <c r="L1" i="1"/>
  <c r="L1" i="11" s="1"/>
  <c r="K1" i="1"/>
  <c r="K1" i="11" s="1"/>
  <c r="J1" i="1"/>
  <c r="J1" i="8" s="1"/>
  <c r="D1" i="11"/>
  <c r="C1" i="11"/>
  <c r="B16" i="1"/>
  <c r="S3" i="8"/>
  <c r="AH371" i="8" s="1"/>
  <c r="T3" i="8"/>
  <c r="AJ371" i="8" s="1"/>
  <c r="B14" i="1"/>
  <c r="D95" i="1"/>
  <c r="D175" i="1" s="1"/>
  <c r="C11" i="8"/>
  <c r="S11" i="8"/>
  <c r="AH379" i="8" s="1"/>
  <c r="T11" i="8"/>
  <c r="AJ379" i="8" s="1"/>
  <c r="S10" i="8"/>
  <c r="AH378" i="8" s="1"/>
  <c r="T10" i="8"/>
  <c r="AJ378" i="8" s="1"/>
  <c r="S9" i="8"/>
  <c r="AH377" i="8" s="1"/>
  <c r="T9" i="8"/>
  <c r="AJ377" i="8" s="1"/>
  <c r="S8" i="8"/>
  <c r="AH376" i="8" s="1"/>
  <c r="T8" i="8"/>
  <c r="AJ376" i="8" s="1"/>
  <c r="S7" i="8"/>
  <c r="AH375" i="8" s="1"/>
  <c r="T7" i="8"/>
  <c r="AJ375" i="8" s="1"/>
  <c r="C6" i="8"/>
  <c r="S6" i="8"/>
  <c r="AH374" i="8" s="1"/>
  <c r="T6" i="8"/>
  <c r="AJ374" i="8" s="1"/>
  <c r="S5" i="8"/>
  <c r="AH373" i="8" s="1"/>
  <c r="T5" i="8"/>
  <c r="AJ373" i="8" s="1"/>
  <c r="S4" i="8"/>
  <c r="AH372" i="8" s="1"/>
  <c r="T4" i="8"/>
  <c r="AJ372" i="8" s="1"/>
  <c r="F11" i="8"/>
  <c r="F10" i="8"/>
  <c r="F9" i="8"/>
  <c r="E377" i="8" s="1"/>
  <c r="F8" i="8"/>
  <c r="E376" i="8" s="1"/>
  <c r="F7" i="8"/>
  <c r="E375" i="8" s="1"/>
  <c r="F6" i="8"/>
  <c r="E374" i="8" s="1"/>
  <c r="F5" i="8"/>
  <c r="E373" i="8" s="1"/>
  <c r="F4" i="8"/>
  <c r="E372" i="8" s="1"/>
  <c r="D24" i="1"/>
  <c r="D25" i="1"/>
  <c r="D26" i="1"/>
  <c r="D27" i="1"/>
  <c r="D28" i="1"/>
  <c r="D29" i="1"/>
  <c r="D30" i="1"/>
  <c r="D31" i="1"/>
  <c r="D32" i="1"/>
  <c r="D23" i="1"/>
  <c r="F3" i="8"/>
  <c r="E371" i="8" s="1"/>
  <c r="F2" i="8"/>
  <c r="E370" i="8" s="1"/>
  <c r="R11" i="1"/>
  <c r="R10" i="1"/>
  <c r="R9" i="1"/>
  <c r="R8" i="1"/>
  <c r="R7" i="1"/>
  <c r="R6" i="1"/>
  <c r="R5" i="1"/>
  <c r="R4" i="1"/>
  <c r="R3" i="1"/>
  <c r="R2" i="1"/>
  <c r="U1" i="8"/>
  <c r="Q2" i="8"/>
  <c r="Q3" i="8"/>
  <c r="Q4" i="8"/>
  <c r="Q5" i="8"/>
  <c r="Q6" i="8"/>
  <c r="Q7" i="8"/>
  <c r="Q8" i="8"/>
  <c r="Q9" i="8"/>
  <c r="Q10" i="8"/>
  <c r="Q11" i="8"/>
  <c r="Q12" i="8"/>
  <c r="D8" i="8"/>
  <c r="D9" i="8"/>
  <c r="D6" i="8"/>
  <c r="D4" i="8"/>
  <c r="D2" i="8"/>
  <c r="F12" i="8"/>
  <c r="C1" i="8"/>
  <c r="N1" i="8"/>
  <c r="S1" i="8"/>
  <c r="Q1" i="8"/>
  <c r="D1" i="8"/>
  <c r="J2" i="8"/>
  <c r="J3" i="8"/>
  <c r="L4" i="8"/>
  <c r="N5" i="8"/>
  <c r="O6" i="8"/>
  <c r="M7" i="8"/>
  <c r="O7" i="8"/>
  <c r="O8" i="8"/>
  <c r="M9" i="8"/>
  <c r="O9" i="8"/>
  <c r="J10" i="8"/>
  <c r="S107" i="1"/>
  <c r="D55" i="1"/>
  <c r="D5" i="8"/>
  <c r="V1" i="1" a="1"/>
  <c r="V1" i="1" s="1"/>
  <c r="E64" i="1"/>
  <c r="E103" i="1" s="1"/>
  <c r="D3" i="8"/>
  <c r="A36" i="1"/>
  <c r="E63" i="1"/>
  <c r="E61" i="1"/>
  <c r="E101" i="1" s="1"/>
  <c r="E62" i="1"/>
  <c r="E102" i="1" s="1"/>
  <c r="E60" i="1"/>
  <c r="D51" i="1"/>
  <c r="T419" i="8" l="1"/>
  <c r="T137" i="1" s="1"/>
  <c r="S137" i="1" s="1"/>
  <c r="T2" i="8"/>
  <c r="I23" i="1"/>
  <c r="R132" i="1"/>
  <c r="R450" i="8"/>
  <c r="L10" i="8"/>
  <c r="M1" i="8"/>
  <c r="R109" i="1"/>
  <c r="R365" i="8"/>
  <c r="R390" i="8"/>
  <c r="R448" i="8"/>
  <c r="K10" i="8"/>
  <c r="R151" i="1"/>
  <c r="R169" i="1" s="1"/>
  <c r="R451" i="8"/>
  <c r="R111" i="1"/>
  <c r="R167" i="1" s="1"/>
  <c r="R449" i="8"/>
  <c r="T151" i="1"/>
  <c r="S151" i="1" s="1"/>
  <c r="T451" i="8"/>
  <c r="T22" i="11"/>
  <c r="T21" i="11"/>
  <c r="T55" i="11" s="1"/>
  <c r="T23" i="11"/>
  <c r="T93" i="11"/>
  <c r="T236" i="8"/>
  <c r="T237" i="8"/>
  <c r="T402" i="8" s="1"/>
  <c r="T120" i="1" s="1"/>
  <c r="S120" i="1" s="1"/>
  <c r="T235" i="8"/>
  <c r="T234" i="8"/>
  <c r="T359" i="8"/>
  <c r="T141" i="8"/>
  <c r="T121" i="8"/>
  <c r="T400" i="8" s="1"/>
  <c r="T118" i="1" s="1"/>
  <c r="S118" i="1" s="1"/>
  <c r="T140" i="8"/>
  <c r="T143" i="8"/>
  <c r="T142" i="8"/>
  <c r="T129" i="8"/>
  <c r="T128" i="8"/>
  <c r="T120" i="8"/>
  <c r="T130" i="8"/>
  <c r="T122" i="8"/>
  <c r="T336" i="8"/>
  <c r="T348" i="8"/>
  <c r="T344" i="8"/>
  <c r="T335" i="8"/>
  <c r="T347" i="8"/>
  <c r="T338" i="8"/>
  <c r="T349" i="8"/>
  <c r="T333" i="8"/>
  <c r="T435" i="8" s="1"/>
  <c r="T153" i="1" s="1"/>
  <c r="S153" i="1" s="1"/>
  <c r="T334" i="8"/>
  <c r="T346" i="8"/>
  <c r="T337" i="8"/>
  <c r="T345" i="8"/>
  <c r="T323" i="8"/>
  <c r="T313" i="8"/>
  <c r="T322" i="8"/>
  <c r="T321" i="8"/>
  <c r="T320" i="8"/>
  <c r="T324" i="8"/>
  <c r="B325" i="8" s="1"/>
  <c r="T319" i="8"/>
  <c r="T310" i="8"/>
  <c r="T311" i="8"/>
  <c r="T312" i="8"/>
  <c r="T309" i="8"/>
  <c r="T360" i="8"/>
  <c r="T416" i="8" s="1"/>
  <c r="T134" i="1" s="1"/>
  <c r="S134" i="1" s="1"/>
  <c r="T72" i="8"/>
  <c r="T440" i="8" s="1"/>
  <c r="T44" i="8"/>
  <c r="T393" i="8" s="1"/>
  <c r="T111" i="1" s="1"/>
  <c r="S111" i="1" s="1"/>
  <c r="B371" i="8"/>
  <c r="T69" i="8"/>
  <c r="T391" i="8" s="1"/>
  <c r="T65" i="8"/>
  <c r="T71" i="8"/>
  <c r="T63" i="8"/>
  <c r="T408" i="8" s="1"/>
  <c r="T126" i="1" s="1"/>
  <c r="S126" i="1" s="1"/>
  <c r="T66" i="8"/>
  <c r="T68" i="8"/>
  <c r="T64" i="8"/>
  <c r="T67" i="8"/>
  <c r="T70" i="8"/>
  <c r="B379" i="8"/>
  <c r="E379" i="8"/>
  <c r="E378" i="8"/>
  <c r="B374" i="8"/>
  <c r="T31" i="8"/>
  <c r="T34" i="8"/>
  <c r="T30" i="8"/>
  <c r="T21" i="8"/>
  <c r="T401" i="8" s="1"/>
  <c r="T119" i="1" s="1"/>
  <c r="S119" i="1" s="1"/>
  <c r="T33" i="8"/>
  <c r="T24" i="8"/>
  <c r="T32" i="8"/>
  <c r="T23" i="8"/>
  <c r="T22" i="8"/>
  <c r="T403" i="8" s="1"/>
  <c r="T121" i="1" s="1"/>
  <c r="S121" i="1" s="1"/>
  <c r="T243" i="8"/>
  <c r="T251" i="8"/>
  <c r="T244" i="8"/>
  <c r="T252" i="8"/>
  <c r="T245" i="8"/>
  <c r="T428" i="8" s="1"/>
  <c r="T146" i="1" s="1"/>
  <c r="S146" i="1" s="1"/>
  <c r="T253" i="8"/>
  <c r="T224" i="8"/>
  <c r="T223" i="8"/>
  <c r="T216" i="8"/>
  <c r="T217" i="8"/>
  <c r="T215" i="8"/>
  <c r="T209" i="8"/>
  <c r="T208" i="8"/>
  <c r="T201" i="8"/>
  <c r="T200" i="8"/>
  <c r="T207" i="8"/>
  <c r="T199" i="8"/>
  <c r="T161" i="8"/>
  <c r="T160" i="8"/>
  <c r="T159" i="8"/>
  <c r="T193" i="8"/>
  <c r="T192" i="8"/>
  <c r="T191" i="8"/>
  <c r="T184" i="8"/>
  <c r="T185" i="8"/>
  <c r="T183" i="8"/>
  <c r="T293" i="8"/>
  <c r="T175" i="8"/>
  <c r="T177" i="8"/>
  <c r="T167" i="8"/>
  <c r="T169" i="8"/>
  <c r="T168" i="8"/>
  <c r="T176" i="8"/>
  <c r="T286" i="8"/>
  <c r="T276" i="8"/>
  <c r="T278" i="8"/>
  <c r="T284" i="8"/>
  <c r="T287" i="8"/>
  <c r="T277" i="8"/>
  <c r="T285" i="8"/>
  <c r="T275" i="8"/>
  <c r="T263" i="8"/>
  <c r="T269" i="8"/>
  <c r="T85" i="8"/>
  <c r="T96" i="8"/>
  <c r="T108" i="8"/>
  <c r="T104" i="8"/>
  <c r="T50" i="8"/>
  <c r="T84" i="8"/>
  <c r="T95" i="8"/>
  <c r="T107" i="8"/>
  <c r="T53" i="8"/>
  <c r="T83" i="8"/>
  <c r="T94" i="8"/>
  <c r="T106" i="8"/>
  <c r="T52" i="8"/>
  <c r="T82" i="8"/>
  <c r="T414" i="8" s="1"/>
  <c r="T132" i="1" s="1"/>
  <c r="S132" i="1" s="1"/>
  <c r="T93" i="8"/>
  <c r="T105" i="8"/>
  <c r="T51" i="8"/>
  <c r="T437" i="8" s="1"/>
  <c r="T155" i="1" s="1"/>
  <c r="S155" i="1" s="1"/>
  <c r="K6" i="8"/>
  <c r="O2" i="8"/>
  <c r="O5" i="8"/>
  <c r="M5" i="8"/>
  <c r="J1" i="11"/>
  <c r="M3" i="11"/>
  <c r="C10" i="11"/>
  <c r="J4" i="8"/>
  <c r="K1" i="8"/>
  <c r="T361" i="8"/>
  <c r="B362" i="8" s="1"/>
  <c r="T339" i="8"/>
  <c r="B340" i="8" s="1"/>
  <c r="T314" i="8"/>
  <c r="B315" i="8" s="1"/>
  <c r="T294" i="8"/>
  <c r="B295" i="8" s="1"/>
  <c r="T288" i="8"/>
  <c r="B289" i="8" s="1"/>
  <c r="T279" i="8"/>
  <c r="B280" i="8" s="1"/>
  <c r="T270" i="8"/>
  <c r="B271" i="8" s="1"/>
  <c r="T264" i="8"/>
  <c r="B265" i="8" s="1"/>
  <c r="T254" i="8"/>
  <c r="B255" i="8" s="1"/>
  <c r="T246" i="8"/>
  <c r="B247" i="8" s="1"/>
  <c r="T238" i="8"/>
  <c r="B239" i="8" s="1"/>
  <c r="T225" i="8"/>
  <c r="B226" i="8" s="1"/>
  <c r="T218" i="8"/>
  <c r="B219" i="8" s="1"/>
  <c r="T210" i="8"/>
  <c r="B211" i="8" s="1"/>
  <c r="T202" i="8"/>
  <c r="B203" i="8" s="1"/>
  <c r="T194" i="8"/>
  <c r="B195" i="8" s="1"/>
  <c r="T186" i="8"/>
  <c r="B187" i="8" s="1"/>
  <c r="T178" i="8"/>
  <c r="B179" i="8" s="1"/>
  <c r="T170" i="8"/>
  <c r="B171" i="8" s="1"/>
  <c r="T162" i="8"/>
  <c r="B163" i="8" s="1"/>
  <c r="T144" i="8"/>
  <c r="B145" i="8" s="1"/>
  <c r="T131" i="8"/>
  <c r="B132" i="8" s="1"/>
  <c r="T123" i="8"/>
  <c r="B124" i="8" s="1"/>
  <c r="T111" i="8"/>
  <c r="B112" i="8" s="1"/>
  <c r="T99" i="8"/>
  <c r="B100" i="8" s="1"/>
  <c r="T350" i="8"/>
  <c r="B351" i="8" s="1"/>
  <c r="T88" i="8"/>
  <c r="B89" i="8" s="1"/>
  <c r="T73" i="8"/>
  <c r="B74" i="8" s="1"/>
  <c r="T54" i="8"/>
  <c r="B55" i="8" s="1"/>
  <c r="T45" i="8"/>
  <c r="B46" i="8" s="1"/>
  <c r="T35" i="8"/>
  <c r="B36" i="8" s="1"/>
  <c r="T25" i="8"/>
  <c r="B26" i="8" s="1"/>
  <c r="K7" i="8"/>
  <c r="J5" i="8"/>
  <c r="O1" i="8"/>
  <c r="J7" i="8"/>
  <c r="N4" i="8"/>
  <c r="C10" i="8"/>
  <c r="B378" i="8" s="1"/>
  <c r="L9" i="8"/>
  <c r="M6" i="8"/>
  <c r="O10" i="8"/>
  <c r="J9" i="8"/>
  <c r="N10" i="8"/>
  <c r="K3" i="8"/>
  <c r="R93" i="11"/>
  <c r="K9" i="8"/>
  <c r="O4" i="8"/>
  <c r="O3" i="8"/>
  <c r="C8" i="8"/>
  <c r="B376" i="8" s="1"/>
  <c r="N9" i="8"/>
  <c r="L7" i="8"/>
  <c r="N2" i="8"/>
  <c r="T90" i="11"/>
  <c r="R91" i="11"/>
  <c r="L6" i="8"/>
  <c r="K2" i="8"/>
  <c r="R29" i="11"/>
  <c r="M10" i="8"/>
  <c r="J6" i="8"/>
  <c r="L3" i="8"/>
  <c r="M2" i="11"/>
  <c r="C4" i="11"/>
  <c r="L5" i="11"/>
  <c r="M4" i="8"/>
  <c r="N3" i="11"/>
  <c r="E22" i="1"/>
  <c r="M8" i="8"/>
  <c r="K4" i="8"/>
  <c r="L8" i="8"/>
  <c r="N6" i="8"/>
  <c r="C7" i="11"/>
  <c r="C8" i="11"/>
  <c r="K5" i="8"/>
  <c r="C4" i="8"/>
  <c r="B372" i="8" s="1"/>
  <c r="N7" i="8"/>
  <c r="L2" i="8"/>
  <c r="L1" i="8"/>
  <c r="Q1" i="11"/>
  <c r="T2" i="11"/>
  <c r="E28" i="1"/>
  <c r="B28" i="1"/>
  <c r="A24" i="1"/>
  <c r="E24" i="1"/>
  <c r="B24" i="1"/>
  <c r="R32" i="11"/>
  <c r="R90" i="11"/>
  <c r="J8" i="11"/>
  <c r="J8" i="8"/>
  <c r="N8" i="11"/>
  <c r="N8" i="8"/>
  <c r="C9" i="8"/>
  <c r="B377" i="8" s="1"/>
  <c r="C9" i="11"/>
  <c r="C5" i="8"/>
  <c r="B373" i="8" s="1"/>
  <c r="C5" i="11"/>
  <c r="R92" i="11"/>
  <c r="B27" i="1"/>
  <c r="E27" i="1"/>
  <c r="B30" i="1"/>
  <c r="E30" i="1"/>
  <c r="A30" i="1"/>
  <c r="K8" i="8"/>
  <c r="C3" i="11"/>
  <c r="T24" i="11"/>
  <c r="E25" i="1"/>
  <c r="A25" i="1"/>
  <c r="B25" i="1"/>
  <c r="T92" i="11"/>
  <c r="B26" i="1"/>
  <c r="E26" i="1"/>
  <c r="A26" i="1"/>
  <c r="B31" i="1"/>
  <c r="E31" i="1"/>
  <c r="C7" i="8"/>
  <c r="B375" i="8" s="1"/>
  <c r="R25" i="11"/>
  <c r="C2" i="8"/>
  <c r="C2" i="11"/>
  <c r="A27" i="1"/>
  <c r="E29" i="1"/>
  <c r="A29" i="1"/>
  <c r="B29" i="1"/>
  <c r="T109" i="1" l="1"/>
  <c r="S109" i="1" s="1"/>
  <c r="T429" i="8"/>
  <c r="T413" i="8"/>
  <c r="T131" i="1" s="1"/>
  <c r="S131" i="1" s="1"/>
  <c r="T399" i="8"/>
  <c r="T158" i="1"/>
  <c r="S158" i="1" s="1"/>
  <c r="R452" i="8"/>
  <c r="T42" i="11"/>
  <c r="T325" i="8"/>
  <c r="AN317" i="8" s="1"/>
  <c r="AO317" i="8" s="1"/>
  <c r="B388" i="8"/>
  <c r="T351" i="8"/>
  <c r="E342" i="8" s="1"/>
  <c r="E117" i="14" s="1"/>
  <c r="F117" i="14" s="1"/>
  <c r="T26" i="8"/>
  <c r="T36" i="8"/>
  <c r="T46" i="8"/>
  <c r="T55" i="8"/>
  <c r="T74" i="8"/>
  <c r="T124" i="8"/>
  <c r="T132" i="8"/>
  <c r="T145" i="8"/>
  <c r="T163" i="8"/>
  <c r="T171" i="8"/>
  <c r="T179" i="8"/>
  <c r="T187" i="8"/>
  <c r="T195" i="8"/>
  <c r="T203" i="8"/>
  <c r="T211" i="8"/>
  <c r="T219" i="8"/>
  <c r="T226" i="8"/>
  <c r="T239" i="8"/>
  <c r="T247" i="8"/>
  <c r="T255" i="8"/>
  <c r="T265" i="8"/>
  <c r="T271" i="8"/>
  <c r="T280" i="8"/>
  <c r="T289" i="8"/>
  <c r="T295" i="8"/>
  <c r="T315" i="8"/>
  <c r="T340" i="8"/>
  <c r="T362" i="8"/>
  <c r="R94" i="11"/>
  <c r="A32" i="1"/>
  <c r="B32" i="1"/>
  <c r="E32" i="1"/>
  <c r="T169" i="1"/>
  <c r="R19" i="11"/>
  <c r="R30" i="11"/>
  <c r="R166" i="1"/>
  <c r="T25" i="11"/>
  <c r="T29" i="11"/>
  <c r="R168" i="1"/>
  <c r="T147" i="1" l="1"/>
  <c r="S147" i="1" s="1"/>
  <c r="T450" i="8"/>
  <c r="T449" i="8"/>
  <c r="T117" i="1"/>
  <c r="T390" i="8"/>
  <c r="T448" i="8"/>
  <c r="T452" i="8" s="1"/>
  <c r="T167" i="1"/>
  <c r="T168" i="1"/>
  <c r="Q87" i="8"/>
  <c r="R87" i="8" s="1"/>
  <c r="Q110" i="8"/>
  <c r="R110" i="8" s="1"/>
  <c r="R112" i="8" s="1"/>
  <c r="AM102" i="8" s="1"/>
  <c r="Q98" i="8"/>
  <c r="R98" i="8" s="1"/>
  <c r="R100" i="8" s="1"/>
  <c r="AM91" i="8" s="1"/>
  <c r="T91" i="11"/>
  <c r="T94" i="11" s="1"/>
  <c r="T32" i="11"/>
  <c r="E317" i="8"/>
  <c r="E110" i="14" s="1"/>
  <c r="F110" i="14" s="1"/>
  <c r="AN342" i="8"/>
  <c r="AO342" i="8" s="1"/>
  <c r="AN331" i="8"/>
  <c r="AO331" i="8" s="1"/>
  <c r="E331" i="8"/>
  <c r="E115" i="14" s="1"/>
  <c r="F115" i="14" s="1"/>
  <c r="AN282" i="8"/>
  <c r="AO282" i="8" s="1"/>
  <c r="E282" i="8"/>
  <c r="E91" i="14" s="1"/>
  <c r="F91" i="14" s="1"/>
  <c r="AN267" i="8"/>
  <c r="AO267" i="8" s="1"/>
  <c r="E267" i="8"/>
  <c r="E87" i="14" s="1"/>
  <c r="F87" i="14" s="1"/>
  <c r="AN241" i="8"/>
  <c r="AO241" i="8" s="1"/>
  <c r="E241" i="8"/>
  <c r="E78" i="14" s="1"/>
  <c r="F78" i="14" s="1"/>
  <c r="AN221" i="8"/>
  <c r="AO221" i="8" s="1"/>
  <c r="E221" i="8"/>
  <c r="E71" i="14" s="1"/>
  <c r="F71" i="14" s="1"/>
  <c r="AN205" i="8"/>
  <c r="AO205" i="8" s="1"/>
  <c r="E205" i="8"/>
  <c r="E67" i="14" s="1"/>
  <c r="F67" i="14" s="1"/>
  <c r="AN189" i="8"/>
  <c r="AO189" i="8" s="1"/>
  <c r="E189" i="8"/>
  <c r="E63" i="14" s="1"/>
  <c r="F63" i="14" s="1"/>
  <c r="AN173" i="8"/>
  <c r="AO173" i="8" s="1"/>
  <c r="E173" i="8"/>
  <c r="E59" i="14" s="1"/>
  <c r="F59" i="14" s="1"/>
  <c r="AN157" i="8"/>
  <c r="AO157" i="8" s="1"/>
  <c r="E157" i="8"/>
  <c r="E55" i="14" s="1"/>
  <c r="F55" i="14" s="1"/>
  <c r="AN138" i="8"/>
  <c r="AO138" i="8" s="1"/>
  <c r="E138" i="8"/>
  <c r="E41" i="14" s="1"/>
  <c r="F41" i="14" s="1"/>
  <c r="AN118" i="8"/>
  <c r="AO118" i="8" s="1"/>
  <c r="E118" i="8"/>
  <c r="E34" i="14" s="1"/>
  <c r="F34" i="14" s="1"/>
  <c r="AN61" i="8"/>
  <c r="AO61" i="8" s="1"/>
  <c r="E61" i="8"/>
  <c r="E20" i="14" s="1"/>
  <c r="F20" i="14" s="1"/>
  <c r="AN42" i="8"/>
  <c r="AO42" i="8" s="1"/>
  <c r="E42" i="8"/>
  <c r="E13" i="14" s="1"/>
  <c r="F13" i="14" s="1"/>
  <c r="AN19" i="8"/>
  <c r="AO19" i="8" s="1"/>
  <c r="E19" i="8"/>
  <c r="E6" i="14" s="1"/>
  <c r="F6" i="14" s="1"/>
  <c r="AG342" i="8"/>
  <c r="AI342" i="8" s="1"/>
  <c r="AJ342" i="8" s="1"/>
  <c r="F342" i="8"/>
  <c r="T342" i="8" s="1"/>
  <c r="AN357" i="8"/>
  <c r="AO357" i="8" s="1"/>
  <c r="E357" i="8"/>
  <c r="E122" i="14" s="1"/>
  <c r="F122" i="14" s="1"/>
  <c r="AN307" i="8"/>
  <c r="AO307" i="8" s="1"/>
  <c r="E307" i="8"/>
  <c r="E108" i="14" s="1"/>
  <c r="F108" i="14" s="1"/>
  <c r="AN291" i="8"/>
  <c r="AO291" i="8" s="1"/>
  <c r="E291" i="8"/>
  <c r="E93" i="14" s="1"/>
  <c r="F93" i="14" s="1"/>
  <c r="AN273" i="8"/>
  <c r="AO273" i="8" s="1"/>
  <c r="E273" i="8"/>
  <c r="E89" i="14" s="1"/>
  <c r="F89" i="14" s="1"/>
  <c r="AN261" i="8"/>
  <c r="AO261" i="8" s="1"/>
  <c r="E261" i="8"/>
  <c r="E85" i="14" s="1"/>
  <c r="F85" i="14" s="1"/>
  <c r="AN249" i="8"/>
  <c r="AO249" i="8" s="1"/>
  <c r="E249" i="8"/>
  <c r="E80" i="14" s="1"/>
  <c r="F80" i="14" s="1"/>
  <c r="AN232" i="8"/>
  <c r="AO232" i="8" s="1"/>
  <c r="E232" i="8"/>
  <c r="E76" i="14" s="1"/>
  <c r="F76" i="14" s="1"/>
  <c r="AN213" i="8"/>
  <c r="AO213" i="8" s="1"/>
  <c r="E213" i="8"/>
  <c r="E69" i="14" s="1"/>
  <c r="F69" i="14" s="1"/>
  <c r="AN197" i="8"/>
  <c r="AO197" i="8" s="1"/>
  <c r="E197" i="8"/>
  <c r="E65" i="14" s="1"/>
  <c r="F65" i="14" s="1"/>
  <c r="AN181" i="8"/>
  <c r="AO181" i="8" s="1"/>
  <c r="E181" i="8"/>
  <c r="E61" i="14" s="1"/>
  <c r="F61" i="14" s="1"/>
  <c r="AN165" i="8"/>
  <c r="AO165" i="8" s="1"/>
  <c r="E165" i="8"/>
  <c r="E57" i="14" s="1"/>
  <c r="F57" i="14" s="1"/>
  <c r="AN126" i="8"/>
  <c r="AO126" i="8" s="1"/>
  <c r="E126" i="8"/>
  <c r="E36" i="14" s="1"/>
  <c r="F36" i="14" s="1"/>
  <c r="AN48" i="8"/>
  <c r="AO48" i="8" s="1"/>
  <c r="E48" i="8"/>
  <c r="E15" i="14" s="1"/>
  <c r="F15" i="14" s="1"/>
  <c r="AN28" i="8"/>
  <c r="AO28" i="8" s="1"/>
  <c r="E28" i="8"/>
  <c r="E8" i="14" s="1"/>
  <c r="F8" i="14" s="1"/>
  <c r="T166" i="1"/>
  <c r="R170" i="1"/>
  <c r="T19" i="11"/>
  <c r="T30" i="11"/>
  <c r="E25" i="11"/>
  <c r="F25" i="11" s="1"/>
  <c r="R165" i="1"/>
  <c r="B25" i="11"/>
  <c r="S117" i="1" l="1"/>
  <c r="S165" i="1" s="1"/>
  <c r="F83" i="1" s="1"/>
  <c r="T165" i="1"/>
  <c r="F146" i="14"/>
  <c r="T170" i="1"/>
  <c r="F317" i="8"/>
  <c r="T317" i="8" s="1"/>
  <c r="F102" i="14"/>
  <c r="S87" i="8"/>
  <c r="T87" i="8" s="1"/>
  <c r="S110" i="8"/>
  <c r="T110" i="8" s="1"/>
  <c r="T112" i="8" s="1"/>
  <c r="AN102" i="8" s="1"/>
  <c r="AO102" i="8" s="1"/>
  <c r="S98" i="8"/>
  <c r="T98" i="8" s="1"/>
  <c r="T100" i="8" s="1"/>
  <c r="R89" i="8"/>
  <c r="R148" i="8" s="1"/>
  <c r="R386" i="8" s="1"/>
  <c r="R382" i="8"/>
  <c r="AG317" i="8"/>
  <c r="AI317" i="8" s="1"/>
  <c r="AJ317" i="8" s="1"/>
  <c r="AG48" i="8"/>
  <c r="AI48" i="8" s="1"/>
  <c r="AJ48" i="8" s="1"/>
  <c r="F48" i="8"/>
  <c r="T48" i="8" s="1"/>
  <c r="AG28" i="8"/>
  <c r="F28" i="8"/>
  <c r="T28" i="8" s="1"/>
  <c r="F126" i="8"/>
  <c r="T126" i="8" s="1"/>
  <c r="AG126" i="8"/>
  <c r="F165" i="8"/>
  <c r="T165" i="8" s="1"/>
  <c r="AG165" i="8"/>
  <c r="F197" i="8"/>
  <c r="T197" i="8" s="1"/>
  <c r="AG197" i="8"/>
  <c r="F249" i="8"/>
  <c r="T249" i="8" s="1"/>
  <c r="AG249" i="8"/>
  <c r="AG261" i="8"/>
  <c r="AI261" i="8" s="1"/>
  <c r="AJ261" i="8" s="1"/>
  <c r="F261" i="8"/>
  <c r="T261" i="8" s="1"/>
  <c r="F291" i="8"/>
  <c r="T291" i="8" s="1"/>
  <c r="AG291" i="8"/>
  <c r="AG307" i="8"/>
  <c r="F307" i="8"/>
  <c r="T307" i="8" s="1"/>
  <c r="AK342" i="8"/>
  <c r="AH342" i="8"/>
  <c r="AG42" i="8"/>
  <c r="F42" i="8"/>
  <c r="T42" i="8" s="1"/>
  <c r="AG61" i="8"/>
  <c r="AI61" i="8" s="1"/>
  <c r="AJ61" i="8" s="1"/>
  <c r="F61" i="8"/>
  <c r="T61" i="8" s="1"/>
  <c r="AG138" i="8"/>
  <c r="F138" i="8"/>
  <c r="T138" i="8" s="1"/>
  <c r="AG173" i="8"/>
  <c r="AI173" i="8" s="1"/>
  <c r="AJ173" i="8" s="1"/>
  <c r="F173" i="8"/>
  <c r="T173" i="8" s="1"/>
  <c r="AG205" i="8"/>
  <c r="AI205" i="8" s="1"/>
  <c r="AJ205" i="8" s="1"/>
  <c r="F205" i="8"/>
  <c r="T205" i="8" s="1"/>
  <c r="AG267" i="8"/>
  <c r="AI267" i="8" s="1"/>
  <c r="AJ267" i="8" s="1"/>
  <c r="F267" i="8"/>
  <c r="T267" i="8" s="1"/>
  <c r="F181" i="8"/>
  <c r="T181" i="8" s="1"/>
  <c r="AG181" i="8"/>
  <c r="F213" i="8"/>
  <c r="T213" i="8" s="1"/>
  <c r="AG213" i="8"/>
  <c r="F232" i="8"/>
  <c r="T232" i="8" s="1"/>
  <c r="AG232" i="8"/>
  <c r="F273" i="8"/>
  <c r="T273" i="8" s="1"/>
  <c r="AG273" i="8"/>
  <c r="AG357" i="8"/>
  <c r="AI357" i="8" s="1"/>
  <c r="AJ357" i="8" s="1"/>
  <c r="F357" i="8"/>
  <c r="T357" i="8" s="1"/>
  <c r="AG19" i="8"/>
  <c r="AI19" i="8" s="1"/>
  <c r="AJ19" i="8" s="1"/>
  <c r="F19" i="8"/>
  <c r="AG118" i="8"/>
  <c r="F118" i="8"/>
  <c r="T118" i="8" s="1"/>
  <c r="AG157" i="8"/>
  <c r="AI157" i="8" s="1"/>
  <c r="AJ157" i="8" s="1"/>
  <c r="F157" i="8"/>
  <c r="AG189" i="8"/>
  <c r="F189" i="8"/>
  <c r="T189" i="8" s="1"/>
  <c r="AG221" i="8"/>
  <c r="AI221" i="8" s="1"/>
  <c r="AJ221" i="8" s="1"/>
  <c r="F221" i="8"/>
  <c r="T221" i="8" s="1"/>
  <c r="AG241" i="8"/>
  <c r="F241" i="8"/>
  <c r="T241" i="8" s="1"/>
  <c r="AG282" i="8"/>
  <c r="AI282" i="8" s="1"/>
  <c r="AJ282" i="8" s="1"/>
  <c r="F282" i="8"/>
  <c r="T282" i="8" s="1"/>
  <c r="AG331" i="8"/>
  <c r="F331" i="8"/>
  <c r="T331" i="8" s="1"/>
  <c r="D83" i="1"/>
  <c r="R37" i="1"/>
  <c r="T37" i="1" l="1"/>
  <c r="E83" i="1"/>
  <c r="T365" i="8"/>
  <c r="B365" i="8" s="1"/>
  <c r="T157" i="8"/>
  <c r="T298" i="8" s="1"/>
  <c r="F298" i="8"/>
  <c r="AM80" i="8"/>
  <c r="R370" i="8"/>
  <c r="R23" i="1" s="1"/>
  <c r="R35" i="1" s="1"/>
  <c r="R39" i="1" s="1"/>
  <c r="R384" i="8"/>
  <c r="AN91" i="8"/>
  <c r="AO91" i="8" s="1"/>
  <c r="E91" i="8"/>
  <c r="E27" i="14" s="1"/>
  <c r="F27" i="14" s="1"/>
  <c r="T89" i="8"/>
  <c r="AN80" i="8" s="1"/>
  <c r="T382" i="8"/>
  <c r="E102" i="8"/>
  <c r="E29" i="14" s="1"/>
  <c r="F29" i="14" s="1"/>
  <c r="AK317" i="8"/>
  <c r="AH317" i="8"/>
  <c r="T19" i="8"/>
  <c r="AH331" i="8"/>
  <c r="AH241" i="8"/>
  <c r="AH189" i="8"/>
  <c r="AH118" i="8"/>
  <c r="AH138" i="8"/>
  <c r="AH42" i="8"/>
  <c r="AH307" i="8"/>
  <c r="AH291" i="8"/>
  <c r="AI291" i="8"/>
  <c r="AJ291" i="8" s="1"/>
  <c r="AH249" i="8"/>
  <c r="AI249" i="8"/>
  <c r="AJ249" i="8" s="1"/>
  <c r="AH197" i="8"/>
  <c r="AI197" i="8"/>
  <c r="AJ197" i="8" s="1"/>
  <c r="AH126" i="8"/>
  <c r="AI126" i="8"/>
  <c r="AJ126" i="8" s="1"/>
  <c r="AH28" i="8"/>
  <c r="AI331" i="8"/>
  <c r="AJ331" i="8" s="1"/>
  <c r="AI241" i="8"/>
  <c r="AJ241" i="8" s="1"/>
  <c r="AH221" i="8"/>
  <c r="AK221" i="8"/>
  <c r="AI189" i="8"/>
  <c r="AJ189" i="8" s="1"/>
  <c r="AH157" i="8"/>
  <c r="AK157" i="8"/>
  <c r="AI118" i="8"/>
  <c r="AJ118" i="8" s="1"/>
  <c r="AK357" i="8"/>
  <c r="AH357" i="8"/>
  <c r="AH213" i="8"/>
  <c r="AI213" i="8"/>
  <c r="AJ213" i="8" s="1"/>
  <c r="AH267" i="8"/>
  <c r="AK267" i="8"/>
  <c r="AH173" i="8"/>
  <c r="AK173" i="8"/>
  <c r="AI138" i="8"/>
  <c r="AJ138" i="8" s="1"/>
  <c r="AK61" i="8"/>
  <c r="AH61" i="8"/>
  <c r="AI42" i="8"/>
  <c r="AJ42" i="8" s="1"/>
  <c r="AI307" i="8"/>
  <c r="AJ307" i="8" s="1"/>
  <c r="AH261" i="8"/>
  <c r="AK261" i="8"/>
  <c r="AH165" i="8"/>
  <c r="AI165" i="8"/>
  <c r="AJ165" i="8" s="1"/>
  <c r="AI28" i="8"/>
  <c r="AJ28" i="8" s="1"/>
  <c r="AK48" i="8"/>
  <c r="AH48" i="8"/>
  <c r="AH282" i="8"/>
  <c r="AK282" i="8"/>
  <c r="AK19" i="8"/>
  <c r="AH19" i="8"/>
  <c r="AH273" i="8"/>
  <c r="AI273" i="8"/>
  <c r="AJ273" i="8" s="1"/>
  <c r="AH232" i="8"/>
  <c r="AI232" i="8"/>
  <c r="AJ232" i="8" s="1"/>
  <c r="AH181" i="8"/>
  <c r="AI181" i="8"/>
  <c r="AJ181" i="8" s="1"/>
  <c r="AH205" i="8"/>
  <c r="AK205" i="8"/>
  <c r="B298" i="8" l="1"/>
  <c r="AO80" i="8"/>
  <c r="E80" i="8"/>
  <c r="E25" i="14" s="1"/>
  <c r="F25" i="14" s="1"/>
  <c r="F49" i="14" s="1"/>
  <c r="F147" i="14" s="1"/>
  <c r="AG91" i="8"/>
  <c r="AH91" i="8" s="1"/>
  <c r="F91" i="8"/>
  <c r="T91" i="8" s="1"/>
  <c r="R380" i="8"/>
  <c r="AH370" i="8"/>
  <c r="AH380" i="8" s="1"/>
  <c r="AG102" i="8"/>
  <c r="F102" i="8"/>
  <c r="T102" i="8" s="1"/>
  <c r="AK126" i="8"/>
  <c r="AK273" i="8"/>
  <c r="AK181" i="8"/>
  <c r="AK42" i="8"/>
  <c r="AK249" i="8"/>
  <c r="AK213" i="8"/>
  <c r="AK232" i="8"/>
  <c r="AK165" i="8"/>
  <c r="AK197" i="8"/>
  <c r="AK291" i="8"/>
  <c r="AK138" i="8"/>
  <c r="AK118" i="8"/>
  <c r="AK189" i="8"/>
  <c r="AK241" i="8"/>
  <c r="AK28" i="8"/>
  <c r="AK307" i="8"/>
  <c r="AK331" i="8"/>
  <c r="AI91" i="8" l="1"/>
  <c r="AJ91" i="8" s="1"/>
  <c r="AG80" i="8"/>
  <c r="AH80" i="8" s="1"/>
  <c r="B35" i="1"/>
  <c r="F80" i="8"/>
  <c r="AI102" i="8"/>
  <c r="AJ102" i="8" s="1"/>
  <c r="AH102" i="8"/>
  <c r="F384" i="8" l="1"/>
  <c r="F370" i="8"/>
  <c r="AH369" i="8"/>
  <c r="AH381" i="8" s="1"/>
  <c r="AI80" i="8"/>
  <c r="AJ80" i="8" s="1"/>
  <c r="AJ369" i="8" s="1"/>
  <c r="AK91" i="8"/>
  <c r="AK102" i="8"/>
  <c r="T80" i="8"/>
  <c r="T148" i="8" s="1"/>
  <c r="T386" i="8" s="1"/>
  <c r="F148" i="8"/>
  <c r="AK80" i="8" l="1"/>
  <c r="AK369" i="8" s="1"/>
  <c r="F23" i="1"/>
  <c r="F380" i="8"/>
  <c r="T370" i="8"/>
  <c r="T384" i="8"/>
  <c r="B384" i="8" s="1"/>
  <c r="B148" i="8"/>
  <c r="F386" i="8"/>
  <c r="B386" i="8" s="1"/>
  <c r="T380" i="8" l="1"/>
  <c r="T23" i="1"/>
  <c r="T35" i="1" s="1"/>
  <c r="T39" i="1" s="1"/>
  <c r="F35" i="1"/>
  <c r="E23" i="1"/>
  <c r="E35" i="1" s="1"/>
  <c r="C72" i="1"/>
  <c r="B370" i="8"/>
  <c r="AJ370" i="8"/>
  <c r="AJ380" i="8" s="1"/>
  <c r="AK380" i="8" s="1"/>
  <c r="AK381" i="8" s="1"/>
  <c r="A23" i="1" l="1"/>
  <c r="B19" i="1" s="1"/>
  <c r="Q16" i="1"/>
  <c r="B23" i="1"/>
  <c r="AJ381" i="8"/>
  <c r="E22" i="18"/>
  <c r="F75" i="1"/>
  <c r="R83" i="1" s="1"/>
  <c r="Q19" i="1" s="1"/>
  <c r="F72" i="1"/>
  <c r="Q15" i="1"/>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369" authorId="0" shapeId="0" xr:uid="{75984273-A7C6-4300-B172-E493646F0D5C}">
      <text>
        <r>
          <rPr>
            <b/>
            <sz val="10"/>
            <color indexed="81"/>
            <rFont val="Tahoma"/>
            <family val="2"/>
          </rPr>
          <t>Michael Vella:</t>
        </r>
        <r>
          <rPr>
            <sz val="10"/>
            <color indexed="81"/>
            <rFont val="Tahoma"/>
            <family val="2"/>
          </rPr>
          <t xml:space="preserve">
This cell should be exactly equal to the MU SUMMARY TOTAL.</t>
        </r>
      </text>
    </comment>
    <comment ref="AH381" authorId="0" shapeId="0" xr:uid="{81A72E0C-8FE5-443A-89CB-49742853544F}">
      <text>
        <r>
          <rPr>
            <b/>
            <sz val="10"/>
            <color indexed="81"/>
            <rFont val="Tahoma"/>
            <family val="2"/>
          </rPr>
          <t>Michael Vella:</t>
        </r>
        <r>
          <rPr>
            <sz val="10"/>
            <color indexed="81"/>
            <rFont val="Tahoma"/>
            <family val="2"/>
          </rPr>
          <t xml:space="preserve">
This discrepancy must be small</t>
        </r>
      </text>
    </comment>
    <comment ref="AJ381" authorId="0" shapeId="0" xr:uid="{B81A4999-A371-4B73-B86D-90C376B9DCF2}">
      <text>
        <r>
          <rPr>
            <b/>
            <sz val="10"/>
            <color indexed="81"/>
            <rFont val="Tahoma"/>
            <family val="2"/>
          </rPr>
          <t>Michael Vella:</t>
        </r>
        <r>
          <rPr>
            <sz val="10"/>
            <color indexed="81"/>
            <rFont val="Tahoma"/>
            <family val="2"/>
          </rPr>
          <t xml:space="preserve">
This discrepancy must be small</t>
        </r>
      </text>
    </comment>
    <comment ref="AK381" authorId="0" shapeId="0" xr:uid="{0729BF49-9C03-4E9A-835B-9A75BF1923C8}">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<sst xmlns="http://schemas.openxmlformats.org/spreadsheetml/2006/main" count="2402" uniqueCount="529">
  <si>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</si>
  <si>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</si>
  <si>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</si>
  <si>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</si>
  <si>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</si>
  <si>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</si>
  <si>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</si>
  <si>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</si>
  <si>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</si>
  <si>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</si>
  <si>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</si>
  <si>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</si>
  <si>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</si>
  <si>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</si>
  <si>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</si>
  <si>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</si>
  <si>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</si>
  <si>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</si>
  <si>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</si>
  <si>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</si>
  <si>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</si>
  <si>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</si>
  <si>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</si>
  <si>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</si>
  <si>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</si>
  <si>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</si>
  <si>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</si>
  <si>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</si>
  <si>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</si>
  <si>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</si>
  <si>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</si>
  <si>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</si>
  <si>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</si>
  <si>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</si>
  <si>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</si>
  <si>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</si>
  <si>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</si>
  <si>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</si>
  <si>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</si>
  <si>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</si>
  <si>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</si>
  <si>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</si>
  <si>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</si>
  <si>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</si>
  <si>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</si>
  <si>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</si>
  <si>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</si>
  <si>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</si>
  <si>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</si>
  <si>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</si>
  <si>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</si>
  <si>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</si>
  <si>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</si>
  <si>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</si>
  <si>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</si>
  <si>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</si>
  <si>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</si>
  <si>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</si>
  <si>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</si>
  <si>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</si>
  <si>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</si>
  <si>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</si>
  <si>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</si>
  <si>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</si>
  <si>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</si>
  <si>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</si>
  <si>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</si>
  <si>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</si>
  <si>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</si>
  <si>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</si>
  <si>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</si>
  <si>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</si>
  <si>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</si>
  <si>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</si>
  <si>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</si>
  <si>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</si>
  <si>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</si>
  <si>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</si>
  <si>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</si>
  <si>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</si>
  <si>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</si>
  <si>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</si>
  <si>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</si>
  <si>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</si>
  <si>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</si>
  <si>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</si>
  <si>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</si>
  <si>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</si>
  <si>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</si>
  <si>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</si>
  <si>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</si>
  <si>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</si>
  <si>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</si>
  <si>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</si>
  <si>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</si>
  <si>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</si>
  <si>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</si>
  <si>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</si>
  <si>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</si>
  <si>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</si>
  <si>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</si>
  <si>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</si>
  <si>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</si>
  <si>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</si>
  <si>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</si>
  <si>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</si>
  <si>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</si>
  <si>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</si>
  <si>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</si>
  <si>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</si>
  <si>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</si>
  <si>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</si>
  <si>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</si>
  <si>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</si>
  <si>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</si>
  <si>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</si>
  <si>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</si>
  <si>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</si>
  <si>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</si>
  <si>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</si>
  <si>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</si>
  <si>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</si>
  <si>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</si>
  <si>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</si>
  <si>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</si>
  <si>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</si>
  <si>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</si>
  <si>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</si>
  <si>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</si>
  <si>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</si>
  <si>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</si>
  <si>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</si>
  <si>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</si>
  <si>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</si>
  <si>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</si>
  <si>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</si>
  <si>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</si>
  <si>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</si>
  <si>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</si>
  <si>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</si>
  <si>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</si>
  <si>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</si>
  <si>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</si>
  <si>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</si>
  <si>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</si>
  <si>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</si>
  <si>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</si>
  <si>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</si>
  <si>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SB</t>
  </si>
  <si>
    <t>END!</t>
  </si>
  <si>
    <t>COSTCODE TOTAL</t>
  </si>
  <si>
    <t>Cables accessories</t>
  </si>
  <si>
    <t>Fix 1</t>
  </si>
  <si>
    <t>Fix 2</t>
  </si>
  <si>
    <t>Fix 3</t>
  </si>
  <si>
    <t>Others</t>
  </si>
  <si>
    <t>TOTAL</t>
  </si>
  <si>
    <t>Multip</t>
  </si>
  <si>
    <t>RATE</t>
  </si>
  <si>
    <t xml:space="preserve">Based on: </t>
  </si>
  <si>
    <t>&lt;&lt; ==== TOTAL UNITS</t>
  </si>
  <si>
    <t>Sell_A</t>
  </si>
  <si>
    <t>RATE SHEET GRAND TOTAL</t>
  </si>
  <si>
    <t>COMPONENTS</t>
  </si>
  <si>
    <t>COMP_RT</t>
  </si>
  <si>
    <t>RATE SUMS (ITEMS)</t>
  </si>
  <si>
    <t>ITEM_RT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</si>
  <si>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</si>
  <si>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</si>
  <si>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</si>
  <si>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</si>
  <si>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</si>
  <si>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</si>
  <si>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</si>
  <si>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</si>
  <si>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</si>
  <si>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</si>
  <si>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</si>
  <si>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</si>
  <si>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</si>
  <si>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</si>
  <si>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</si>
  <si>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</si>
  <si>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</si>
  <si>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</si>
  <si>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</si>
  <si>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</si>
  <si>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</si>
  <si>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</si>
  <si>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</si>
  <si>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</si>
  <si>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</si>
  <si>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Electrical</t>
  </si>
  <si>
    <t>Contract /Variation (Excl. VAT)</t>
  </si>
  <si>
    <t>DISCOUNTED</t>
  </si>
  <si>
    <t>on Totals</t>
  </si>
  <si>
    <t>% Discnt</t>
  </si>
  <si>
    <t>Markup/LRate</t>
  </si>
  <si>
    <t>%Dsct in BOQ</t>
  </si>
  <si>
    <t>C.C.Totals</t>
  </si>
  <si>
    <t>ItemCode</t>
  </si>
  <si>
    <t>CostCode</t>
  </si>
  <si>
    <t>SET</t>
  </si>
  <si>
    <t>MIXED</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</si>
  <si>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</si>
  <si>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</si>
  <si>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</si>
  <si>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</si>
  <si>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</si>
  <si>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</si>
  <si>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</si>
  <si>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</si>
  <si>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</si>
  <si>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</si>
  <si>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</si>
  <si>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</si>
  <si>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</si>
  <si>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</si>
  <si>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</si>
  <si>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</si>
  <si>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</si>
  <si>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</si>
  <si>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</si>
  <si>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</si>
  <si>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</si>
  <si>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</si>
  <si>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</si>
  <si>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</si>
  <si>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</si>
  <si>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</si>
  <si>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</si>
  <si>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</si>
  <si>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</si>
  <si>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</si>
  <si>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</si>
  <si>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Final Sell after Discounts excl.VAT (€):</t>
  </si>
  <si>
    <t>Estim.Sell before Discounts excl.VAT (€):</t>
  </si>
  <si>
    <t>Overall Discount:</t>
  </si>
  <si>
    <t>MAT CONT &gt;&gt;</t>
  </si>
  <si>
    <t>BOQ TOTAL</t>
  </si>
  <si>
    <t>NOTES</t>
  </si>
  <si>
    <t>PRINT</t>
  </si>
  <si>
    <t xml:space="preserve">VAT: </t>
  </si>
  <si>
    <t xml:space="preserve">LAB. COST: </t>
  </si>
  <si>
    <t>Mechanical for Electrical</t>
  </si>
  <si>
    <t>Ext. Ref:</t>
  </si>
  <si>
    <t xml:space="preserve">INT. QUOT No: </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</si>
  <si>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</si>
  <si>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</si>
  <si>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</si>
  <si>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</si>
  <si>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</si>
  <si>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</si>
  <si>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</si>
  <si>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</si>
  <si>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</si>
  <si>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</si>
  <si>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</si>
  <si>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</si>
  <si>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</si>
  <si>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</si>
  <si>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</si>
  <si>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</si>
  <si>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Sub-Contracting Installation Elec</t>
  </si>
  <si>
    <t>Mr. K. Micallef</t>
  </si>
  <si>
    <t>Unit</t>
  </si>
  <si>
    <t>Hrs</t>
  </si>
  <si>
    <t>Total</t>
  </si>
  <si>
    <t>Unit Lab phr.</t>
  </si>
  <si>
    <t>Mr. A. Sciberras</t>
  </si>
  <si>
    <t>Ms. S. Magri</t>
  </si>
  <si>
    <t>A. Sciberras</t>
  </si>
  <si>
    <t>Cost for 2025</t>
  </si>
  <si>
    <t>Panta</t>
  </si>
  <si>
    <t>Panta Showroom Phase 2</t>
  </si>
  <si>
    <t>Supply and Install Electrical requirements for Panta Showroom Phase 2</t>
  </si>
  <si>
    <t>Umut Kaymak</t>
  </si>
  <si>
    <t>EL25_XXXX</t>
  </si>
  <si>
    <t>Item: 1</t>
  </si>
  <si>
    <t>Supply, install &amp; connect power supply cables.</t>
  </si>
  <si>
    <t>M</t>
  </si>
  <si>
    <t>Item: 1.01</t>
  </si>
  <si>
    <t>Item: 1.02</t>
  </si>
  <si>
    <t>Item: 2</t>
  </si>
  <si>
    <t>Supply, install &amp; connect the following switchgear.</t>
  </si>
  <si>
    <t>No.</t>
  </si>
  <si>
    <t>Item: 2.01</t>
  </si>
  <si>
    <t>Item: 2.02</t>
  </si>
  <si>
    <t>4P 63A IP65 Isolator for AC outdoor unit</t>
  </si>
  <si>
    <t>Item: 3</t>
  </si>
  <si>
    <t>Supply &amp; install the following containment</t>
  </si>
  <si>
    <t>Item: 3.03</t>
  </si>
  <si>
    <t>100x100mm Galvanised cable trunking</t>
  </si>
  <si>
    <t>Item: 4</t>
  </si>
  <si>
    <t>Supply, install &amp; connect the following power points complete with wiring accessories.</t>
  </si>
  <si>
    <t>Item: 4.01</t>
  </si>
  <si>
    <t>13A Twin socket outlets</t>
  </si>
  <si>
    <t>Item: 4.02</t>
  </si>
  <si>
    <t>!3A Fuse connection unit complete with neon indicator</t>
  </si>
  <si>
    <t>Item: 4.03</t>
  </si>
  <si>
    <t>3 Compartment Floor outlet boxes complete with 4No 13A single socket outlets &amp; 2No. RJ45 single outlets</t>
  </si>
  <si>
    <t>Item: 5</t>
  </si>
  <si>
    <t>Supply, install &amp; connect the following lighting points including the Dali cabling.</t>
  </si>
  <si>
    <t>Item: 5.01</t>
  </si>
  <si>
    <t>Light points</t>
  </si>
  <si>
    <t>Item: 5.02</t>
  </si>
  <si>
    <t>Emergency light points</t>
  </si>
  <si>
    <t>Item: 6</t>
  </si>
  <si>
    <t>Supply, install &amp; connect the following light fittings.</t>
  </si>
  <si>
    <t>Item: 6.01</t>
  </si>
  <si>
    <t>Emergency lights</t>
  </si>
  <si>
    <t>Item: 7</t>
  </si>
  <si>
    <t>Install and connect the following light fittings supplied by others.</t>
  </si>
  <si>
    <t>Item: 7.01</t>
  </si>
  <si>
    <t>LED Strip Light in meeting room</t>
  </si>
  <si>
    <t>Item: 7.02</t>
  </si>
  <si>
    <t>Chandelier in meeting room</t>
  </si>
  <si>
    <t>Item: 7.03</t>
  </si>
  <si>
    <t>Item: 7.04</t>
  </si>
  <si>
    <t>Lighting track 3.5 meteres</t>
  </si>
  <si>
    <t>Item: 7.05</t>
  </si>
  <si>
    <t>Item: 7.06</t>
  </si>
  <si>
    <t>Item: 7.07</t>
  </si>
  <si>
    <t>Item: 7.08</t>
  </si>
  <si>
    <t>Lighting track 10 meteres</t>
  </si>
  <si>
    <t>Item: 7.09</t>
  </si>
  <si>
    <t>Item: 8</t>
  </si>
  <si>
    <t>Supply, install &amp; connect Dali equipment.</t>
  </si>
  <si>
    <t>Item: 8.01</t>
  </si>
  <si>
    <t>Dali controller</t>
  </si>
  <si>
    <t>Item: 8.02</t>
  </si>
  <si>
    <t>Dali 7" Main touch screen</t>
  </si>
  <si>
    <t>Item: 8.03</t>
  </si>
  <si>
    <t>Dali touch screen in meeting room</t>
  </si>
  <si>
    <t>Item: 9</t>
  </si>
  <si>
    <t>Supply, install &amp; connect data points</t>
  </si>
  <si>
    <t>Item: 9.01</t>
  </si>
  <si>
    <t>25mm PVC conduit</t>
  </si>
  <si>
    <t>Item: 9.02</t>
  </si>
  <si>
    <t>Cat6 cables</t>
  </si>
  <si>
    <t>Item: 9.03</t>
  </si>
  <si>
    <t>Single RJ45 outlets</t>
  </si>
  <si>
    <t>Item: 9.04</t>
  </si>
  <si>
    <t>Twin RJ45 outlets</t>
  </si>
  <si>
    <t>Item: 9.05</t>
  </si>
  <si>
    <t>Termination of Cat6 cables atpatch panel end</t>
  </si>
  <si>
    <t>Item: 10</t>
  </si>
  <si>
    <t>Item: 10.01</t>
  </si>
  <si>
    <t>Item: 10.02</t>
  </si>
  <si>
    <t>Item: 11</t>
  </si>
  <si>
    <t>Install &amp; connect CCTV Cameras system.</t>
  </si>
  <si>
    <t>Item: 11.01</t>
  </si>
  <si>
    <t>Item: 11.02</t>
  </si>
  <si>
    <t>Item: 12</t>
  </si>
  <si>
    <t>Item: 12.01</t>
  </si>
  <si>
    <t>LS</t>
  </si>
  <si>
    <t>12 Way Distrebution Board DB-SR.E2</t>
  </si>
  <si>
    <t xml:space="preserve">Surface Isolator  63A 4-Pole </t>
  </si>
  <si>
    <t>SWLV_165</t>
  </si>
  <si>
    <t>KM</t>
  </si>
  <si>
    <t>P1-32/I/N</t>
  </si>
  <si>
    <t>10</t>
  </si>
  <si>
    <t xml:space="preserve">Label Large  </t>
  </si>
  <si>
    <t>CONS_020</t>
  </si>
  <si>
    <t>(__)</t>
  </si>
  <si>
    <t>05-001</t>
  </si>
  <si>
    <t xml:space="preserve">Screw Wood S6 </t>
  </si>
  <si>
    <t>CONS_035</t>
  </si>
  <si>
    <t>02-008</t>
  </si>
  <si>
    <t xml:space="preserve">Rawl Plug S6 </t>
  </si>
  <si>
    <t>CONS_030</t>
  </si>
  <si>
    <t>02-009</t>
  </si>
  <si>
    <t>Floor Outlet Box 3 Compartment</t>
  </si>
  <si>
    <t>WACC_143</t>
  </si>
  <si>
    <t xml:space="preserve">To do gablow </t>
  </si>
  <si>
    <t>CONS_001</t>
  </si>
  <si>
    <t>01-001</t>
  </si>
  <si>
    <t xml:space="preserve">Label Small  </t>
  </si>
  <si>
    <t>CONS_021</t>
  </si>
  <si>
    <t>05-002</t>
  </si>
  <si>
    <t>WHITE FCU 13A DP Neon</t>
  </si>
  <si>
    <t>WACC_043</t>
  </si>
  <si>
    <t>BG</t>
  </si>
  <si>
    <t>951</t>
  </si>
  <si>
    <t>WHITE Socket 13A  Twin</t>
  </si>
  <si>
    <t>WACC_050</t>
  </si>
  <si>
    <t>922</t>
  </si>
  <si>
    <t>m</t>
  </si>
  <si>
    <t xml:space="preserve">Conduit PVC 25mm   HG RATE  </t>
  </si>
  <si>
    <t>COPV_007</t>
  </si>
  <si>
    <t>GEN</t>
  </si>
  <si>
    <t>25mm</t>
  </si>
  <si>
    <t>Data Cable  4Pr UTP CAT6</t>
  </si>
  <si>
    <t>CASP_007</t>
  </si>
  <si>
    <t>WHITE RJ45 outlet single</t>
  </si>
  <si>
    <t>WACC_184</t>
  </si>
  <si>
    <t>WHITE RJ45 outlet Twin</t>
  </si>
  <si>
    <t>WACC_185</t>
  </si>
  <si>
    <t>Labour to Connect Up (FIX 3)</t>
  </si>
  <si>
    <t>LABO_003</t>
  </si>
  <si>
    <t>MISC</t>
  </si>
  <si>
    <t>Light Fitting Custom__1</t>
  </si>
  <si>
    <t>LIGH_031</t>
  </si>
  <si>
    <t>Wiring Cable  3c  1.5 mm2 PVC Non-Arm</t>
  </si>
  <si>
    <t>CAMC_048</t>
  </si>
  <si>
    <t>CRO</t>
  </si>
  <si>
    <t>1.5mm2</t>
  </si>
  <si>
    <t>03-002</t>
  </si>
  <si>
    <t xml:space="preserve"> CONSUMABLES</t>
  </si>
  <si>
    <t>Lighting track 4.8 meteres</t>
  </si>
  <si>
    <t>Lighting track 15 meteres</t>
  </si>
  <si>
    <t>Lighting track 12 meteres</t>
  </si>
  <si>
    <t>Hexagon Lighting</t>
  </si>
  <si>
    <t>Existing</t>
  </si>
  <si>
    <t xml:space="preserve"> CONTROL PANELS</t>
  </si>
  <si>
    <t>Labour only (FIX 1)</t>
  </si>
  <si>
    <t>LABO_005</t>
  </si>
  <si>
    <t>Data Patch Leads CAT5E 5m</t>
  </si>
  <si>
    <t>DATA_007</t>
  </si>
  <si>
    <t>5c 35mm XLPE/SWA/LSZH cable SR.E2</t>
  </si>
  <si>
    <t>Power Cable   5c  25 mm2 XLPE SWA-LSZH</t>
  </si>
  <si>
    <t>CAMC_097</t>
  </si>
  <si>
    <t>25mm2</t>
  </si>
  <si>
    <t>Cable Marker Warning Tape</t>
  </si>
  <si>
    <t>CAAC_071</t>
  </si>
  <si>
    <t>Gland Indoor 32  BWL  4*25/35mm2</t>
  </si>
  <si>
    <t>CAAC_044</t>
  </si>
  <si>
    <t>CMP</t>
  </si>
  <si>
    <t xml:space="preserve">Cable Lug  25  mm2   </t>
  </si>
  <si>
    <t>CAAC_010</t>
  </si>
  <si>
    <t>CTT</t>
  </si>
  <si>
    <t>5c 6.0mm XLPE/SWA/LSZH Cable</t>
  </si>
  <si>
    <t>Power Cable   5c  4.0 mm2 XLPE SWA-LSZH</t>
  </si>
  <si>
    <t>CAMC_085</t>
  </si>
  <si>
    <t>4.0mm2</t>
  </si>
  <si>
    <t>Gland Indoor 20  BWL  4*4/6mm2</t>
  </si>
  <si>
    <t>CAAC_040</t>
  </si>
  <si>
    <t>Gland Outdoor 20  CW  4*4/6mm2</t>
  </si>
  <si>
    <t>CAAC_053</t>
  </si>
  <si>
    <t xml:space="preserve">Cable Lug   4.0  mm2   </t>
  </si>
  <si>
    <t>CAAC_006</t>
  </si>
  <si>
    <t xml:space="preserve">MATERIAL SUMMARY </t>
  </si>
  <si>
    <t>MU SUMMARY TOTAL</t>
  </si>
  <si>
    <t>Disc. with</t>
  </si>
  <si>
    <t>MATERIAL ITEMS TOTAL</t>
  </si>
  <si>
    <t>COMP_GT</t>
  </si>
  <si>
    <t>equal MUs</t>
  </si>
  <si>
    <t>BOQ  ITEMS  TOTAL</t>
  </si>
  <si>
    <t>ITEM_GT</t>
  </si>
  <si>
    <t xml:space="preserve">  PAGES  TOTAL</t>
  </si>
  <si>
    <t>PAGE_GT</t>
  </si>
  <si>
    <t xml:space="preserve">  SECTIONS TOTAL </t>
  </si>
  <si>
    <t>SECT_GT</t>
  </si>
  <si>
    <t>Trunking Galv. 100x100mm 24awg</t>
  </si>
  <si>
    <t>TKGV_005</t>
  </si>
  <si>
    <t>TIP</t>
  </si>
  <si>
    <t xml:space="preserve">Earth Strips Copper </t>
  </si>
  <si>
    <t>CONS_012</t>
  </si>
  <si>
    <t>01-011</t>
  </si>
  <si>
    <t xml:space="preserve">Bolt, nut and washer  </t>
  </si>
  <si>
    <t>CONS_053</t>
  </si>
  <si>
    <t>02-002</t>
  </si>
  <si>
    <t xml:space="preserve">Pop Rivet  </t>
  </si>
  <si>
    <t>CONS_023</t>
  </si>
  <si>
    <t>02-004</t>
  </si>
  <si>
    <t xml:space="preserve">Roofing Bolt  </t>
  </si>
  <si>
    <t>CONS_031</t>
  </si>
  <si>
    <t>02-005</t>
  </si>
  <si>
    <t>Channel SHALLOW-Galv. Hilti MS-213M</t>
  </si>
  <si>
    <t>EMAT_020</t>
  </si>
  <si>
    <t>HIL</t>
  </si>
  <si>
    <t>MS-213m</t>
  </si>
  <si>
    <t>02-017</t>
  </si>
  <si>
    <t xml:space="preserve">Galv. Nut  6mm </t>
  </si>
  <si>
    <t>EMAT_021</t>
  </si>
  <si>
    <t>04-001</t>
  </si>
  <si>
    <t>Distribution Board 12 WAY, 100A</t>
  </si>
  <si>
    <t>SWLV_017</t>
  </si>
  <si>
    <t>02-012</t>
  </si>
  <si>
    <t>HAGER</t>
  </si>
  <si>
    <t>Addres. Sensor Optical Smoke</t>
  </si>
  <si>
    <t>FIRE_016</t>
  </si>
  <si>
    <t xml:space="preserve"> ACCESS CONTROL EQUIPMENT</t>
  </si>
  <si>
    <t>ACCE_001</t>
  </si>
  <si>
    <t>Installation</t>
  </si>
  <si>
    <t>Install &amp; connect access control system.</t>
  </si>
  <si>
    <t>Access Control Card Reader Pedestal</t>
  </si>
  <si>
    <t>ACCE_042</t>
  </si>
  <si>
    <t>CCTV Dome Camera Fixed</t>
  </si>
  <si>
    <t>CCTV_014</t>
  </si>
  <si>
    <t>Fire Alarm System Matterial Supply</t>
  </si>
  <si>
    <t>Josef Pollaco</t>
  </si>
  <si>
    <t>Supply, installation, testing, and commissioning of complete Addressable/Conventional Fire Alarm System (as per project drawings), including but not limited to smoke detectors, heat detectors, manual call points, sounder bases, cabling, junction boxes, accessories, termination, programming, integration with other systems, and all associated materials, equipment, and labor required to deliver a fully operational system.</t>
  </si>
  <si>
    <t>High Ceiling Lighting</t>
  </si>
  <si>
    <t xml:space="preserve">Conduit PVC 20mm   HG RATE  </t>
  </si>
  <si>
    <t>COPV_003</t>
  </si>
  <si>
    <t>20mm</t>
  </si>
  <si>
    <t>Wiring Cable  1c    1.5 mm2 PVC Non-Arm</t>
  </si>
  <si>
    <t>CASC_017</t>
  </si>
  <si>
    <t>WHITE Ceiling Rose</t>
  </si>
  <si>
    <t>WACC_037</t>
  </si>
  <si>
    <t>China</t>
  </si>
  <si>
    <t>Emergency Light Fitting General</t>
  </si>
  <si>
    <t>LIGH_087</t>
  </si>
  <si>
    <t>19.4    1.72</t>
  </si>
  <si>
    <t>15.5 1.41</t>
  </si>
  <si>
    <t>Price From Guy</t>
  </si>
  <si>
    <t>001#  Power Point</t>
  </si>
  <si>
    <t>Wiring Cable  1c    4.0 mm2 PVC Non-Arm</t>
  </si>
  <si>
    <t>Wiring Cable  1c    2.5 mm2 PVC Non-Arm</t>
  </si>
  <si>
    <t>h</t>
  </si>
  <si>
    <t>RATE_AAA</t>
  </si>
  <si>
    <t>Local Rate</t>
  </si>
  <si>
    <t>RTLO_002</t>
  </si>
  <si>
    <t>RATE TOTALS IN CURRENT SHEET</t>
  </si>
  <si>
    <t xml:space="preserve">PAGE:  </t>
  </si>
  <si>
    <t>PAGE</t>
  </si>
  <si>
    <t>Discy:</t>
  </si>
  <si>
    <t>PAGE SELL</t>
  </si>
  <si>
    <t>PAGE MAT</t>
  </si>
  <si>
    <t>PAGE LAB</t>
  </si>
  <si>
    <t>Internal CCTV Cameras c/w conduits &amp; Cables Installation Only</t>
  </si>
  <si>
    <t>External CCTV Cameras c/w conduits &amp; Cables Installation Only</t>
  </si>
  <si>
    <t>Access master controller Installation Only</t>
  </si>
  <si>
    <t>Access card reader c/w conduits and cables Installation Only</t>
  </si>
  <si>
    <t>Install &amp; connect fire alarm system.</t>
  </si>
  <si>
    <t>Page Total :</t>
  </si>
  <si>
    <t xml:space="preserve"> Grand Total Excluding VAT :</t>
  </si>
  <si>
    <t>BMSE_001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</si>
</sst>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quot;€/Prhr &quot;#,##0.000_);[Red]\(&quot;Lm &quot;#,##0.000\)"/>
  </numFmts>
  <fonts count="161">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sz val="9"/>
      <name val="Arial"/>
      <family val="2"/>
    </font>
    <font>
      <sz val="9"/>
      <color indexed="10"/>
      <name val="Arial"/>
      <family val="2"/>
    </font>
    <font>
      <b/>
      <sz val="10"/>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
      <b/>
      <i/>
      <sz val="8"/>
      <name val="Arial"/>
      <family val="2"/>
    </font>
    <font>
      <sz val="9"/>
      <color indexed="13"/>
      <name val="Arial"/>
      <family val="2"/>
    </font>
    <font>
      <b/>
      <i/>
      <sz val="11"/>
      <name val="Arial"/>
      <family val="2"/>
    </font>
    <font>
      <b/>
      <sz val="9"/>
      <color indexed="13"/>
      <name val="Arial"/>
      <family val="2"/>
    </font>
    <font>
      <sz val="9"/>
      <color indexed="34"/>
      <name val="Arial"/>
      <family val="2"/>
    </font>
    <font>
      <b/>
      <i/>
      <sz val="8"/>
      <color indexed="33"/>
      <name val="Arial"/>
      <family val="2"/>
    </font>
    <font>
      <b/>
      <sz val="10"/>
      <color indexed="81"/>
      <name val="Tahoma"/>
      <family val="2"/>
    </font>
    <font>
      <sz val="10"/>
      <color indexed="81"/>
      <name val="Tahoma"/>
      <family val="2"/>
    </font>
    <font>
      <b/>
      <sz val="9"/>
      <color rgb="FFFF0000"/>
      <name val="MS Sans Serif"/>
    </font>
    <font>
      <sz val="9"/>
      <color theme="1"/>
      <name val="MS Sans Serif"/>
    </font>
  </fonts>
  <fills count="21">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rgb="FFFFFF00"/>
        <bgColor indexed="64"/>
      </patternFill>
    </fill>
    <fill>
      <patternFill patternType="solid">
        <fgColor rgb="FF92D050"/>
        <bgColor indexed="64"/>
      </patternFill>
    </fill>
  </fills>
  <borders count="51">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
      <left/>
      <right/>
      <top style="double">
        <color indexed="64"/>
      </top>
      <bottom style="thin">
        <color indexed="64"/>
      </bottom>
      <diagonal/>
    </border>
  </borders>
  <cellStyleXfs count="13">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25" fillId="0" borderId="0"/>
    <xf numFmtId="0" fontId="142" fillId="0" borderId="0"/>
    <xf numFmtId="1" fontId="4" fillId="0" borderId="0"/>
    <xf numFmtId="0" fontId="4" fillId="0" borderId="0"/>
    <xf numFmtId="1" fontId="4" fillId="0" borderId="0"/>
  </cellStyleXfs>
  <cellXfs count="822">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0" fillId="0" borderId="0" xfId="6" applyFont="1" applyAlignment="1" applyProtection="1">
      <alignment horizontal="center"/>
      <protection locked="0"/>
    </xf>
    <xf numFmtId="0" fontId="31" fillId="0" borderId="0" xfId="2" applyNumberFormat="1" applyFont="1" applyFill="1" applyBorder="1" applyAlignment="1" applyProtection="1">
      <alignment horizontal="centerContinuous"/>
      <protection locked="0"/>
    </xf>
    <xf numFmtId="0" fontId="17"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26"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3"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1" fillId="2" borderId="4" xfId="2" applyNumberFormat="1" applyFont="1" applyFill="1" applyBorder="1" applyAlignment="1" applyProtection="1">
      <alignment horizontal="center" vertical="center"/>
    </xf>
    <xf numFmtId="0" fontId="51" fillId="2" borderId="5" xfId="3" applyFont="1" applyFill="1" applyBorder="1" applyAlignment="1">
      <alignment horizontal="center" vertical="center"/>
    </xf>
    <xf numFmtId="0" fontId="51" fillId="2" borderId="6" xfId="0" applyFont="1" applyFill="1" applyBorder="1" applyAlignment="1">
      <alignment horizontal="center" vertical="center"/>
    </xf>
    <xf numFmtId="0" fontId="51"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1" fontId="12" fillId="0" borderId="0" xfId="6" applyFont="1" applyAlignment="1" applyProtection="1">
      <alignment horizontal="center"/>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0" fontId="16" fillId="0" borderId="0" xfId="3" applyFont="1" applyProtection="1">
      <protection locked="0"/>
    </xf>
    <xf numFmtId="0" fontId="12" fillId="0" borderId="1" xfId="3" applyFont="1" applyBorder="1" applyProtection="1">
      <protection locked="0"/>
    </xf>
    <xf numFmtId="0" fontId="7" fillId="0" borderId="0" xfId="3" applyFont="1" applyProtection="1">
      <protection locked="0"/>
    </xf>
    <xf numFmtId="1" fontId="7" fillId="0" borderId="0" xfId="3" applyNumberFormat="1" applyFont="1" applyProtection="1">
      <protection locked="0"/>
    </xf>
    <xf numFmtId="0" fontId="15" fillId="0" borderId="0" xfId="3" applyFont="1" applyProtection="1">
      <protection locked="0"/>
    </xf>
    <xf numFmtId="0" fontId="16" fillId="0" borderId="1" xfId="3" applyFont="1" applyBorder="1" applyProtection="1">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7"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1" fillId="0" borderId="1" xfId="0" applyFont="1" applyBorder="1" applyAlignment="1" applyProtection="1">
      <alignment horizontal="left"/>
      <protection locked="0"/>
    </xf>
    <xf numFmtId="1" fontId="20"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19" fillId="0" borderId="0" xfId="0" applyFont="1" applyAlignment="1" applyProtection="1">
      <alignment horizontal="center"/>
      <protection locked="0"/>
    </xf>
    <xf numFmtId="0" fontId="22" fillId="0" borderId="0" xfId="0" applyFont="1" applyProtection="1">
      <protection locked="0"/>
    </xf>
    <xf numFmtId="0" fontId="19" fillId="0" borderId="0" xfId="0" applyFont="1" applyAlignment="1" applyProtection="1">
      <alignment horizontal="left"/>
      <protection locked="0"/>
    </xf>
    <xf numFmtId="0" fontId="23" fillId="0" borderId="0" xfId="0" applyFont="1" applyAlignment="1" applyProtection="1">
      <alignment horizontal="center"/>
      <protection locked="0"/>
    </xf>
    <xf numFmtId="0" fontId="19" fillId="0" borderId="1" xfId="0" applyFont="1" applyBorder="1" applyAlignment="1" applyProtection="1">
      <alignment horizontal="center"/>
      <protection locked="0"/>
    </xf>
    <xf numFmtId="0" fontId="22" fillId="0" borderId="1" xfId="0" applyFont="1" applyBorder="1" applyProtection="1">
      <protection locked="0"/>
    </xf>
    <xf numFmtId="0" fontId="19" fillId="0" borderId="15" xfId="0" applyFont="1" applyBorder="1" applyAlignment="1" applyProtection="1">
      <alignment horizontal="left"/>
      <protection locked="0"/>
    </xf>
    <xf numFmtId="0" fontId="24"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16"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56"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7" fillId="3" borderId="0" xfId="3" applyNumberFormat="1" applyFont="1" applyFill="1" applyAlignment="1" applyProtection="1">
      <alignment vertical="top"/>
      <protection locked="0"/>
    </xf>
    <xf numFmtId="2" fontId="58" fillId="15"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2" fillId="0" borderId="0" xfId="3" applyFont="1"/>
    <xf numFmtId="1" fontId="4" fillId="0" borderId="0" xfId="3" applyNumberFormat="1"/>
    <xf numFmtId="2" fontId="12" fillId="3" borderId="0" xfId="6" applyNumberFormat="1" applyFont="1" applyFill="1"/>
    <xf numFmtId="2" fontId="12" fillId="17" borderId="0" xfId="6" applyNumberFormat="1" applyFont="1" applyFill="1"/>
    <xf numFmtId="1" fontId="27"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59"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1"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2" fillId="0" borderId="0" xfId="0" applyFont="1"/>
    <xf numFmtId="0" fontId="0" fillId="14" borderId="0" xfId="0" applyFill="1" applyAlignment="1" applyProtection="1">
      <alignment horizontal="center"/>
      <protection locked="0"/>
    </xf>
    <xf numFmtId="0" fontId="69" fillId="7" borderId="0" xfId="0" applyFont="1" applyFill="1" applyAlignment="1" applyProtection="1">
      <alignment horizontal="center"/>
      <protection locked="0"/>
    </xf>
    <xf numFmtId="0" fontId="71" fillId="14" borderId="0" xfId="0" applyFont="1" applyFill="1" applyAlignment="1" applyProtection="1">
      <alignment horizontal="center"/>
      <protection locked="0"/>
    </xf>
    <xf numFmtId="0" fontId="71" fillId="2" borderId="0" xfId="0" applyFont="1" applyFill="1" applyAlignment="1">
      <alignment horizontal="center"/>
    </xf>
    <xf numFmtId="0" fontId="71" fillId="12" borderId="0" xfId="0" applyFont="1" applyFill="1" applyAlignment="1" applyProtection="1">
      <alignment horizontal="center"/>
      <protection locked="0"/>
    </xf>
    <xf numFmtId="0" fontId="72" fillId="0" borderId="0" xfId="0" applyFont="1" applyAlignment="1">
      <alignment horizontal="center"/>
    </xf>
    <xf numFmtId="0" fontId="71" fillId="0" borderId="0" xfId="0" applyFont="1" applyAlignment="1" applyProtection="1">
      <alignment horizontal="center"/>
      <protection locked="0"/>
    </xf>
    <xf numFmtId="0" fontId="26" fillId="0" borderId="13" xfId="2" applyNumberFormat="1" applyFont="1" applyBorder="1" applyAlignment="1" applyProtection="1">
      <alignment horizontal="centerContinuous"/>
      <protection locked="0"/>
    </xf>
    <xf numFmtId="0" fontId="7" fillId="0" borderId="0" xfId="7" applyProtection="1">
      <protection locked="0"/>
    </xf>
    <xf numFmtId="0" fontId="70" fillId="0" borderId="0" xfId="0" applyFont="1" applyProtection="1">
      <protection locked="0"/>
    </xf>
    <xf numFmtId="0" fontId="29"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1" fillId="0" borderId="0" xfId="3" applyFont="1" applyAlignment="1" applyProtection="1">
      <alignment horizontal="centerContinuous"/>
      <protection locked="0"/>
    </xf>
    <xf numFmtId="0" fontId="30" fillId="0" borderId="0" xfId="0" applyFont="1" applyAlignment="1" applyProtection="1">
      <alignment horizontal="center"/>
      <protection locked="0"/>
    </xf>
    <xf numFmtId="0" fontId="0" fillId="0" borderId="0" xfId="0" applyAlignment="1" applyProtection="1">
      <alignment horizontal="right"/>
      <protection locked="0"/>
    </xf>
    <xf numFmtId="0" fontId="79" fillId="0" borderId="0" xfId="7" applyFont="1" applyAlignment="1" applyProtection="1">
      <alignment horizontal="left"/>
      <protection locked="0"/>
    </xf>
    <xf numFmtId="0" fontId="33"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2" fillId="0" borderId="0" xfId="7" applyFont="1" applyProtection="1">
      <protection locked="0"/>
    </xf>
    <xf numFmtId="0" fontId="35" fillId="0" borderId="0" xfId="7" applyFont="1" applyAlignment="1" applyProtection="1">
      <alignment horizontal="left"/>
      <protection locked="0"/>
    </xf>
    <xf numFmtId="0" fontId="60" fillId="0" borderId="0" xfId="7" applyFont="1" applyAlignment="1" applyProtection="1">
      <alignment horizontal="right"/>
      <protection locked="0"/>
    </xf>
    <xf numFmtId="2" fontId="52" fillId="0" borderId="0" xfId="1" applyNumberFormat="1" applyFont="1" applyAlignment="1" applyProtection="1">
      <alignment horizontal="right"/>
      <protection locked="0"/>
    </xf>
    <xf numFmtId="0" fontId="36" fillId="0" borderId="0" xfId="8" applyFont="1" applyProtection="1">
      <protection locked="0"/>
    </xf>
    <xf numFmtId="0" fontId="17"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7"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19" fillId="0" borderId="0" xfId="8" applyFont="1" applyAlignment="1" applyProtection="1">
      <alignment horizontal="right"/>
      <protection locked="0"/>
    </xf>
    <xf numFmtId="0" fontId="19"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34" fillId="0" borderId="0" xfId="0" applyFont="1" applyAlignment="1" applyProtection="1">
      <alignment horizontal="centerContinuous"/>
      <protection locked="0"/>
    </xf>
    <xf numFmtId="0" fontId="0" fillId="0" borderId="3" xfId="0" applyBorder="1" applyProtection="1">
      <protection locked="0"/>
    </xf>
    <xf numFmtId="0" fontId="22" fillId="0" borderId="0" xfId="0" applyFont="1" applyAlignment="1" applyProtection="1">
      <alignment horizontal="centerContinuous"/>
      <protection locked="0"/>
    </xf>
    <xf numFmtId="0" fontId="61" fillId="0" borderId="0" xfId="0" applyFont="1" applyProtection="1">
      <protection locked="0"/>
    </xf>
    <xf numFmtId="0" fontId="62" fillId="0" borderId="0" xfId="0" applyFont="1" applyProtection="1">
      <protection locked="0"/>
    </xf>
    <xf numFmtId="0" fontId="38" fillId="0" borderId="17" xfId="8" applyFont="1" applyBorder="1" applyAlignment="1" applyProtection="1">
      <alignment horizontal="left"/>
      <protection locked="0"/>
    </xf>
    <xf numFmtId="0" fontId="38" fillId="0" borderId="0" xfId="8" applyFont="1" applyProtection="1">
      <protection locked="0"/>
    </xf>
    <xf numFmtId="0" fontId="80" fillId="0" borderId="0" xfId="0" applyFont="1" applyAlignment="1" applyProtection="1">
      <alignment horizontal="right"/>
      <protection locked="0"/>
    </xf>
    <xf numFmtId="0" fontId="64" fillId="0" borderId="22" xfId="8" applyFont="1" applyBorder="1" applyAlignment="1" applyProtection="1">
      <alignment horizontal="left"/>
      <protection locked="0"/>
    </xf>
    <xf numFmtId="0" fontId="63" fillId="0" borderId="22" xfId="8" applyFont="1" applyBorder="1" applyAlignment="1" applyProtection="1">
      <alignment horizontal="centerContinuous"/>
      <protection locked="0"/>
    </xf>
    <xf numFmtId="0" fontId="63" fillId="0" borderId="22" xfId="8" applyFont="1" applyBorder="1" applyProtection="1">
      <protection locked="0"/>
    </xf>
    <xf numFmtId="0" fontId="65" fillId="0" borderId="22" xfId="0" applyFont="1" applyBorder="1" applyProtection="1">
      <protection locked="0"/>
    </xf>
    <xf numFmtId="0" fontId="65" fillId="0" borderId="0" xfId="0" applyFont="1" applyProtection="1">
      <protection locked="0"/>
    </xf>
    <xf numFmtId="0" fontId="66" fillId="0" borderId="0" xfId="0" applyFont="1" applyAlignment="1" applyProtection="1">
      <alignment horizontal="right"/>
      <protection locked="0"/>
    </xf>
    <xf numFmtId="168" fontId="66" fillId="0" borderId="0" xfId="0" applyNumberFormat="1" applyFont="1" applyAlignment="1" applyProtection="1">
      <alignment horizontal="right"/>
      <protection locked="0"/>
    </xf>
    <xf numFmtId="0" fontId="64" fillId="0" borderId="0" xfId="8" applyFont="1" applyAlignment="1" applyProtection="1">
      <alignment horizontal="left"/>
      <protection locked="0"/>
    </xf>
    <xf numFmtId="0" fontId="63" fillId="0" borderId="0" xfId="8" applyFont="1" applyAlignment="1" applyProtection="1">
      <alignment horizontal="centerContinuous"/>
      <protection locked="0"/>
    </xf>
    <xf numFmtId="0" fontId="63" fillId="0" borderId="0" xfId="8" applyFont="1" applyProtection="1">
      <protection locked="0"/>
    </xf>
    <xf numFmtId="0" fontId="22" fillId="0" borderId="23" xfId="0" applyFont="1" applyBorder="1" applyAlignment="1" applyProtection="1">
      <alignment horizontal="center"/>
      <protection locked="0"/>
    </xf>
    <xf numFmtId="0" fontId="22" fillId="0" borderId="22" xfId="0" applyFont="1" applyBorder="1" applyAlignment="1" applyProtection="1">
      <alignment horizontal="center"/>
      <protection locked="0"/>
    </xf>
    <xf numFmtId="0" fontId="29"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19"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38" fillId="0" borderId="13" xfId="8" applyFont="1" applyBorder="1" applyAlignment="1" applyProtection="1">
      <alignment horizontal="centerContinuous"/>
      <protection locked="0"/>
    </xf>
    <xf numFmtId="0" fontId="38" fillId="0" borderId="13" xfId="8" applyFont="1" applyBorder="1" applyProtection="1">
      <protection locked="0"/>
    </xf>
    <xf numFmtId="0" fontId="38" fillId="0" borderId="0" xfId="8" applyFont="1" applyAlignment="1" applyProtection="1">
      <alignment horizontal="centerContinuous"/>
      <protection locked="0"/>
    </xf>
    <xf numFmtId="9" fontId="40" fillId="2" borderId="3" xfId="8" applyNumberFormat="1" applyFont="1" applyFill="1" applyBorder="1" applyAlignment="1" applyProtection="1">
      <alignment horizontal="centerContinuous"/>
      <protection locked="0"/>
    </xf>
    <xf numFmtId="9" fontId="40" fillId="0" borderId="0" xfId="8" applyNumberFormat="1" applyFont="1" applyAlignment="1" applyProtection="1">
      <alignment horizontal="centerContinuous"/>
      <protection locked="0"/>
    </xf>
    <xf numFmtId="0" fontId="40" fillId="2" borderId="3" xfId="8" applyFont="1" applyFill="1" applyBorder="1" applyAlignment="1" applyProtection="1">
      <alignment horizontal="centerContinuous"/>
      <protection locked="0"/>
    </xf>
    <xf numFmtId="15" fontId="40" fillId="2" borderId="3" xfId="8" applyNumberFormat="1" applyFont="1" applyFill="1" applyBorder="1" applyAlignment="1" applyProtection="1">
      <alignment horizontal="centerContinuous"/>
      <protection locked="0"/>
    </xf>
    <xf numFmtId="0" fontId="41" fillId="0" borderId="0" xfId="8" applyFont="1" applyProtection="1">
      <protection locked="0"/>
    </xf>
    <xf numFmtId="0" fontId="42" fillId="0" borderId="0" xfId="8" applyFont="1" applyProtection="1">
      <protection locked="0"/>
    </xf>
    <xf numFmtId="0" fontId="38" fillId="0" borderId="0" xfId="8" applyFont="1" applyAlignment="1" applyProtection="1">
      <alignment horizontal="left"/>
      <protection locked="0"/>
    </xf>
    <xf numFmtId="15" fontId="38" fillId="0" borderId="0" xfId="8" applyNumberFormat="1" applyFont="1" applyAlignment="1" applyProtection="1">
      <alignment horizontal="centerContinuous"/>
      <protection locked="0"/>
    </xf>
    <xf numFmtId="0" fontId="43" fillId="0" borderId="0" xfId="8" applyFont="1" applyAlignment="1" applyProtection="1">
      <alignment horizontal="left"/>
      <protection locked="0"/>
    </xf>
    <xf numFmtId="15" fontId="44" fillId="0" borderId="0" xfId="0" applyNumberFormat="1" applyFont="1" applyAlignment="1" applyProtection="1">
      <alignment horizontal="left"/>
      <protection locked="0"/>
    </xf>
    <xf numFmtId="0" fontId="41" fillId="0" borderId="13" xfId="8" applyFont="1" applyBorder="1" applyProtection="1">
      <protection locked="0"/>
    </xf>
    <xf numFmtId="0" fontId="42" fillId="0" borderId="13" xfId="8" applyFont="1" applyBorder="1" applyProtection="1">
      <protection locked="0"/>
    </xf>
    <xf numFmtId="0" fontId="36" fillId="0" borderId="13" xfId="8" applyFont="1" applyBorder="1" applyProtection="1">
      <protection locked="0"/>
    </xf>
    <xf numFmtId="0" fontId="36" fillId="0" borderId="21" xfId="8" applyFont="1" applyBorder="1" applyProtection="1">
      <protection locked="0"/>
    </xf>
    <xf numFmtId="0" fontId="0" fillId="0" borderId="0" xfId="0" applyAlignment="1" applyProtection="1">
      <alignment vertical="center"/>
      <protection locked="0"/>
    </xf>
    <xf numFmtId="0" fontId="45" fillId="0" borderId="23" xfId="8" applyFont="1" applyBorder="1" applyAlignment="1" applyProtection="1">
      <alignment horizontal="left"/>
      <protection locked="0"/>
    </xf>
    <xf numFmtId="0" fontId="45"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38" fillId="0" borderId="22" xfId="8" applyNumberFormat="1" applyFont="1" applyBorder="1" applyAlignment="1" applyProtection="1">
      <alignment horizontal="centerContinuous"/>
      <protection locked="0"/>
    </xf>
    <xf numFmtId="0" fontId="38" fillId="0" borderId="22" xfId="8" applyFont="1" applyBorder="1" applyAlignment="1" applyProtection="1">
      <alignment horizontal="centerContinuous"/>
      <protection locked="0"/>
    </xf>
    <xf numFmtId="0" fontId="36"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2" fillId="0" borderId="24" xfId="8" applyFont="1" applyBorder="1" applyAlignment="1" applyProtection="1">
      <alignment horizontal="centerContinuous"/>
      <protection locked="0"/>
    </xf>
    <xf numFmtId="0" fontId="19" fillId="0" borderId="20" xfId="8" applyFont="1" applyBorder="1" applyAlignment="1" applyProtection="1">
      <alignment horizontal="left"/>
      <protection locked="0"/>
    </xf>
    <xf numFmtId="0" fontId="19"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38" fillId="0" borderId="13" xfId="8" applyNumberFormat="1" applyFont="1" applyBorder="1" applyAlignment="1" applyProtection="1">
      <alignment horizontal="centerContinuous"/>
      <protection locked="0"/>
    </xf>
    <xf numFmtId="0" fontId="36" fillId="0" borderId="13" xfId="8" applyFont="1" applyBorder="1" applyAlignment="1" applyProtection="1">
      <alignment horizontal="centerContinuous"/>
      <protection locked="0"/>
    </xf>
    <xf numFmtId="0" fontId="36" fillId="0" borderId="21" xfId="8" applyFont="1" applyBorder="1" applyAlignment="1" applyProtection="1">
      <alignment horizontal="centerContinuous"/>
      <protection locked="0"/>
    </xf>
    <xf numFmtId="0" fontId="19" fillId="0" borderId="17" xfId="8" applyFont="1" applyBorder="1" applyAlignment="1" applyProtection="1">
      <alignment horizontal="left"/>
      <protection locked="0"/>
    </xf>
    <xf numFmtId="0" fontId="19" fillId="0" borderId="0" xfId="8" applyFont="1" applyAlignment="1" applyProtection="1">
      <alignment horizontal="centerContinuous"/>
      <protection locked="0"/>
    </xf>
    <xf numFmtId="0" fontId="45" fillId="0" borderId="0" xfId="8" applyFont="1" applyAlignment="1" applyProtection="1">
      <alignment horizontal="centerContinuous"/>
      <protection locked="0"/>
    </xf>
    <xf numFmtId="0" fontId="36" fillId="0" borderId="0" xfId="8" applyFont="1" applyAlignment="1" applyProtection="1">
      <alignment horizontal="centerContinuous"/>
      <protection locked="0"/>
    </xf>
    <xf numFmtId="0" fontId="36" fillId="0" borderId="19" xfId="8" applyFont="1" applyBorder="1" applyAlignment="1" applyProtection="1">
      <alignment horizontal="centerContinuous"/>
      <protection locked="0"/>
    </xf>
    <xf numFmtId="0" fontId="46" fillId="0" borderId="0" xfId="8" applyFont="1" applyAlignment="1" applyProtection="1">
      <alignment horizontal="right"/>
      <protection locked="0"/>
    </xf>
    <xf numFmtId="0" fontId="46" fillId="0" borderId="17" xfId="8" applyFont="1" applyBorder="1" applyAlignment="1" applyProtection="1">
      <alignment horizontal="left"/>
      <protection locked="0"/>
    </xf>
    <xf numFmtId="0" fontId="46" fillId="0" borderId="0" xfId="8" applyFont="1" applyAlignment="1" applyProtection="1">
      <alignment horizontal="left"/>
      <protection locked="0"/>
    </xf>
    <xf numFmtId="0" fontId="45" fillId="0" borderId="0" xfId="8" applyFont="1" applyAlignment="1" applyProtection="1">
      <alignment horizontal="left"/>
      <protection locked="0"/>
    </xf>
    <xf numFmtId="0" fontId="41"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39" fillId="0" borderId="17" xfId="0" applyFont="1" applyBorder="1" applyAlignment="1" applyProtection="1">
      <alignment horizontal="left"/>
      <protection locked="0"/>
    </xf>
    <xf numFmtId="0" fontId="39"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48"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48"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1"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6" borderId="0" xfId="0" applyFont="1" applyFill="1" applyAlignment="1">
      <alignment horizontal="left"/>
    </xf>
    <xf numFmtId="0" fontId="12" fillId="16" borderId="0" xfId="0" applyFont="1" applyFill="1"/>
    <xf numFmtId="0" fontId="4" fillId="16" borderId="0" xfId="0" applyFont="1" applyFill="1"/>
    <xf numFmtId="166" fontId="12" fillId="0" borderId="0" xfId="0" applyNumberFormat="1" applyFont="1"/>
    <xf numFmtId="0" fontId="12" fillId="16" borderId="0" xfId="8" applyFont="1" applyFill="1" applyAlignment="1">
      <alignment horizontal="left"/>
    </xf>
    <xf numFmtId="0" fontId="8" fillId="16" borderId="0" xfId="0" applyFont="1" applyFill="1"/>
    <xf numFmtId="0" fontId="38" fillId="16" borderId="0" xfId="8" applyFont="1" applyFill="1"/>
    <xf numFmtId="1" fontId="47"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26" fillId="0" borderId="0" xfId="3" applyFont="1" applyAlignment="1" applyProtection="1">
      <alignment horizontal="left"/>
      <protection locked="0"/>
    </xf>
    <xf numFmtId="0" fontId="10" fillId="16" borderId="18" xfId="0" applyFont="1" applyFill="1" applyBorder="1" applyAlignment="1">
      <alignment horizontal="center"/>
    </xf>
    <xf numFmtId="2" fontId="22" fillId="0" borderId="11" xfId="0" applyNumberFormat="1" applyFont="1" applyBorder="1" applyAlignment="1">
      <alignment horizontal="center" vertical="top"/>
    </xf>
    <xf numFmtId="0" fontId="22" fillId="0" borderId="11" xfId="0" applyFont="1" applyBorder="1" applyAlignment="1">
      <alignment horizontal="center" vertical="top"/>
    </xf>
    <xf numFmtId="0" fontId="82"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7"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8" borderId="9" xfId="1" applyFont="1" applyFill="1" applyBorder="1" applyProtection="1">
      <protection locked="0"/>
    </xf>
    <xf numFmtId="43" fontId="12" fillId="4" borderId="19" xfId="1" applyFont="1" applyFill="1" applyBorder="1" applyAlignment="1" applyProtection="1">
      <alignment horizontal="center"/>
      <protection locked="0"/>
    </xf>
    <xf numFmtId="39" fontId="17" fillId="0" borderId="3" xfId="1" applyNumberFormat="1" applyFont="1" applyFill="1" applyBorder="1" applyAlignment="1" applyProtection="1">
      <alignment horizontal="right"/>
      <protection locked="0"/>
    </xf>
    <xf numFmtId="2" fontId="48" fillId="0" borderId="19" xfId="0" applyNumberFormat="1" applyFont="1" applyBorder="1" applyAlignment="1" applyProtection="1">
      <alignment horizontal="center"/>
      <protection locked="0"/>
    </xf>
    <xf numFmtId="0" fontId="12" fillId="0" borderId="0" xfId="7" applyFont="1" applyAlignment="1" applyProtection="1">
      <alignment horizontal="right"/>
      <protection locked="0"/>
    </xf>
    <xf numFmtId="0" fontId="32" fillId="16"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76" fillId="0" borderId="17" xfId="0" applyNumberFormat="1" applyFont="1" applyBorder="1" applyAlignment="1" applyProtection="1">
      <alignment horizontal="center"/>
      <protection locked="0"/>
    </xf>
    <xf numFmtId="0" fontId="87" fillId="16" borderId="14" xfId="0" applyFont="1" applyFill="1" applyBorder="1"/>
    <xf numFmtId="0" fontId="87" fillId="16" borderId="16" xfId="0" applyFont="1" applyFill="1" applyBorder="1"/>
    <xf numFmtId="0" fontId="88" fillId="16" borderId="14" xfId="0" applyFont="1" applyFill="1" applyBorder="1"/>
    <xf numFmtId="0" fontId="0" fillId="0" borderId="0" xfId="0" applyAlignment="1">
      <alignment horizontal="center"/>
    </xf>
    <xf numFmtId="0" fontId="91" fillId="0" borderId="10" xfId="0" applyFont="1" applyBorder="1" applyAlignment="1">
      <alignment horizontal="center"/>
    </xf>
    <xf numFmtId="0" fontId="91" fillId="0" borderId="11" xfId="0" applyFont="1" applyBorder="1" applyAlignment="1">
      <alignment horizontal="center"/>
    </xf>
    <xf numFmtId="10" fontId="89" fillId="12" borderId="17" xfId="0" applyNumberFormat="1" applyFont="1" applyFill="1" applyBorder="1" applyAlignment="1" applyProtection="1">
      <alignment horizontal="center"/>
      <protection locked="0"/>
    </xf>
    <xf numFmtId="2" fontId="84" fillId="12" borderId="10" xfId="0" applyNumberFormat="1" applyFont="1" applyFill="1" applyBorder="1" applyAlignment="1" applyProtection="1">
      <alignment horizontal="center"/>
      <protection locked="0"/>
    </xf>
    <xf numFmtId="0" fontId="88" fillId="16" borderId="22" xfId="0" applyFont="1" applyFill="1" applyBorder="1"/>
    <xf numFmtId="0" fontId="87" fillId="16" borderId="22" xfId="0" applyFont="1" applyFill="1" applyBorder="1"/>
    <xf numFmtId="0" fontId="87" fillId="16" borderId="24" xfId="0" applyFont="1" applyFill="1" applyBorder="1"/>
    <xf numFmtId="0" fontId="88" fillId="14" borderId="14" xfId="0" applyFont="1" applyFill="1" applyBorder="1"/>
    <xf numFmtId="0" fontId="85" fillId="14" borderId="14" xfId="0" applyFont="1" applyFill="1" applyBorder="1"/>
    <xf numFmtId="0" fontId="90" fillId="16" borderId="10" xfId="7" applyFont="1" applyFill="1" applyBorder="1" applyAlignment="1" applyProtection="1">
      <alignment horizontal="center"/>
      <protection locked="0"/>
    </xf>
    <xf numFmtId="0" fontId="92" fillId="16" borderId="25" xfId="7" applyFont="1" applyFill="1" applyBorder="1" applyAlignment="1" applyProtection="1">
      <alignment horizontal="center"/>
      <protection locked="0"/>
    </xf>
    <xf numFmtId="0" fontId="34" fillId="0" borderId="0" xfId="7" applyFont="1" applyAlignment="1" applyProtection="1">
      <alignment vertical="top"/>
      <protection locked="0"/>
    </xf>
    <xf numFmtId="10" fontId="89"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49" fillId="0" borderId="0" xfId="0" applyFont="1" applyProtection="1">
      <protection locked="0"/>
    </xf>
    <xf numFmtId="0" fontId="49" fillId="2" borderId="29" xfId="0" applyFont="1" applyFill="1" applyBorder="1" applyProtection="1">
      <protection locked="0"/>
    </xf>
    <xf numFmtId="0" fontId="73" fillId="0" borderId="0" xfId="0" applyFont="1"/>
    <xf numFmtId="0" fontId="73" fillId="0" borderId="0" xfId="0" applyFont="1" applyProtection="1">
      <protection locked="0"/>
    </xf>
    <xf numFmtId="0" fontId="4" fillId="0" borderId="0" xfId="7" applyFont="1" applyAlignment="1">
      <alignment horizontal="centerContinuous" vertical="center"/>
    </xf>
    <xf numFmtId="0" fontId="76" fillId="0" borderId="0" xfId="2" applyNumberFormat="1" applyFont="1" applyFill="1" applyBorder="1" applyAlignment="1" applyProtection="1">
      <alignment horizontal="center"/>
    </xf>
    <xf numFmtId="2" fontId="13" fillId="16" borderId="0" xfId="4" applyNumberFormat="1" applyFont="1" applyFill="1" applyAlignment="1">
      <alignment horizontal="center"/>
    </xf>
    <xf numFmtId="1" fontId="13" fillId="16" borderId="0" xfId="4" applyFont="1" applyFill="1" applyAlignment="1">
      <alignment horizontal="center"/>
    </xf>
    <xf numFmtId="49" fontId="13" fillId="16" borderId="0" xfId="4" applyNumberFormat="1" applyFont="1" applyFill="1" applyAlignment="1">
      <alignment horizontal="center"/>
    </xf>
    <xf numFmtId="17" fontId="13" fillId="16" borderId="0" xfId="4" applyNumberFormat="1" applyFont="1" applyFill="1" applyAlignment="1">
      <alignment horizontal="center"/>
    </xf>
    <xf numFmtId="169" fontId="13" fillId="16" borderId="0" xfId="4" applyNumberFormat="1" applyFont="1" applyFill="1" applyAlignment="1">
      <alignment horizontal="center"/>
    </xf>
    <xf numFmtId="0" fontId="83" fillId="2" borderId="24" xfId="7" applyFont="1" applyFill="1" applyBorder="1" applyAlignment="1">
      <alignment horizontal="centerContinuous"/>
    </xf>
    <xf numFmtId="0" fontId="28" fillId="3" borderId="24" xfId="3" applyFont="1" applyFill="1" applyBorder="1" applyAlignment="1">
      <alignment horizontal="left"/>
    </xf>
    <xf numFmtId="0" fontId="28" fillId="4" borderId="19" xfId="3" applyFont="1" applyFill="1" applyBorder="1" applyAlignment="1">
      <alignment horizontal="left"/>
    </xf>
    <xf numFmtId="0" fontId="28" fillId="5" borderId="19" xfId="3" applyFont="1" applyFill="1" applyBorder="1" applyAlignment="1">
      <alignment horizontal="left"/>
    </xf>
    <xf numFmtId="0" fontId="28" fillId="6" borderId="19" xfId="3" applyFont="1" applyFill="1" applyBorder="1" applyAlignment="1">
      <alignment horizontal="left"/>
    </xf>
    <xf numFmtId="0" fontId="28" fillId="2" borderId="19" xfId="3" applyFont="1" applyFill="1" applyBorder="1" applyAlignment="1">
      <alignment horizontal="left"/>
    </xf>
    <xf numFmtId="0" fontId="28" fillId="7" borderId="19" xfId="3" applyFont="1" applyFill="1" applyBorder="1" applyAlignment="1">
      <alignment horizontal="left"/>
    </xf>
    <xf numFmtId="0" fontId="28" fillId="8" borderId="19" xfId="3" applyFont="1" applyFill="1" applyBorder="1" applyAlignment="1">
      <alignment horizontal="left"/>
    </xf>
    <xf numFmtId="0" fontId="28" fillId="9" borderId="19" xfId="3" applyFont="1" applyFill="1" applyBorder="1" applyAlignment="1">
      <alignment horizontal="left"/>
    </xf>
    <xf numFmtId="0" fontId="28" fillId="10" borderId="19" xfId="3" applyFont="1" applyFill="1" applyBorder="1" applyAlignment="1">
      <alignment horizontal="left"/>
    </xf>
    <xf numFmtId="0" fontId="28" fillId="11" borderId="19" xfId="3" applyFont="1" applyFill="1" applyBorder="1" applyAlignment="1">
      <alignment horizontal="left"/>
    </xf>
    <xf numFmtId="38" fontId="10" fillId="2" borderId="18" xfId="0" applyNumberFormat="1" applyFont="1" applyFill="1" applyBorder="1" applyAlignment="1">
      <alignment horizontal="center"/>
    </xf>
    <xf numFmtId="0" fontId="97" fillId="2" borderId="3" xfId="0" applyFont="1" applyFill="1" applyBorder="1" applyAlignment="1">
      <alignment horizontal="center"/>
    </xf>
    <xf numFmtId="1" fontId="20"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0" fillId="0" borderId="0" xfId="3" applyFont="1" applyAlignment="1">
      <alignment horizontal="center" vertical="center"/>
    </xf>
    <xf numFmtId="2" fontId="101"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19" fillId="0" borderId="30" xfId="0" applyFont="1" applyBorder="1" applyAlignment="1" applyProtection="1">
      <alignment horizontal="center"/>
      <protection locked="0"/>
    </xf>
    <xf numFmtId="0" fontId="19" fillId="0" borderId="26" xfId="0" applyFont="1" applyBorder="1" applyAlignment="1" applyProtection="1">
      <alignment horizontal="center"/>
      <protection locked="0"/>
    </xf>
    <xf numFmtId="0" fontId="61" fillId="0" borderId="0" xfId="0" applyFont="1" applyAlignment="1" applyProtection="1">
      <alignment horizontal="center"/>
      <protection locked="0"/>
    </xf>
    <xf numFmtId="0" fontId="61" fillId="0" borderId="21" xfId="0" applyFont="1" applyBorder="1" applyAlignment="1" applyProtection="1">
      <alignment horizontal="center"/>
      <protection locked="0"/>
    </xf>
    <xf numFmtId="0" fontId="103" fillId="0" borderId="19" xfId="0" applyFont="1" applyBorder="1" applyAlignment="1" applyProtection="1">
      <alignment horizontal="center"/>
      <protection locked="0"/>
    </xf>
    <xf numFmtId="0" fontId="0" fillId="14" borderId="16" xfId="0" applyFill="1" applyBorder="1"/>
    <xf numFmtId="2" fontId="8" fillId="16" borderId="31" xfId="0" applyNumberFormat="1" applyFont="1" applyFill="1" applyBorder="1"/>
    <xf numFmtId="2" fontId="8" fillId="16" borderId="19" xfId="0" applyNumberFormat="1" applyFont="1" applyFill="1" applyBorder="1"/>
    <xf numFmtId="2" fontId="8" fillId="16" borderId="0" xfId="0" applyNumberFormat="1" applyFont="1" applyFill="1"/>
    <xf numFmtId="2" fontId="4" fillId="18" borderId="15" xfId="0" applyNumberFormat="1" applyFont="1" applyFill="1" applyBorder="1" applyAlignment="1">
      <alignment horizontal="right"/>
    </xf>
    <xf numFmtId="2" fontId="4" fillId="18" borderId="9" xfId="0" applyNumberFormat="1" applyFont="1" applyFill="1" applyBorder="1" applyAlignment="1">
      <alignment horizontal="right"/>
    </xf>
    <xf numFmtId="0" fontId="0" fillId="16" borderId="32" xfId="0" applyFill="1" applyBorder="1" applyAlignment="1">
      <alignment horizontal="left"/>
    </xf>
    <xf numFmtId="0" fontId="1" fillId="16" borderId="0" xfId="0" applyFont="1" applyFill="1" applyAlignment="1">
      <alignment horizontal="center"/>
    </xf>
    <xf numFmtId="0" fontId="13" fillId="0" borderId="0" xfId="3" applyFont="1" applyAlignment="1">
      <alignment horizontal="left"/>
    </xf>
    <xf numFmtId="0" fontId="8" fillId="0" borderId="0" xfId="7" applyFont="1"/>
    <xf numFmtId="0" fontId="17" fillId="0" borderId="0" xfId="7" applyFont="1"/>
    <xf numFmtId="49" fontId="73" fillId="0" borderId="0" xfId="2" applyNumberFormat="1" applyFont="1" applyFill="1" applyBorder="1" applyAlignment="1" applyProtection="1">
      <alignment horizontal="right"/>
      <protection locked="0"/>
    </xf>
    <xf numFmtId="49" fontId="105" fillId="0" borderId="0" xfId="2" applyNumberFormat="1" applyFont="1" applyFill="1" applyBorder="1" applyAlignment="1" applyProtection="1">
      <alignment horizontal="right" vertical="center"/>
    </xf>
    <xf numFmtId="0" fontId="106" fillId="0" borderId="0" xfId="0" applyFont="1" applyAlignment="1">
      <alignment horizontal="right"/>
    </xf>
    <xf numFmtId="0" fontId="88" fillId="2" borderId="3" xfId="7" applyFont="1" applyFill="1" applyBorder="1" applyAlignment="1">
      <alignment horizontal="center"/>
    </xf>
    <xf numFmtId="43" fontId="0" fillId="0" borderId="0" xfId="1" applyFont="1" applyAlignment="1" applyProtection="1">
      <alignment horizontal="right"/>
    </xf>
    <xf numFmtId="0" fontId="102" fillId="16" borderId="11" xfId="3" applyFont="1" applyFill="1" applyBorder="1" applyAlignment="1" applyProtection="1">
      <alignment horizontal="left" vertical="center"/>
      <protection locked="0"/>
    </xf>
    <xf numFmtId="0" fontId="110" fillId="16" borderId="6" xfId="3" applyFont="1" applyFill="1" applyBorder="1" applyAlignment="1">
      <alignment horizontal="center" vertical="center"/>
    </xf>
    <xf numFmtId="0" fontId="111" fillId="16" borderId="3" xfId="2" applyNumberFormat="1" applyFont="1" applyFill="1" applyBorder="1" applyAlignment="1" applyProtection="1">
      <alignment horizontal="center" vertical="center"/>
    </xf>
    <xf numFmtId="0" fontId="22" fillId="0" borderId="0" xfId="7" applyFont="1" applyAlignment="1" applyProtection="1">
      <alignment horizontal="left"/>
      <protection locked="0"/>
    </xf>
    <xf numFmtId="0" fontId="94" fillId="0" borderId="0" xfId="7" applyFont="1" applyAlignment="1">
      <alignment vertical="center"/>
    </xf>
    <xf numFmtId="0" fontId="107" fillId="2" borderId="18" xfId="7" applyFont="1" applyFill="1" applyBorder="1" applyAlignment="1">
      <alignment horizontal="right"/>
    </xf>
    <xf numFmtId="0" fontId="93" fillId="12" borderId="10" xfId="0" applyFont="1" applyFill="1" applyBorder="1" applyAlignment="1" applyProtection="1">
      <alignment horizontal="center"/>
      <protection locked="0"/>
    </xf>
    <xf numFmtId="0" fontId="78" fillId="2" borderId="16" xfId="3" applyFont="1" applyFill="1" applyBorder="1" applyAlignment="1">
      <alignment horizontal="left"/>
    </xf>
    <xf numFmtId="0" fontId="93" fillId="12" borderId="25" xfId="0" applyFont="1" applyFill="1" applyBorder="1" applyAlignment="1" applyProtection="1">
      <alignment horizontal="center"/>
      <protection locked="0"/>
    </xf>
    <xf numFmtId="0" fontId="93" fillId="12" borderId="11" xfId="0" applyFont="1" applyFill="1" applyBorder="1" applyAlignment="1" applyProtection="1">
      <alignment horizontal="center"/>
      <protection locked="0"/>
    </xf>
    <xf numFmtId="0" fontId="68" fillId="0" borderId="0" xfId="3" applyFont="1" applyAlignment="1">
      <alignment horizontal="right"/>
    </xf>
    <xf numFmtId="0" fontId="86" fillId="14" borderId="14" xfId="0" applyFont="1" applyFill="1" applyBorder="1"/>
    <xf numFmtId="0" fontId="86" fillId="14" borderId="16" xfId="0" applyFont="1" applyFill="1" applyBorder="1"/>
    <xf numFmtId="2" fontId="87" fillId="2" borderId="10" xfId="3" applyNumberFormat="1" applyFont="1" applyFill="1" applyBorder="1" applyAlignment="1">
      <alignment horizontal="center"/>
    </xf>
    <xf numFmtId="2" fontId="87" fillId="2" borderId="25" xfId="3" applyNumberFormat="1" applyFont="1" applyFill="1" applyBorder="1" applyAlignment="1">
      <alignment horizontal="center"/>
    </xf>
    <xf numFmtId="2" fontId="87" fillId="2" borderId="11" xfId="3" applyNumberFormat="1" applyFont="1" applyFill="1" applyBorder="1" applyAlignment="1">
      <alignment horizontal="center"/>
    </xf>
    <xf numFmtId="2" fontId="13" fillId="12" borderId="0" xfId="3" applyNumberFormat="1" applyFont="1" applyFill="1" applyAlignment="1">
      <alignment horizontal="center"/>
    </xf>
    <xf numFmtId="0" fontId="67" fillId="12" borderId="3" xfId="3" applyFont="1" applyFill="1" applyBorder="1" applyAlignment="1" applyProtection="1">
      <alignment horizontal="center"/>
      <protection locked="0"/>
    </xf>
    <xf numFmtId="43" fontId="12" fillId="17" borderId="19" xfId="1" applyFont="1" applyFill="1" applyBorder="1" applyAlignment="1" applyProtection="1">
      <alignment horizontal="center"/>
      <protection locked="0"/>
    </xf>
    <xf numFmtId="0" fontId="114" fillId="0" borderId="19" xfId="0" applyFont="1" applyBorder="1" applyAlignment="1" applyProtection="1">
      <alignment horizontal="center"/>
      <protection locked="0"/>
    </xf>
    <xf numFmtId="0" fontId="114" fillId="0" borderId="25" xfId="0" applyFont="1" applyBorder="1" applyAlignment="1" applyProtection="1">
      <alignment horizontal="center"/>
      <protection locked="0"/>
    </xf>
    <xf numFmtId="0" fontId="114" fillId="0" borderId="0" xfId="0" applyFont="1" applyAlignment="1" applyProtection="1">
      <alignment horizontal="center"/>
      <protection locked="0"/>
    </xf>
    <xf numFmtId="0" fontId="13" fillId="0" borderId="0" xfId="0" applyFont="1" applyProtection="1">
      <protection locked="0"/>
    </xf>
    <xf numFmtId="0" fontId="115" fillId="0" borderId="0" xfId="0" applyFont="1" applyAlignment="1" applyProtection="1">
      <alignment horizontal="center"/>
      <protection locked="0"/>
    </xf>
    <xf numFmtId="0" fontId="116" fillId="0" borderId="0" xfId="0" applyFont="1" applyAlignment="1" applyProtection="1">
      <alignment horizontal="center"/>
      <protection locked="0"/>
    </xf>
    <xf numFmtId="0" fontId="88" fillId="16" borderId="5" xfId="7" applyFont="1" applyFill="1" applyBorder="1" applyAlignment="1">
      <alignment horizontal="centerContinuous" vertical="center"/>
    </xf>
    <xf numFmtId="0" fontId="9" fillId="16" borderId="3" xfId="3" applyFont="1" applyFill="1" applyBorder="1" applyAlignment="1">
      <alignment horizontal="center"/>
    </xf>
    <xf numFmtId="0" fontId="29" fillId="16" borderId="4" xfId="0" applyFont="1" applyFill="1" applyBorder="1"/>
    <xf numFmtId="0" fontId="37" fillId="16" borderId="29" xfId="7" applyFont="1" applyFill="1" applyBorder="1" applyAlignment="1">
      <alignment horizontal="left" vertical="center"/>
    </xf>
    <xf numFmtId="0" fontId="0" fillId="16" borderId="29" xfId="0" applyFill="1" applyBorder="1"/>
    <xf numFmtId="0" fontId="95" fillId="16" borderId="29" xfId="7" applyFont="1" applyFill="1" applyBorder="1" applyAlignment="1">
      <alignment horizontal="center"/>
    </xf>
    <xf numFmtId="0" fontId="4" fillId="16" borderId="29" xfId="7" applyFont="1" applyFill="1" applyBorder="1" applyAlignment="1">
      <alignment horizontal="centerContinuous" vertical="center"/>
    </xf>
    <xf numFmtId="0" fontId="4" fillId="16" borderId="33" xfId="7" applyFont="1" applyFill="1" applyBorder="1" applyAlignment="1">
      <alignment horizontal="centerContinuous" vertical="center"/>
    </xf>
    <xf numFmtId="10" fontId="89" fillId="12" borderId="11" xfId="0" applyNumberFormat="1" applyFont="1" applyFill="1" applyBorder="1" applyAlignment="1" applyProtection="1">
      <alignment horizontal="center"/>
      <protection locked="0"/>
    </xf>
    <xf numFmtId="39" fontId="12" fillId="16" borderId="3" xfId="1" applyNumberFormat="1" applyFont="1" applyFill="1" applyBorder="1" applyAlignment="1" applyProtection="1">
      <alignment horizontal="right"/>
    </xf>
    <xf numFmtId="43" fontId="15" fillId="16" borderId="17" xfId="1" applyFont="1" applyFill="1" applyBorder="1" applyAlignment="1" applyProtection="1">
      <alignment horizontal="center"/>
    </xf>
    <xf numFmtId="43" fontId="15" fillId="16" borderId="0" xfId="1" applyFont="1" applyFill="1" applyBorder="1" applyAlignment="1" applyProtection="1">
      <alignment horizontal="center"/>
    </xf>
    <xf numFmtId="43" fontId="12" fillId="16" borderId="0" xfId="1" applyFont="1" applyFill="1" applyBorder="1" applyAlignment="1" applyProtection="1">
      <alignment horizontal="center"/>
    </xf>
    <xf numFmtId="43" fontId="12" fillId="0" borderId="0" xfId="1" applyFont="1" applyBorder="1" applyProtection="1"/>
    <xf numFmtId="174" fontId="15" fillId="16" borderId="0" xfId="1" applyNumberFormat="1" applyFont="1" applyFill="1" applyBorder="1" applyAlignment="1" applyProtection="1">
      <alignment horizontal="center"/>
    </xf>
    <xf numFmtId="0" fontId="117" fillId="0" borderId="0" xfId="0" applyFont="1" applyAlignment="1" applyProtection="1">
      <alignment horizontal="right"/>
      <protection locked="0"/>
    </xf>
    <xf numFmtId="10" fontId="12" fillId="16" borderId="3" xfId="0" applyNumberFormat="1" applyFont="1" applyFill="1" applyBorder="1" applyAlignment="1">
      <alignment horizontal="right" vertical="center"/>
    </xf>
    <xf numFmtId="39" fontId="15" fillId="16" borderId="3" xfId="1" applyNumberFormat="1" applyFont="1" applyFill="1" applyBorder="1" applyAlignment="1" applyProtection="1">
      <alignment horizontal="right"/>
    </xf>
    <xf numFmtId="0" fontId="118" fillId="0" borderId="0" xfId="0" applyFont="1" applyAlignment="1" applyProtection="1">
      <alignment horizontal="right" vertical="top"/>
      <protection locked="0"/>
    </xf>
    <xf numFmtId="10" fontId="119" fillId="16" borderId="18" xfId="7" applyNumberFormat="1" applyFont="1" applyFill="1" applyBorder="1" applyAlignment="1">
      <alignment horizontal="center"/>
    </xf>
    <xf numFmtId="10" fontId="119" fillId="16" borderId="23" xfId="7" applyNumberFormat="1" applyFont="1" applyFill="1" applyBorder="1" applyAlignment="1">
      <alignment horizontal="center"/>
    </xf>
    <xf numFmtId="10" fontId="120" fillId="14" borderId="18" xfId="7" applyNumberFormat="1" applyFont="1" applyFill="1" applyBorder="1" applyAlignment="1">
      <alignment horizontal="center"/>
    </xf>
    <xf numFmtId="2" fontId="120" fillId="14" borderId="18" xfId="7" applyNumberFormat="1" applyFont="1" applyFill="1" applyBorder="1" applyAlignment="1">
      <alignment horizontal="center"/>
    </xf>
    <xf numFmtId="14" fontId="121" fillId="0" borderId="0" xfId="7" applyNumberFormat="1" applyFont="1" applyAlignment="1" applyProtection="1">
      <alignment horizontal="right"/>
      <protection locked="0"/>
    </xf>
    <xf numFmtId="14" fontId="52" fillId="0" borderId="0" xfId="7" applyNumberFormat="1" applyFont="1" applyAlignment="1" applyProtection="1">
      <alignment horizontal="center"/>
      <protection locked="0"/>
    </xf>
    <xf numFmtId="175" fontId="60" fillId="0" borderId="0" xfId="7" applyNumberFormat="1" applyFont="1" applyAlignment="1" applyProtection="1">
      <alignment horizontal="right"/>
      <protection locked="0"/>
    </xf>
    <xf numFmtId="176" fontId="60" fillId="0" borderId="0" xfId="7" applyNumberFormat="1" applyFont="1" applyAlignment="1" applyProtection="1">
      <alignment horizontal="left"/>
      <protection locked="0"/>
    </xf>
    <xf numFmtId="171" fontId="77" fillId="16"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3" fillId="0" borderId="16" xfId="1" applyNumberFormat="1" applyFont="1" applyFill="1" applyBorder="1" applyAlignment="1" applyProtection="1">
      <alignment horizontal="right"/>
    </xf>
    <xf numFmtId="39" fontId="123" fillId="0" borderId="18" xfId="1" applyNumberFormat="1" applyFont="1" applyFill="1" applyBorder="1" applyAlignment="1" applyProtection="1">
      <alignment horizontal="right"/>
    </xf>
    <xf numFmtId="0" fontId="124" fillId="0" borderId="14" xfId="7" applyFont="1" applyBorder="1" applyAlignment="1">
      <alignment horizontal="center"/>
    </xf>
    <xf numFmtId="40" fontId="18" fillId="2" borderId="14" xfId="7" applyNumberFormat="1" applyFont="1" applyFill="1" applyBorder="1" applyAlignment="1">
      <alignment horizontal="right"/>
    </xf>
    <xf numFmtId="40" fontId="18" fillId="2" borderId="16" xfId="7" applyNumberFormat="1" applyFont="1" applyFill="1" applyBorder="1" applyAlignment="1">
      <alignment horizontal="right"/>
    </xf>
    <xf numFmtId="14" fontId="52" fillId="0" borderId="0" xfId="7" applyNumberFormat="1" applyFont="1" applyAlignment="1" applyProtection="1">
      <alignment horizontal="right"/>
      <protection locked="0"/>
    </xf>
    <xf numFmtId="0" fontId="121" fillId="0" borderId="0" xfId="0" applyFont="1"/>
    <xf numFmtId="39" fontId="52" fillId="0" borderId="0" xfId="1" applyNumberFormat="1" applyFont="1" applyFill="1" applyBorder="1" applyAlignment="1" applyProtection="1">
      <alignment horizontal="right"/>
      <protection locked="0"/>
    </xf>
    <xf numFmtId="43" fontId="52" fillId="0" borderId="0" xfId="1" applyFont="1" applyFill="1" applyBorder="1" applyAlignment="1" applyProtection="1">
      <alignment horizontal="right"/>
      <protection locked="0"/>
    </xf>
    <xf numFmtId="43" fontId="52" fillId="0" borderId="0" xfId="1" applyFont="1" applyBorder="1" applyAlignment="1" applyProtection="1">
      <alignment horizontal="right"/>
      <protection locked="0"/>
    </xf>
    <xf numFmtId="177" fontId="15" fillId="16" borderId="3" xfId="1" applyNumberFormat="1" applyFont="1" applyFill="1" applyBorder="1" applyAlignment="1" applyProtection="1">
      <alignment horizontal="right"/>
    </xf>
    <xf numFmtId="167" fontId="122" fillId="16" borderId="3" xfId="7" applyNumberFormat="1" applyFont="1" applyFill="1" applyBorder="1" applyAlignment="1">
      <alignment horizontal="center"/>
    </xf>
    <xf numFmtId="0" fontId="12" fillId="0" borderId="1" xfId="3" applyFont="1" applyBorder="1"/>
    <xf numFmtId="0" fontId="110" fillId="16" borderId="25" xfId="0" applyFont="1" applyFill="1" applyBorder="1" applyAlignment="1">
      <alignment horizontal="center" vertical="center"/>
    </xf>
    <xf numFmtId="0" fontId="110" fillId="16" borderId="19" xfId="0" applyFont="1" applyFill="1" applyBorder="1" applyAlignment="1">
      <alignment horizontal="center" vertical="center"/>
    </xf>
    <xf numFmtId="0" fontId="110" fillId="16" borderId="6" xfId="0" applyFont="1" applyFill="1" applyBorder="1" applyAlignment="1">
      <alignment horizontal="right" vertical="center"/>
    </xf>
    <xf numFmtId="0" fontId="28" fillId="11" borderId="11" xfId="3" applyFont="1" applyFill="1" applyBorder="1" applyAlignment="1">
      <alignment horizontal="left"/>
    </xf>
    <xf numFmtId="0" fontId="107" fillId="2" borderId="23" xfId="7" applyFont="1" applyFill="1" applyBorder="1" applyAlignment="1">
      <alignment horizontal="center"/>
    </xf>
    <xf numFmtId="2" fontId="28" fillId="2" borderId="17" xfId="7" applyNumberFormat="1" applyFont="1" applyFill="1" applyBorder="1" applyAlignment="1">
      <alignment horizontal="center"/>
    </xf>
    <xf numFmtId="0" fontId="78" fillId="2" borderId="21" xfId="3" applyFont="1" applyFill="1" applyBorder="1" applyAlignment="1">
      <alignment horizontal="left"/>
    </xf>
    <xf numFmtId="0" fontId="13" fillId="0" borderId="40" xfId="0" applyFont="1" applyBorder="1" applyAlignment="1" applyProtection="1">
      <alignment horizontal="center"/>
      <protection locked="0"/>
    </xf>
    <xf numFmtId="4" fontId="17"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1" fillId="14" borderId="3" xfId="0" applyFont="1" applyFill="1" applyBorder="1" applyAlignment="1" applyProtection="1">
      <alignment horizontal="center"/>
      <protection locked="0"/>
    </xf>
    <xf numFmtId="0" fontId="71" fillId="12" borderId="3" xfId="0" applyFont="1" applyFill="1" applyBorder="1" applyAlignment="1" applyProtection="1">
      <alignment horizontal="center"/>
      <protection locked="0"/>
    </xf>
    <xf numFmtId="0" fontId="71" fillId="0" borderId="3" xfId="0" applyFont="1" applyBorder="1" applyAlignment="1" applyProtection="1">
      <alignment horizontal="center"/>
      <protection locked="0"/>
    </xf>
    <xf numFmtId="0" fontId="8" fillId="18" borderId="3" xfId="0" applyFont="1" applyFill="1" applyBorder="1" applyProtection="1">
      <protection locked="0"/>
    </xf>
    <xf numFmtId="0" fontId="19" fillId="0" borderId="0" xfId="0" applyFont="1"/>
    <xf numFmtId="0" fontId="126" fillId="0" borderId="0" xfId="0" applyFont="1"/>
    <xf numFmtId="38" fontId="127" fillId="16" borderId="18" xfId="0" applyNumberFormat="1" applyFont="1" applyFill="1" applyBorder="1" applyAlignment="1">
      <alignment horizontal="center"/>
    </xf>
    <xf numFmtId="38" fontId="26" fillId="12" borderId="14" xfId="0" applyNumberFormat="1" applyFont="1" applyFill="1" applyBorder="1" applyAlignment="1" applyProtection="1">
      <alignment horizontal="center"/>
      <protection locked="0"/>
    </xf>
    <xf numFmtId="0" fontId="57" fillId="0" borderId="0" xfId="0" applyFont="1" applyProtection="1">
      <protection locked="0"/>
    </xf>
    <xf numFmtId="0" fontId="128" fillId="0" borderId="0" xfId="7" applyFont="1" applyProtection="1">
      <protection locked="0"/>
    </xf>
    <xf numFmtId="0" fontId="129" fillId="0" borderId="0" xfId="0" applyFont="1" applyProtection="1">
      <protection locked="0"/>
    </xf>
    <xf numFmtId="0" fontId="130" fillId="0" borderId="0" xfId="0" applyFont="1" applyProtection="1">
      <protection locked="0"/>
    </xf>
    <xf numFmtId="0" fontId="45" fillId="0" borderId="0" xfId="0" applyFont="1" applyProtection="1">
      <protection locked="0"/>
    </xf>
    <xf numFmtId="0" fontId="109" fillId="0" borderId="0" xfId="0" applyFont="1" applyAlignment="1">
      <alignment vertical="center"/>
    </xf>
    <xf numFmtId="2" fontId="13" fillId="12" borderId="0" xfId="3" applyNumberFormat="1" applyFont="1" applyFill="1" applyAlignment="1">
      <alignment horizontal="center" vertical="top"/>
    </xf>
    <xf numFmtId="2" fontId="26" fillId="2" borderId="0" xfId="3" applyNumberFormat="1" applyFont="1" applyFill="1" applyAlignment="1" applyProtection="1">
      <alignment horizontal="center" vertical="top"/>
      <protection locked="0"/>
    </xf>
    <xf numFmtId="0" fontId="0" fillId="2" borderId="0" xfId="0" applyFill="1" applyProtection="1">
      <protection locked="0"/>
    </xf>
    <xf numFmtId="0" fontId="44" fillId="0" borderId="0" xfId="0" applyFont="1" applyAlignment="1" applyProtection="1">
      <alignment horizontal="center"/>
      <protection locked="0"/>
    </xf>
    <xf numFmtId="0" fontId="132" fillId="0" borderId="0" xfId="3" applyFont="1" applyAlignment="1">
      <alignment horizontal="right" vertical="top"/>
    </xf>
    <xf numFmtId="0" fontId="132" fillId="0" borderId="0" xfId="7" applyFont="1" applyAlignment="1">
      <alignment horizontal="right"/>
    </xf>
    <xf numFmtId="0" fontId="132" fillId="0" borderId="0" xfId="3" applyFont="1" applyAlignment="1">
      <alignment horizontal="right"/>
    </xf>
    <xf numFmtId="0" fontId="133" fillId="0" borderId="0" xfId="0" applyFont="1" applyAlignment="1" applyProtection="1">
      <alignment horizontal="left"/>
      <protection locked="0"/>
    </xf>
    <xf numFmtId="0" fontId="134" fillId="0" borderId="0" xfId="0" applyFont="1" applyProtection="1">
      <protection locked="0"/>
    </xf>
    <xf numFmtId="2" fontId="13" fillId="16" borderId="6" xfId="0" applyNumberFormat="1" applyFont="1" applyFill="1" applyBorder="1" applyAlignment="1">
      <alignment horizontal="center" vertical="center"/>
    </xf>
    <xf numFmtId="49" fontId="135" fillId="16"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36"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2" fontId="137" fillId="0" borderId="11" xfId="0" applyNumberFormat="1" applyFont="1" applyBorder="1" applyAlignment="1">
      <alignment horizontal="center" vertical="top"/>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38" fillId="16" borderId="19" xfId="0" applyFont="1" applyFill="1" applyBorder="1" applyAlignment="1">
      <alignment horizontal="left"/>
    </xf>
    <xf numFmtId="0" fontId="139" fillId="0" borderId="0" xfId="0" applyFont="1" applyAlignment="1" applyProtection="1">
      <alignment horizontal="left"/>
      <protection locked="0"/>
    </xf>
    <xf numFmtId="2" fontId="13" fillId="3" borderId="3" xfId="3" applyNumberFormat="1" applyFont="1" applyFill="1" applyBorder="1" applyAlignment="1" applyProtection="1">
      <alignment horizontal="center"/>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96"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49"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49"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0" fillId="2" borderId="29" xfId="2" applyNumberFormat="1" applyFont="1" applyFill="1" applyBorder="1" applyAlignment="1" applyProtection="1">
      <alignment horizontal="center"/>
    </xf>
    <xf numFmtId="0" fontId="54" fillId="2" borderId="29" xfId="2" applyNumberFormat="1" applyFont="1" applyFill="1" applyBorder="1" applyAlignment="1" applyProtection="1">
      <alignment horizontal="centerContinuous"/>
    </xf>
    <xf numFmtId="0" fontId="125" fillId="0" borderId="0" xfId="0" applyFont="1" applyAlignment="1">
      <alignment horizontal="center"/>
    </xf>
    <xf numFmtId="0" fontId="71" fillId="2" borderId="3" xfId="0" applyFont="1" applyFill="1" applyBorder="1" applyAlignment="1" applyProtection="1">
      <alignment horizontal="center"/>
      <protection locked="0"/>
    </xf>
    <xf numFmtId="0" fontId="72" fillId="0" borderId="3" xfId="0" applyFont="1" applyBorder="1" applyAlignment="1" applyProtection="1">
      <alignment horizontal="center"/>
      <protection locked="0"/>
    </xf>
    <xf numFmtId="167" fontId="140"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5" fillId="0" borderId="0" xfId="6" applyFont="1" applyAlignment="1" applyProtection="1">
      <alignment horizontal="center" vertical="top"/>
      <protection locked="0"/>
    </xf>
    <xf numFmtId="0" fontId="15" fillId="0" borderId="42" xfId="3" applyFont="1" applyBorder="1" applyAlignment="1">
      <alignment horizontal="center"/>
    </xf>
    <xf numFmtId="0" fontId="12" fillId="0" borderId="0" xfId="3" applyFont="1" applyAlignment="1">
      <alignment horizontal="left"/>
    </xf>
    <xf numFmtId="0" fontId="15" fillId="0" borderId="43" xfId="3" applyFont="1" applyBorder="1" applyAlignment="1">
      <alignment horizontal="center"/>
    </xf>
    <xf numFmtId="0" fontId="29" fillId="0" borderId="11" xfId="0" applyFont="1" applyBorder="1" applyAlignment="1">
      <alignment horizontal="left" vertical="top" indent="1"/>
    </xf>
    <xf numFmtId="2" fontId="7" fillId="0" borderId="0" xfId="10" applyNumberFormat="1" applyFont="1" applyProtection="1">
      <protection locked="0"/>
    </xf>
    <xf numFmtId="0" fontId="7" fillId="0" borderId="0" xfId="3" applyFont="1"/>
    <xf numFmtId="0" fontId="7" fillId="0" borderId="24" xfId="3" applyFont="1" applyBorder="1" applyAlignment="1">
      <alignment horizontal="right"/>
    </xf>
    <xf numFmtId="0" fontId="1" fillId="0" borderId="3" xfId="0" applyFont="1" applyBorder="1" applyAlignment="1">
      <alignment horizontal="center"/>
    </xf>
    <xf numFmtId="0" fontId="7" fillId="16" borderId="0" xfId="3" applyFont="1" applyFill="1"/>
    <xf numFmtId="4" fontId="13" fillId="3" borderId="3" xfId="3" applyNumberFormat="1" applyFont="1" applyFill="1" applyBorder="1" applyAlignment="1">
      <alignment horizontal="center"/>
    </xf>
    <xf numFmtId="2" fontId="15" fillId="3" borderId="3" xfId="3" applyNumberFormat="1" applyFont="1" applyFill="1" applyBorder="1" applyAlignment="1">
      <alignment horizontal="center"/>
    </xf>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0" fontId="7" fillId="0" borderId="1" xfId="3" applyFont="1" applyBorder="1"/>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57" fillId="0" borderId="18" xfId="0" applyNumberFormat="1" applyFont="1" applyBorder="1" applyAlignment="1">
      <alignment horizontal="center"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0" fontId="4" fillId="0" borderId="0" xfId="0" applyFont="1" applyAlignment="1">
      <alignment horizontal="center"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43" fillId="0" borderId="11" xfId="0" applyNumberFormat="1" applyFont="1" applyBorder="1" applyAlignment="1">
      <alignment horizontal="center" vertical="top"/>
    </xf>
    <xf numFmtId="0" fontId="29" fillId="0" borderId="20" xfId="0" applyFont="1" applyBorder="1" applyAlignment="1">
      <alignment horizontal="left" vertical="top" indent="1"/>
    </xf>
    <xf numFmtId="0" fontId="1" fillId="0" borderId="46" xfId="0" applyFont="1" applyBorder="1" applyAlignment="1">
      <alignment horizontal="center" vertical="top"/>
    </xf>
    <xf numFmtId="0" fontId="4" fillId="0" borderId="11" xfId="0" applyFont="1" applyBorder="1" applyAlignment="1">
      <alignment horizontal="center" vertical="top"/>
    </xf>
    <xf numFmtId="0" fontId="4" fillId="0" borderId="47" xfId="0" applyFont="1" applyBorder="1" applyAlignment="1">
      <alignment horizontal="center" vertical="top"/>
    </xf>
    <xf numFmtId="0" fontId="22"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8" xfId="0" applyFont="1" applyBorder="1" applyAlignment="1">
      <alignment horizontal="center" vertical="top"/>
    </xf>
    <xf numFmtId="0" fontId="4" fillId="0" borderId="49"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8" xfId="0" applyFont="1" applyBorder="1" applyAlignment="1">
      <alignment horizontal="center" vertical="top" wrapText="1"/>
    </xf>
    <xf numFmtId="0" fontId="4" fillId="0" borderId="25" xfId="0" applyFont="1" applyBorder="1" applyAlignment="1">
      <alignment horizontal="center" vertical="top" wrapText="1"/>
    </xf>
    <xf numFmtId="0" fontId="4" fillId="0" borderId="49"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8" xfId="0" applyNumberFormat="1" applyFont="1" applyBorder="1" applyAlignment="1">
      <alignment horizontal="center" vertical="top"/>
    </xf>
    <xf numFmtId="1" fontId="4" fillId="0" borderId="49"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6" xfId="0" applyNumberFormat="1" applyFont="1" applyBorder="1" applyAlignment="1">
      <alignment horizontal="center" vertical="top"/>
    </xf>
    <xf numFmtId="1" fontId="4" fillId="0" borderId="47"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4" xfId="0" applyFont="1" applyBorder="1" applyAlignment="1">
      <alignment horizontal="center" vertical="top"/>
    </xf>
    <xf numFmtId="0" fontId="1" fillId="0" borderId="14" xfId="0" applyFont="1" applyBorder="1" applyAlignment="1">
      <alignment horizontal="center" vertical="top"/>
    </xf>
    <xf numFmtId="0" fontId="1" fillId="0" borderId="45" xfId="0" applyFont="1" applyBorder="1" applyAlignment="1">
      <alignment horizontal="right" vertical="top"/>
    </xf>
    <xf numFmtId="0" fontId="4" fillId="0" borderId="44"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79" fontId="75" fillId="12" borderId="3" xfId="0" applyNumberFormat="1" applyFont="1" applyFill="1" applyBorder="1" applyAlignment="1" applyProtection="1">
      <alignment horizontal="center"/>
      <protection locked="0"/>
    </xf>
    <xf numFmtId="4" fontId="1" fillId="19" borderId="10" xfId="0" applyNumberFormat="1" applyFont="1" applyFill="1" applyBorder="1" applyAlignment="1">
      <alignment horizontal="center" vertical="top"/>
    </xf>
    <xf numFmtId="4" fontId="1" fillId="19" borderId="11" xfId="0" applyNumberFormat="1" applyFont="1" applyFill="1" applyBorder="1" applyAlignment="1">
      <alignment horizontal="center" vertical="top"/>
    </xf>
    <xf numFmtId="0" fontId="144" fillId="0" borderId="0" xfId="3" applyFont="1" applyProtection="1">
      <protection locked="0"/>
    </xf>
    <xf numFmtId="0" fontId="145" fillId="0" borderId="0" xfId="3" applyFont="1" applyAlignment="1" applyProtection="1">
      <alignment horizontal="right"/>
      <protection locked="0"/>
    </xf>
    <xf numFmtId="0" fontId="144" fillId="0" borderId="0" xfId="11" applyFont="1" applyProtection="1">
      <protection locked="0"/>
    </xf>
    <xf numFmtId="0" fontId="144" fillId="0" borderId="0" xfId="3" applyFont="1" applyAlignment="1" applyProtection="1">
      <alignment horizontal="left"/>
      <protection locked="0"/>
    </xf>
    <xf numFmtId="0" fontId="144" fillId="0" borderId="13" xfId="3" applyFont="1" applyBorder="1" applyProtection="1">
      <protection locked="0"/>
    </xf>
    <xf numFmtId="0" fontId="144" fillId="0" borderId="13" xfId="11" applyFont="1" applyBorder="1" applyProtection="1">
      <protection locked="0"/>
    </xf>
    <xf numFmtId="0" fontId="145" fillId="0" borderId="0" xfId="11" applyFont="1" applyAlignment="1" applyProtection="1">
      <alignment horizontal="right"/>
      <protection locked="0"/>
    </xf>
    <xf numFmtId="15" fontId="144" fillId="0" borderId="0" xfId="11" applyNumberFormat="1" applyFont="1" applyProtection="1">
      <protection locked="0"/>
    </xf>
    <xf numFmtId="0" fontId="144" fillId="16" borderId="0" xfId="3" applyFont="1" applyFill="1" applyAlignment="1" applyProtection="1">
      <alignment horizontal="left"/>
      <protection locked="0"/>
    </xf>
    <xf numFmtId="0" fontId="146" fillId="0" borderId="0" xfId="3" applyFont="1" applyProtection="1">
      <protection locked="0"/>
    </xf>
    <xf numFmtId="0" fontId="146" fillId="0" borderId="0" xfId="3" applyFont="1" applyAlignment="1" applyProtection="1">
      <alignment horizontal="right"/>
      <protection locked="0"/>
    </xf>
    <xf numFmtId="4" fontId="144" fillId="16" borderId="0" xfId="1" applyNumberFormat="1" applyFont="1" applyFill="1" applyBorder="1" applyAlignment="1" applyProtection="1">
      <alignment horizontal="centerContinuous"/>
      <protection locked="0"/>
    </xf>
    <xf numFmtId="0" fontId="144" fillId="0" borderId="0" xfId="11" applyFont="1"/>
    <xf numFmtId="0" fontId="145" fillId="0" borderId="0" xfId="3" applyFont="1" applyAlignment="1" applyProtection="1">
      <alignment horizontal="left"/>
      <protection locked="0"/>
    </xf>
    <xf numFmtId="0" fontId="146" fillId="0" borderId="0" xfId="3" applyFont="1" applyAlignment="1" applyProtection="1">
      <alignment horizontal="left"/>
      <protection locked="0"/>
    </xf>
    <xf numFmtId="0" fontId="145" fillId="0" borderId="0" xfId="3" applyFont="1" applyProtection="1">
      <protection locked="0"/>
    </xf>
    <xf numFmtId="0" fontId="144" fillId="0" borderId="0" xfId="3" applyFont="1" applyAlignment="1" applyProtection="1">
      <alignment horizontal="center"/>
      <protection locked="0"/>
    </xf>
    <xf numFmtId="0" fontId="144" fillId="0" borderId="22" xfId="3" applyFont="1" applyBorder="1" applyProtection="1">
      <protection locked="0"/>
    </xf>
    <xf numFmtId="0" fontId="144" fillId="0" borderId="34" xfId="3" applyFont="1" applyBorder="1" applyProtection="1">
      <protection locked="0"/>
    </xf>
    <xf numFmtId="0" fontId="144" fillId="0" borderId="35" xfId="3" applyFont="1" applyBorder="1" applyProtection="1">
      <protection locked="0"/>
    </xf>
    <xf numFmtId="0" fontId="144" fillId="0" borderId="36" xfId="3" applyFont="1" applyBorder="1" applyProtection="1">
      <protection locked="0"/>
    </xf>
    <xf numFmtId="0" fontId="144" fillId="0" borderId="37" xfId="3" applyFont="1" applyBorder="1" applyProtection="1">
      <protection locked="0"/>
    </xf>
    <xf numFmtId="0" fontId="146" fillId="0" borderId="0" xfId="7" applyFont="1" applyAlignment="1" applyProtection="1">
      <alignment horizontal="left" vertical="center"/>
      <protection locked="0"/>
    </xf>
    <xf numFmtId="0" fontId="144" fillId="0" borderId="38" xfId="3" applyFont="1" applyBorder="1" applyProtection="1">
      <protection locked="0"/>
    </xf>
    <xf numFmtId="0" fontId="144" fillId="0" borderId="39" xfId="3" applyFont="1" applyBorder="1" applyProtection="1">
      <protection locked="0"/>
    </xf>
    <xf numFmtId="0" fontId="147" fillId="0" borderId="0" xfId="3" applyFont="1" applyProtection="1">
      <protection locked="0"/>
    </xf>
    <xf numFmtId="0" fontId="145" fillId="0" borderId="0" xfId="7" applyFont="1" applyAlignment="1" applyProtection="1">
      <alignment horizontal="right"/>
      <protection locked="0"/>
    </xf>
    <xf numFmtId="0" fontId="145" fillId="0" borderId="13" xfId="7" applyFont="1" applyBorder="1" applyAlignment="1" applyProtection="1">
      <alignment horizontal="left"/>
      <protection locked="0"/>
    </xf>
    <xf numFmtId="0" fontId="145" fillId="0" borderId="0" xfId="7" applyFont="1" applyAlignment="1" applyProtection="1">
      <alignment horizontal="left"/>
      <protection locked="0"/>
    </xf>
    <xf numFmtId="0" fontId="148" fillId="0" borderId="0" xfId="3" applyFont="1" applyAlignment="1" applyProtection="1">
      <alignment horizontal="right"/>
      <protection locked="0"/>
    </xf>
    <xf numFmtId="0" fontId="147" fillId="0" borderId="0" xfId="3" applyFont="1" applyAlignment="1" applyProtection="1">
      <alignment horizontal="left"/>
      <protection locked="0"/>
    </xf>
    <xf numFmtId="0" fontId="13" fillId="0" borderId="0" xfId="3" applyFont="1" applyAlignment="1">
      <alignment horizontal="center"/>
    </xf>
    <xf numFmtId="0" fontId="13" fillId="0" borderId="23" xfId="3" applyFont="1" applyBorder="1" applyAlignment="1">
      <alignment horizontal="right"/>
    </xf>
    <xf numFmtId="0" fontId="13" fillId="0" borderId="22" xfId="3" applyFont="1" applyBorder="1" applyAlignment="1">
      <alignment horizontal="right"/>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4" fontId="15" fillId="3" borderId="18" xfId="3" applyNumberFormat="1" applyFont="1" applyFill="1" applyBorder="1" applyAlignment="1">
      <alignment horizontal="right"/>
    </xf>
    <xf numFmtId="4" fontId="15" fillId="3" borderId="16" xfId="3" applyNumberFormat="1" applyFont="1" applyFill="1" applyBorder="1" applyAlignment="1">
      <alignment horizontal="right"/>
    </xf>
    <xf numFmtId="1" fontId="15" fillId="0" borderId="0" xfId="10" applyFont="1" applyAlignment="1" applyProtection="1">
      <alignment vertical="top"/>
      <protection locked="0"/>
    </xf>
    <xf numFmtId="1" fontId="15" fillId="0" borderId="0" xfId="10" applyFont="1" applyProtection="1">
      <protection locked="0"/>
    </xf>
    <xf numFmtId="2" fontId="15" fillId="0" borderId="0" xfId="10" applyNumberFormat="1" applyFont="1" applyProtection="1">
      <protection locked="0"/>
    </xf>
    <xf numFmtId="1" fontId="15" fillId="0" borderId="0" xfId="10" applyFont="1"/>
    <xf numFmtId="2" fontId="7" fillId="3" borderId="3" xfId="3" applyNumberFormat="1" applyFont="1" applyFill="1" applyBorder="1" applyAlignment="1">
      <alignment horizontal="center"/>
    </xf>
    <xf numFmtId="165" fontId="15" fillId="0" borderId="0" xfId="10" applyNumberFormat="1" applyFont="1" applyProtection="1">
      <protection locked="0"/>
    </xf>
    <xf numFmtId="1" fontId="7" fillId="0" borderId="0" xfId="10" applyFont="1" applyProtection="1">
      <protection locked="0"/>
    </xf>
    <xf numFmtId="2" fontId="7" fillId="13" borderId="0" xfId="10" applyNumberFormat="1" applyFont="1" applyFill="1"/>
    <xf numFmtId="2" fontId="7" fillId="17"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2" fontId="7" fillId="13" borderId="15" xfId="10" applyNumberFormat="1" applyFont="1" applyFill="1" applyBorder="1"/>
    <xf numFmtId="0" fontId="149" fillId="0" borderId="0" xfId="0" applyFont="1"/>
    <xf numFmtId="0" fontId="149" fillId="16" borderId="0" xfId="0" applyFont="1" applyFill="1"/>
    <xf numFmtId="0" fontId="149" fillId="16" borderId="0" xfId="0" applyFont="1" applyFill="1" applyAlignment="1">
      <alignment horizontal="center"/>
    </xf>
    <xf numFmtId="0" fontId="150" fillId="16" borderId="0" xfId="0" applyFont="1" applyFill="1" applyAlignment="1">
      <alignment horizontal="center"/>
    </xf>
    <xf numFmtId="169" fontId="149" fillId="0" borderId="0" xfId="0" applyNumberFormat="1" applyFont="1"/>
    <xf numFmtId="2" fontId="149" fillId="0" borderId="0" xfId="0" applyNumberFormat="1" applyFont="1"/>
    <xf numFmtId="2" fontId="149" fillId="3" borderId="0" xfId="0" applyNumberFormat="1" applyFont="1" applyFill="1"/>
    <xf numFmtId="2" fontId="149" fillId="17" borderId="0" xfId="0" applyNumberFormat="1" applyFont="1" applyFill="1"/>
    <xf numFmtId="1" fontId="15" fillId="20" borderId="3" xfId="10" applyFont="1" applyFill="1" applyBorder="1" applyAlignment="1" applyProtection="1">
      <alignment horizontal="center"/>
      <protection locked="0"/>
    </xf>
    <xf numFmtId="43" fontId="15" fillId="2" borderId="15" xfId="1" applyFont="1" applyFill="1" applyBorder="1"/>
    <xf numFmtId="2" fontId="13" fillId="2" borderId="0" xfId="3" applyNumberFormat="1" applyFont="1" applyFill="1" applyAlignment="1" applyProtection="1">
      <alignment horizontal="center"/>
      <protection locked="0"/>
    </xf>
    <xf numFmtId="0" fontId="151" fillId="0" borderId="0" xfId="3" applyFont="1" applyAlignment="1">
      <alignment horizontal="right"/>
    </xf>
    <xf numFmtId="4" fontId="7" fillId="13" borderId="0" xfId="10" applyNumberFormat="1" applyFont="1" applyFill="1" applyAlignment="1">
      <alignment horizontal="right"/>
    </xf>
    <xf numFmtId="1" fontId="7" fillId="0" borderId="0" xfId="3" applyNumberFormat="1" applyFont="1"/>
    <xf numFmtId="2" fontId="7" fillId="0" borderId="0" xfId="10" applyNumberFormat="1" applyFont="1" applyAlignment="1">
      <alignment horizontal="right"/>
    </xf>
    <xf numFmtId="4" fontId="7" fillId="13" borderId="0" xfId="10" applyNumberFormat="1" applyFont="1" applyFill="1" applyAlignment="1" applyProtection="1">
      <alignment horizontal="right"/>
      <protection locked="0"/>
    </xf>
    <xf numFmtId="4" fontId="7" fillId="4" borderId="0" xfId="3" applyNumberFormat="1" applyFont="1" applyFill="1" applyAlignment="1">
      <alignment horizontal="right"/>
    </xf>
    <xf numFmtId="165" fontId="7" fillId="0" borderId="0" xfId="10" applyNumberFormat="1" applyFont="1" applyProtection="1">
      <protection locked="0"/>
    </xf>
    <xf numFmtId="2" fontId="7" fillId="0" borderId="0" xfId="3" applyNumberFormat="1" applyFont="1" applyAlignment="1">
      <alignment horizontal="right"/>
    </xf>
    <xf numFmtId="0" fontId="7" fillId="0" borderId="0" xfId="3" applyFont="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lignment horizontal="right"/>
    </xf>
    <xf numFmtId="1" fontId="7" fillId="0" borderId="0" xfId="10" applyFont="1"/>
    <xf numFmtId="0" fontId="152" fillId="0" borderId="0" xfId="3" applyFont="1" applyProtection="1">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lignment horizontal="right"/>
    </xf>
    <xf numFmtId="4" fontId="7" fillId="6" borderId="0" xfId="3" applyNumberFormat="1" applyFont="1" applyFill="1" applyAlignment="1" applyProtection="1">
      <alignment horizontal="right"/>
      <protection locked="0"/>
    </xf>
    <xf numFmtId="4" fontId="7" fillId="2" borderId="0" xfId="3" applyNumberFormat="1" applyFont="1" applyFill="1" applyAlignment="1">
      <alignment horizontal="right"/>
    </xf>
    <xf numFmtId="4" fontId="7" fillId="2" borderId="0" xfId="3" applyNumberFormat="1" applyFont="1" applyFill="1" applyAlignment="1" applyProtection="1">
      <alignment horizontal="right"/>
      <protection locked="0"/>
    </xf>
    <xf numFmtId="4" fontId="7" fillId="7" borderId="0" xfId="3" applyNumberFormat="1" applyFont="1" applyFill="1" applyAlignment="1">
      <alignment horizontal="right"/>
    </xf>
    <xf numFmtId="4" fontId="7" fillId="7" borderId="0" xfId="3" applyNumberFormat="1" applyFont="1" applyFill="1" applyAlignment="1" applyProtection="1">
      <alignment horizontal="right"/>
      <protection locked="0"/>
    </xf>
    <xf numFmtId="4" fontId="7" fillId="8" borderId="0" xfId="3" applyNumberFormat="1" applyFont="1" applyFill="1" applyAlignment="1">
      <alignment horizontal="right"/>
    </xf>
    <xf numFmtId="4" fontId="7" fillId="8" borderId="0" xfId="3" applyNumberFormat="1" applyFont="1" applyFill="1" applyProtection="1">
      <protection locked="0"/>
    </xf>
    <xf numFmtId="4" fontId="7" fillId="9" borderId="0" xfId="3" applyNumberFormat="1" applyFont="1" applyFill="1" applyAlignment="1">
      <alignment horizontal="right"/>
    </xf>
    <xf numFmtId="4" fontId="7" fillId="9" borderId="0" xfId="3" applyNumberFormat="1" applyFont="1" applyFill="1" applyProtection="1">
      <protection locked="0"/>
    </xf>
    <xf numFmtId="4" fontId="7" fillId="10" borderId="0" xfId="3" applyNumberFormat="1" applyFont="1" applyFill="1" applyAlignment="1">
      <alignment horizontal="right"/>
    </xf>
    <xf numFmtId="4" fontId="7" fillId="10" borderId="0" xfId="3" applyNumberFormat="1" applyFont="1" applyFill="1" applyProtection="1">
      <protection locked="0"/>
    </xf>
    <xf numFmtId="4" fontId="7" fillId="11" borderId="13" xfId="3" applyNumberFormat="1" applyFont="1" applyFill="1" applyBorder="1" applyAlignment="1">
      <alignment horizontal="right"/>
    </xf>
    <xf numFmtId="4" fontId="7" fillId="11" borderId="0" xfId="3" applyNumberFormat="1" applyFont="1" applyFill="1" applyProtection="1">
      <protection locked="0"/>
    </xf>
    <xf numFmtId="0" fontId="15" fillId="0" borderId="1" xfId="3" applyFont="1" applyBorder="1" applyAlignment="1">
      <alignment horizontal="left"/>
    </xf>
    <xf numFmtId="0" fontId="153" fillId="0" borderId="1" xfId="3" applyFont="1" applyBorder="1" applyAlignment="1">
      <alignment horizontal="right"/>
    </xf>
    <xf numFmtId="0" fontId="3" fillId="0" borderId="1" xfId="3" applyFont="1" applyBorder="1"/>
    <xf numFmtId="0" fontId="15" fillId="0" borderId="1" xfId="3" applyFont="1" applyBorder="1" applyAlignment="1">
      <alignment horizontal="right"/>
    </xf>
    <xf numFmtId="4" fontId="15" fillId="2" borderId="1" xfId="3" applyNumberFormat="1" applyFont="1" applyFill="1" applyBorder="1" applyAlignment="1">
      <alignment horizontal="right"/>
    </xf>
    <xf numFmtId="1" fontId="15" fillId="2" borderId="1" xfId="10" applyFont="1" applyFill="1" applyBorder="1" applyProtection="1">
      <protection locked="0"/>
    </xf>
    <xf numFmtId="2" fontId="15" fillId="2" borderId="1" xfId="10" applyNumberFormat="1" applyFont="1" applyFill="1" applyBorder="1" applyProtection="1">
      <protection locked="0"/>
    </xf>
    <xf numFmtId="1" fontId="15" fillId="2" borderId="1" xfId="10" applyFont="1" applyFill="1" applyBorder="1"/>
    <xf numFmtId="2" fontId="15" fillId="2" borderId="1" xfId="3" applyNumberFormat="1" applyFont="1" applyFill="1" applyBorder="1"/>
    <xf numFmtId="0" fontId="154" fillId="2" borderId="1" xfId="3" applyFont="1" applyFill="1" applyBorder="1" applyProtection="1">
      <protection locked="0"/>
    </xf>
    <xf numFmtId="43" fontId="15" fillId="0" borderId="1" xfId="1" applyFont="1" applyFill="1" applyBorder="1"/>
    <xf numFmtId="0" fontId="153" fillId="0" borderId="0" xfId="3" applyFont="1" applyAlignment="1">
      <alignment horizontal="right"/>
    </xf>
    <xf numFmtId="0" fontId="3" fillId="0" borderId="0" xfId="3" applyFont="1" applyAlignment="1">
      <alignment horizontal="right"/>
    </xf>
    <xf numFmtId="0" fontId="15" fillId="0" borderId="0" xfId="3" applyFont="1" applyAlignment="1">
      <alignment horizontal="right"/>
    </xf>
    <xf numFmtId="2" fontId="15" fillId="0" borderId="0" xfId="3" applyNumberFormat="1" applyFont="1"/>
    <xf numFmtId="2" fontId="15" fillId="0" borderId="0" xfId="10" applyNumberFormat="1" applyFont="1"/>
    <xf numFmtId="2" fontId="154" fillId="0" borderId="0" xfId="3" applyNumberFormat="1" applyFont="1" applyProtection="1">
      <protection locked="0"/>
    </xf>
    <xf numFmtId="43" fontId="18" fillId="0" borderId="50" xfId="3" applyNumberFormat="1" applyFont="1" applyBorder="1"/>
    <xf numFmtId="0" fontId="15" fillId="12" borderId="0" xfId="3" applyFont="1" applyFill="1" applyAlignment="1" applyProtection="1">
      <alignment horizontal="left"/>
      <protection locked="0"/>
    </xf>
    <xf numFmtId="0" fontId="15" fillId="12" borderId="0" xfId="3" applyFont="1" applyFill="1" applyAlignment="1" applyProtection="1">
      <alignment horizontal="center"/>
      <protection locked="0"/>
    </xf>
    <xf numFmtId="2" fontId="7" fillId="0" borderId="0" xfId="3" applyNumberFormat="1" applyFont="1"/>
    <xf numFmtId="2" fontId="7" fillId="0" borderId="12" xfId="3" applyNumberFormat="1" applyFont="1" applyBorder="1"/>
    <xf numFmtId="2" fontId="7" fillId="0" borderId="12" xfId="3" applyNumberFormat="1" applyFont="1" applyBorder="1" applyProtection="1">
      <protection locked="0"/>
    </xf>
    <xf numFmtId="0" fontId="18" fillId="12" borderId="0" xfId="3" applyFont="1" applyFill="1" applyProtection="1">
      <protection locked="0"/>
    </xf>
    <xf numFmtId="2" fontId="7" fillId="2" borderId="0" xfId="3" applyNumberFormat="1" applyFont="1" applyFill="1" applyAlignment="1" applyProtection="1">
      <alignment horizontal="center"/>
      <protection locked="0"/>
    </xf>
    <xf numFmtId="4" fontId="7" fillId="13" borderId="12" xfId="10" applyNumberFormat="1" applyFont="1" applyFill="1" applyBorder="1" applyAlignment="1">
      <alignment horizontal="right"/>
    </xf>
    <xf numFmtId="2" fontId="7" fillId="13" borderId="12" xfId="10" applyNumberFormat="1" applyFont="1" applyFill="1" applyBorder="1"/>
    <xf numFmtId="2" fontId="7" fillId="0" borderId="12" xfId="10" applyNumberFormat="1" applyFont="1" applyBorder="1" applyProtection="1">
      <protection locked="0"/>
    </xf>
    <xf numFmtId="0" fontId="7" fillId="2" borderId="0" xfId="3" applyFont="1" applyFill="1" applyAlignment="1" applyProtection="1">
      <alignment horizontal="center"/>
      <protection locked="0"/>
    </xf>
    <xf numFmtId="1" fontId="1" fillId="0" borderId="0" xfId="10" applyFont="1" applyProtection="1">
      <protection locked="0"/>
    </xf>
    <xf numFmtId="1" fontId="15" fillId="0" borderId="0" xfId="10" applyFont="1" applyAlignment="1" applyProtection="1">
      <alignment horizontal="right"/>
      <protection locked="0"/>
    </xf>
    <xf numFmtId="4" fontId="7" fillId="7" borderId="12" xfId="3" applyNumberFormat="1" applyFont="1" applyFill="1" applyBorder="1"/>
    <xf numFmtId="2" fontId="7" fillId="7" borderId="12" xfId="3" applyNumberFormat="1" applyFont="1" applyFill="1" applyBorder="1"/>
    <xf numFmtId="2" fontId="152" fillId="0" borderId="12" xfId="3" applyNumberFormat="1" applyFont="1" applyBorder="1" applyProtection="1">
      <protection locked="0"/>
    </xf>
    <xf numFmtId="0" fontId="155" fillId="12" borderId="0" xfId="3" applyFont="1" applyFill="1" applyProtection="1">
      <protection locked="0"/>
    </xf>
    <xf numFmtId="4" fontId="7" fillId="6" borderId="12" xfId="3" applyNumberFormat="1" applyFont="1" applyFill="1" applyBorder="1"/>
    <xf numFmtId="2" fontId="7" fillId="6" borderId="12" xfId="3" applyNumberFormat="1" applyFont="1" applyFill="1" applyBorder="1"/>
    <xf numFmtId="2" fontId="15" fillId="0" borderId="1" xfId="3" applyNumberFormat="1" applyFont="1" applyBorder="1" applyAlignment="1">
      <alignment horizontal="right"/>
    </xf>
    <xf numFmtId="2" fontId="7" fillId="0" borderId="1" xfId="3" applyNumberFormat="1"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lignment horizontal="right"/>
    </xf>
    <xf numFmtId="49" fontId="156" fillId="0" borderId="14" xfId="0" applyNumberFormat="1" applyFont="1" applyBorder="1" applyAlignment="1">
      <alignment horizontal="left"/>
    </xf>
    <xf numFmtId="1" fontId="20" fillId="0" borderId="0" xfId="10" applyFont="1" applyAlignment="1" applyProtection="1">
      <alignment horizontal="center"/>
      <protection locked="0"/>
    </xf>
    <xf numFmtId="0" fontId="3" fillId="0" borderId="13" xfId="0" applyFont="1" applyBorder="1"/>
    <xf numFmtId="0" fontId="15" fillId="0" borderId="13" xfId="0" applyFont="1" applyBorder="1" applyAlignment="1">
      <alignment horizontal="right"/>
    </xf>
    <xf numFmtId="1" fontId="0" fillId="0" borderId="13" xfId="0" applyNumberFormat="1" applyBorder="1"/>
    <xf numFmtId="0" fontId="1" fillId="0" borderId="13" xfId="0" applyFont="1" applyBorder="1"/>
    <xf numFmtId="2" fontId="1" fillId="2" borderId="14" xfId="0" applyNumberFormat="1" applyFont="1" applyFill="1" applyBorder="1" applyAlignment="1">
      <alignment horizontal="right"/>
    </xf>
    <xf numFmtId="165" fontId="1" fillId="2" borderId="14" xfId="0" applyNumberFormat="1" applyFont="1" applyFill="1" applyBorder="1"/>
    <xf numFmtId="0" fontId="7" fillId="0" borderId="0" xfId="0" applyFont="1"/>
    <xf numFmtId="0" fontId="7" fillId="0" borderId="0" xfId="0" applyFont="1" applyAlignment="1">
      <alignment horizontal="right"/>
    </xf>
    <xf numFmtId="0" fontId="138" fillId="0" borderId="0" xfId="0" applyFont="1" applyAlignment="1">
      <alignment horizontal="left"/>
    </xf>
    <xf numFmtId="0" fontId="1" fillId="0" borderId="0" xfId="0" applyFont="1" applyAlignment="1">
      <alignment horizontal="center"/>
    </xf>
    <xf numFmtId="2" fontId="4" fillId="0" borderId="0" xfId="0" applyNumberFormat="1" applyFont="1"/>
    <xf numFmtId="165" fontId="0" fillId="0" borderId="0" xfId="0" applyNumberFormat="1"/>
    <xf numFmtId="0" fontId="7" fillId="0" borderId="1" xfId="0" applyFont="1" applyBorder="1" applyAlignment="1">
      <alignment horizontal="right"/>
    </xf>
    <xf numFmtId="0" fontId="21" fillId="0" borderId="1" xfId="0" applyFont="1" applyBorder="1" applyAlignment="1">
      <alignment horizontal="left"/>
    </xf>
    <xf numFmtId="1" fontId="20" fillId="0" borderId="1" xfId="10" applyFont="1" applyBorder="1" applyAlignment="1" applyProtection="1">
      <alignment horizontal="center"/>
      <protection locked="0"/>
    </xf>
    <xf numFmtId="0" fontId="7" fillId="0" borderId="1" xfId="0" applyFont="1" applyBorder="1"/>
    <xf numFmtId="0" fontId="0" fillId="0" borderId="1" xfId="0" applyBorder="1"/>
    <xf numFmtId="0" fontId="1" fillId="0" borderId="1" xfId="0" applyFont="1" applyBorder="1" applyAlignment="1">
      <alignment horizontal="center"/>
    </xf>
    <xf numFmtId="1" fontId="0" fillId="0" borderId="1" xfId="0" applyNumberFormat="1" applyBorder="1"/>
    <xf numFmtId="0" fontId="1" fillId="0" borderId="0" xfId="0" applyFont="1" applyAlignment="1">
      <alignment horizontal="left"/>
    </xf>
    <xf numFmtId="0" fontId="23" fillId="0" borderId="0" xfId="0" applyFont="1" applyAlignment="1">
      <alignment horizontal="center"/>
    </xf>
    <xf numFmtId="0" fontId="22" fillId="0" borderId="1" xfId="0" applyFont="1" applyBorder="1"/>
    <xf numFmtId="0" fontId="1" fillId="0" borderId="15" xfId="0" applyFont="1" applyBorder="1" applyAlignment="1">
      <alignment horizontal="left"/>
    </xf>
    <xf numFmtId="0" fontId="24" fillId="0" borderId="15" xfId="0" applyFont="1" applyBorder="1" applyAlignment="1">
      <alignment horizontal="center"/>
    </xf>
    <xf numFmtId="0" fontId="0" fillId="0" borderId="15" xfId="0" applyBorder="1"/>
    <xf numFmtId="1" fontId="0" fillId="0" borderId="15" xfId="0" applyNumberFormat="1" applyBorder="1"/>
    <xf numFmtId="2" fontId="4" fillId="0" borderId="15" xfId="0" applyNumberFormat="1" applyFont="1" applyBorder="1" applyAlignment="1">
      <alignment horizontal="right"/>
    </xf>
    <xf numFmtId="165" fontId="0" fillId="0" borderId="15" xfId="0" applyNumberFormat="1" applyBorder="1"/>
    <xf numFmtId="2" fontId="149" fillId="20" borderId="0" xfId="0" applyNumberFormat="1" applyFont="1" applyFill="1"/>
    <xf numFmtId="0" fontId="159" fillId="0" borderId="0" xfId="0" applyFont="1"/>
    <xf numFmtId="2" fontId="15" fillId="0" borderId="0" xfId="12" applyNumberFormat="1" applyFont="1" applyProtection="1">
      <protection locked="0"/>
    </xf>
    <xf numFmtId="1" fontId="15" fillId="0" borderId="0" xfId="12" applyFont="1" applyProtection="1">
      <protection locked="0"/>
    </xf>
    <xf numFmtId="1" fontId="15" fillId="2" borderId="0" xfId="12" applyFont="1" applyFill="1" applyProtection="1">
      <protection locked="0"/>
    </xf>
    <xf numFmtId="17" fontId="15" fillId="2" borderId="0" xfId="12" applyNumberFormat="1" applyFont="1" applyFill="1" applyProtection="1">
      <protection locked="0"/>
    </xf>
    <xf numFmtId="1" fontId="15" fillId="0" borderId="0" xfId="12" applyFont="1" applyAlignment="1" applyProtection="1">
      <alignment horizontal="center"/>
      <protection locked="0"/>
    </xf>
    <xf numFmtId="2" fontId="56" fillId="0" borderId="0" xfId="12" applyNumberFormat="1" applyFont="1"/>
    <xf numFmtId="2" fontId="7" fillId="3" borderId="0" xfId="12" applyNumberFormat="1" applyFont="1" applyFill="1"/>
    <xf numFmtId="2" fontId="7" fillId="3" borderId="0" xfId="10" applyNumberFormat="1" applyFont="1" applyFill="1"/>
    <xf numFmtId="1" fontId="7" fillId="0" borderId="0" xfId="12" applyFont="1" applyProtection="1">
      <protection locked="0"/>
    </xf>
    <xf numFmtId="1" fontId="7" fillId="0" borderId="0" xfId="12" applyFont="1" applyAlignment="1" applyProtection="1">
      <alignment horizontal="right"/>
      <protection locked="0"/>
    </xf>
    <xf numFmtId="2" fontId="7" fillId="0" borderId="0" xfId="12" applyNumberFormat="1" applyFont="1" applyProtection="1">
      <protection locked="0"/>
    </xf>
    <xf numFmtId="1" fontId="56" fillId="0" borderId="0" xfId="12" applyFont="1" applyProtection="1">
      <protection locked="0"/>
    </xf>
    <xf numFmtId="1" fontId="7" fillId="2" borderId="0" xfId="12" applyFont="1" applyFill="1" applyProtection="1">
      <protection locked="0"/>
    </xf>
    <xf numFmtId="17" fontId="7" fillId="2" borderId="0" xfId="12" applyNumberFormat="1" applyFont="1" applyFill="1" applyProtection="1">
      <protection locked="0"/>
    </xf>
    <xf numFmtId="1" fontId="7" fillId="0" borderId="0" xfId="12" applyFont="1" applyAlignment="1" applyProtection="1">
      <alignment horizontal="center"/>
      <protection locked="0"/>
    </xf>
    <xf numFmtId="2" fontId="56" fillId="3" borderId="0" xfId="12" applyNumberFormat="1" applyFont="1" applyFill="1"/>
    <xf numFmtId="0" fontId="7" fillId="0" borderId="0" xfId="0" applyFont="1" applyProtection="1">
      <protection locked="0"/>
    </xf>
    <xf numFmtId="0" fontId="14" fillId="0" borderId="0" xfId="0" applyFont="1"/>
    <xf numFmtId="2" fontId="7" fillId="14" borderId="3" xfId="3" applyNumberFormat="1" applyFont="1" applyFill="1" applyBorder="1"/>
    <xf numFmtId="1" fontId="56" fillId="0" borderId="0" xfId="0" applyNumberFormat="1" applyFont="1"/>
    <xf numFmtId="0" fontId="1" fillId="0" borderId="25" xfId="0" applyFont="1" applyBorder="1" applyAlignment="1">
      <alignment vertical="top" wrapText="1"/>
    </xf>
    <xf numFmtId="1" fontId="4" fillId="0" borderId="25" xfId="0" applyNumberFormat="1" applyFont="1" applyBorder="1" applyAlignment="1">
      <alignment vertical="top" wrapText="1"/>
    </xf>
    <xf numFmtId="1" fontId="1" fillId="0" borderId="25" xfId="0" applyNumberFormat="1" applyFont="1" applyBorder="1" applyAlignment="1">
      <alignment vertical="top" wrapText="1"/>
    </xf>
    <xf numFmtId="2" fontId="7" fillId="0" borderId="10" xfId="10" applyNumberFormat="1" applyFont="1" applyBorder="1" applyAlignment="1" applyProtection="1">
      <alignment horizontal="center"/>
      <protection locked="0"/>
    </xf>
    <xf numFmtId="1" fontId="15" fillId="0" borderId="0" xfId="10" applyFont="1" applyAlignment="1" applyProtection="1">
      <alignment horizontal="left"/>
      <protection locked="0"/>
    </xf>
    <xf numFmtId="171" fontId="13" fillId="0" borderId="0" xfId="3" applyNumberFormat="1" applyFont="1"/>
    <xf numFmtId="4" fontId="7" fillId="7" borderId="0" xfId="3" applyNumberFormat="1" applyFont="1" applyFill="1"/>
    <xf numFmtId="0" fontId="15" fillId="0" borderId="11" xfId="3" applyFont="1" applyBorder="1" applyAlignment="1" applyProtection="1">
      <alignment horizontal="center"/>
      <protection locked="0"/>
    </xf>
    <xf numFmtId="2" fontId="7" fillId="0" borderId="1" xfId="3" applyNumberFormat="1" applyFont="1" applyBorder="1"/>
    <xf numFmtId="0" fontId="152" fillId="0" borderId="1" xfId="3" applyFont="1" applyBorder="1" applyProtection="1">
      <protection locked="0"/>
    </xf>
    <xf numFmtId="2" fontId="160" fillId="0" borderId="0" xfId="0" applyNumberFormat="1" applyFont="1"/>
    <xf numFmtId="170" fontId="1" fillId="0" borderId="16" xfId="0" applyNumberFormat="1" applyFont="1" applyBorder="1" applyAlignment="1">
      <alignment horizontal="right" vertical="top"/>
    </xf>
    <xf numFmtId="1" fontId="81" fillId="0" borderId="25" xfId="0" applyNumberFormat="1" applyFont="1" applyBorder="1" applyAlignment="1">
      <alignment horizontal="left" vertical="top" indent="1"/>
    </xf>
    <xf numFmtId="0" fontId="4" fillId="0" borderId="14" xfId="0" applyFont="1" applyBorder="1" applyAlignment="1">
      <alignment horizontal="center" vertical="top"/>
    </xf>
    <xf numFmtId="0" fontId="1" fillId="0" borderId="14" xfId="0" applyFont="1" applyBorder="1" applyAlignment="1">
      <alignment horizontal="right" vertical="top"/>
    </xf>
    <xf numFmtId="0" fontId="131"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37" fillId="0" borderId="23" xfId="8" applyFont="1" applyBorder="1" applyAlignment="1" applyProtection="1">
      <alignment horizontal="center"/>
      <protection locked="0"/>
    </xf>
    <xf numFmtId="0" fontId="37" fillId="0" borderId="22" xfId="8" applyFont="1" applyBorder="1" applyAlignment="1" applyProtection="1">
      <alignment horizontal="center"/>
      <protection locked="0"/>
    </xf>
    <xf numFmtId="0" fontId="37" fillId="0" borderId="24" xfId="8" applyFont="1" applyBorder="1" applyAlignment="1" applyProtection="1">
      <alignment horizontal="center"/>
      <protection locked="0"/>
    </xf>
    <xf numFmtId="0" fontId="19" fillId="0" borderId="20" xfId="8" applyFont="1" applyBorder="1" applyAlignment="1" applyProtection="1">
      <alignment horizontal="center" vertical="center"/>
      <protection locked="0"/>
    </xf>
    <xf numFmtId="0" fontId="19" fillId="0" borderId="13" xfId="8" applyFont="1" applyBorder="1" applyAlignment="1" applyProtection="1">
      <alignment horizontal="center" vertical="center"/>
      <protection locked="0"/>
    </xf>
    <xf numFmtId="0" fontId="19" fillId="0" borderId="0" xfId="8" applyFont="1" applyAlignment="1" applyProtection="1">
      <alignment horizontal="center" vertical="center"/>
      <protection locked="0"/>
    </xf>
    <xf numFmtId="0" fontId="19" fillId="0" borderId="19" xfId="8" applyFont="1" applyBorder="1" applyAlignment="1" applyProtection="1">
      <alignment horizontal="center" vertical="center"/>
      <protection locked="0"/>
    </xf>
    <xf numFmtId="0" fontId="26" fillId="0" borderId="0" xfId="3" applyFont="1" applyAlignment="1" applyProtection="1">
      <alignment horizontal="left"/>
      <protection locked="0"/>
    </xf>
    <xf numFmtId="0" fontId="45" fillId="0" borderId="0" xfId="8" applyFont="1" applyAlignment="1" applyProtection="1">
      <alignment horizontal="left"/>
      <protection locked="0"/>
    </xf>
    <xf numFmtId="0" fontId="109" fillId="0" borderId="14" xfId="0" applyFont="1" applyBorder="1" applyAlignment="1">
      <alignment horizontal="center" vertical="center"/>
    </xf>
    <xf numFmtId="0" fontId="108" fillId="0" borderId="0" xfId="0" applyFont="1" applyAlignment="1">
      <alignment horizontal="left" vertical="center"/>
    </xf>
    <xf numFmtId="0" fontId="13" fillId="0" borderId="0" xfId="3" applyFont="1" applyAlignment="1" applyProtection="1">
      <alignment horizontal="left" vertical="top" wrapText="1"/>
      <protection locked="0"/>
    </xf>
    <xf numFmtId="0" fontId="27" fillId="0" borderId="0" xfId="3" applyFont="1" applyAlignment="1" applyProtection="1">
      <alignment horizontal="left" vertical="top" wrapText="1"/>
      <protection locked="0"/>
    </xf>
    <xf numFmtId="0" fontId="113" fillId="0" borderId="0" xfId="0" applyFont="1" applyAlignment="1">
      <alignment horizontal="center"/>
    </xf>
    <xf numFmtId="0" fontId="104" fillId="7" borderId="0" xfId="7" applyFont="1" applyFill="1" applyAlignment="1">
      <alignment horizontal="center" vertical="top" wrapText="1"/>
    </xf>
    <xf numFmtId="0" fontId="145" fillId="0" borderId="0" xfId="3" applyFont="1" applyAlignment="1">
      <alignment horizontal="center"/>
    </xf>
    <xf numFmtId="0" fontId="144" fillId="0" borderId="0" xfId="3" applyFont="1" applyAlignment="1">
      <alignment horizontal="center"/>
    </xf>
    <xf numFmtId="1" fontId="14" fillId="0" borderId="0" xfId="10" applyFont="1" applyAlignment="1" applyProtection="1">
      <alignment horizontal="left" vertical="top" wrapText="1"/>
      <protection locked="0"/>
    </xf>
    <xf numFmtId="0" fontId="0" fillId="0" borderId="0" xfId="0" applyAlignment="1">
      <alignment vertical="top" wrapText="1"/>
    </xf>
    <xf numFmtId="1" fontId="14" fillId="0" borderId="0" xfId="10" applyFont="1" applyAlignment="1" applyProtection="1">
      <alignment horizontal="left" wrapText="1"/>
      <protection locked="0"/>
    </xf>
    <xf numFmtId="0" fontId="1" fillId="0" borderId="44" xfId="0" applyFont="1" applyBorder="1" applyAlignment="1">
      <alignment horizontal="center" vertical="top"/>
    </xf>
    <xf numFmtId="0" fontId="1" fillId="0" borderId="14" xfId="0" applyFont="1" applyBorder="1" applyAlignment="1">
      <alignment horizontal="center" vertical="top"/>
    </xf>
    <xf numFmtId="0" fontId="1" fillId="0" borderId="45" xfId="0" applyFont="1" applyBorder="1" applyAlignment="1">
      <alignment horizontal="center" vertical="top"/>
    </xf>
  </cellXfs>
  <cellStyles count="13">
    <cellStyle name="Comma" xfId="1" builtinId="3"/>
    <cellStyle name="Currency_Estimate" xfId="2" xr:uid="{00000000-0005-0000-0000-000001000000}"/>
    <cellStyle name="Normal" xfId="0" builtinId="0"/>
    <cellStyle name="Normal 2" xfId="9" xr:uid="{00000000-0005-0000-0000-000003000000}"/>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RATES" xfId="12" xr:uid="{B3902ECC-A1F8-4930-B4F0-BD795FA1EA85}"/>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13"/>
      </font>
      <fill>
        <patternFill>
          <bgColor indexed="10"/>
        </patternFill>
      </fill>
    </dxf>
    <dxf>
      <font>
        <condense val="0"/>
        <extend val="0"/>
        <color indexed="9"/>
      </font>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checked="Checked" fmlaLink="$G$1" lockText="1" noThreeD="1"/>
</file>

<file path=xl/ctrlProps/ctrlProp2.xml><?xml version="1.0" encoding="utf-8"?>
<formControlPr xmlns="http://schemas.microsoft.com/office/spreadsheetml/2009/9/main" objectType="CheckBox" checked="Checked" fmlaLink="$G$2" lockText="1" noThreeD="1"/>
</file>

<file path=xl/ctrlProps/ctrlProp3.xml><?xml version="1.0" encoding="utf-8"?>
<formControlPr xmlns="http://schemas.microsoft.com/office/spreadsheetml/2009/9/main" objectType="CheckBox" checked="Checked" fmlaLink="$G$3" lockText="1" noThreeD="1"/>
</file>

<file path=xl/ctrlProps/ctrlProp4.xml><?xml version="1.0" encoding="utf-8"?>
<formControlPr xmlns="http://schemas.microsoft.com/office/spreadsheetml/2009/9/main" objectType="CheckBox" checked="Checked" fmlaLink="$G$4" lockText="1" noThreeD="1"/>
</file>

<file path=xl/ctrlProps/ctrlProp5.xml><?xml version="1.0" encoding="utf-8"?>
<formControlPr xmlns="http://schemas.microsoft.com/office/spreadsheetml/2009/9/main" objectType="CheckBox" checked="Checked" fmlaLink="$G$5" lockText="1" noThreeD="1"/>
</file>

<file path=xl/ctrlProps/ctrlProp6.xml><?xml version="1.0" encoding="utf-8"?>
<formControlPr xmlns="http://schemas.microsoft.com/office/spreadsheetml/2009/9/main" objectType="CheckBox" checked="Checked" fmlaLink="$G$6" lockText="1" noThreeD="1"/>
</file>

<file path=xl/ctrlProps/ctrlProp7.xml><?xml version="1.0" encoding="utf-8"?>
<formControlPr xmlns="http://schemas.microsoft.com/office/spreadsheetml/2009/9/main" objectType="CheckBox" checked="Checked" fmlaLink="$G$7" lockText="1" noThreeD="1"/>
</file>

<file path=xl/ctrlProps/ctrlProp8.xml><?xml version="1.0" encoding="utf-8"?>
<formControlPr xmlns="http://schemas.microsoft.com/office/spreadsheetml/2009/9/main" objectType="CheckBox" checked="Checked" fmlaLink="$G$8" lockText="1" noThreeD="1"/>
</file>

<file path=xl/ctrlProps/ctrlProp9.xml><?xml version="1.0" encoding="utf-8"?>
<formControlPr xmlns="http://schemas.microsoft.com/office/spreadsheetml/2009/9/main" objectType="CheckBox" checked="Checked" fmlaLink="$G$9" lockText="1" noThreeD="1"/>
</file>

<file path=xl/ctrlProps/ctrlProp10.xml><?xml version="1.0" encoding="utf-8"?>
<formControlPr xmlns="http://schemas.microsoft.com/office/spreadsheetml/2009/9/main" objectType="CheckBox" checked="Checked" fmlaLink="$H$1" lockText="1" noThreeD="1"/>
</file>

<file path=xl/ctrlProps/ctrlProp11.xml><?xml version="1.0" encoding="utf-8"?>
<formControlPr xmlns="http://schemas.microsoft.com/office/spreadsheetml/2009/9/main" objectType="CheckBox" checked="Checked"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266700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1</xdr:col>
          <xdr:colOff>137160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342900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335280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274320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251460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1</xdr:col>
          <xdr:colOff>68580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190500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563880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Payment - 100% on completion.</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2) Quote is valid for 30 days from above date.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Commencement - to be confirmed at time of order.</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4) Works are proceeding.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Execution Approx. </a:t>
          </a:r>
          <a:r>
            <a:rPr lang="en-GB" sz="1000" b="0" i="0" baseline="0">
              <a:effectLst/>
              <a:latin typeface="+mn-lt"/>
              <a:ea typeface="+mn-ea"/>
              <a:cs typeface="+mn-cs"/>
            </a:rPr>
            <a:t>8 to 12</a:t>
          </a:r>
          <a:r>
            <a:rPr lang="en-GB" sz="1000" b="0" i="0" u="none" strike="noStrike" baseline="0">
              <a:solidFill>
                <a:srgbClr val="000000"/>
              </a:solidFill>
              <a:latin typeface="Mark Pro Book" panose="020B0604020201010104" pitchFamily="34" charset="0"/>
              <a:cs typeface="Arial"/>
            </a:rPr>
            <a:t> working weeks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6) The above selling price includes the contract discount and is additional to the contract value.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7) We have assumed that we will be allowed to work unhindered between 7.00 to 15.30 on weekdays.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Any builders' work except conduit chases in walls / as per contract.</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2) Work outside our normal working hours.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Security of the works after normal working hours.</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4) Cutting of holes in gypsum partitions or false ceilings to accommodate electrical devices.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Dismantling of any existing installation / false ceiling / furnishings unless included in attached BOQ.</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6) Anything not mentioned in our Bill of Quantities.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 This quotation covers the supply, installation and commissioning ……..</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p>
        <a:p>
          <a:pPr algn="l" rtl="0">
            <a:defRPr sz="1000"/>
          </a:pPr>
          <a:r>
            <a:rPr lang="en-GB" sz="1000" b="0" i="0" u="none" strike="noStrike" baseline="0">
              <a:solidFill>
                <a:srgbClr val="000000"/>
              </a:solidFill>
              <a:latin typeface="Mark Pro Book" panose="020B0604020201010104" pitchFamily="34" charset="0"/>
              <a:cs typeface="Arial"/>
            </a:rPr>
            <a:t>3)</a:t>
          </a:r>
        </a:p>
        <a:p>
          <a:pPr algn="l" rtl="0">
            <a:defRPr sz="1000"/>
          </a:pPr>
          <a:r>
            <a:rPr lang="en-GB" sz="1000" b="0" i="0" u="none" strike="noStrike" baseline="0">
              <a:solidFill>
                <a:srgbClr val="000000"/>
              </a:solidFill>
              <a:latin typeface="Mark Pro Book" panose="020B0604020201010104" pitchFamily="34" charset="0"/>
              <a:cs typeface="Arial"/>
            </a:rPr>
            <a:t>4)</a:t>
          </a:r>
        </a:p>
        <a:p>
          <a:pPr algn="l" rtl="0">
            <a:defRPr sz="1000"/>
          </a:pPr>
          <a:r>
            <a:rPr lang="en-GB" sz="1000" b="0" i="0" u="none" strike="noStrike" baseline="0">
              <a:solidFill>
                <a:srgbClr val="000000"/>
              </a:solidFill>
              <a:latin typeface="Mark Pro Book" panose="020B0604020201010104" pitchFamily="34" charset="0"/>
              <a:cs typeface="Arial"/>
            </a:rPr>
            <a:t>5)</a:t>
          </a:r>
        </a:p>
        <a:p>
          <a:pPr algn="l" rtl="0">
            <a:defRPr sz="1000"/>
          </a:pPr>
          <a:r>
            <a:rPr lang="en-GB" sz="1000" b="0" i="0" u="none" strike="noStrike" baseline="0">
              <a:solidFill>
                <a:srgbClr val="000000"/>
              </a:solidFill>
              <a:latin typeface="Mark Pro Book" panose="020B0604020201010104" pitchFamily="34" charset="0"/>
              <a:cs typeface="Arial"/>
            </a:rPr>
            <a:t>6)</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C13"/>
  <sheetViews>
    <sheetView workbookViewId="0">
      <selection activeCell="B16" sqref="B16"/>
    </sheetView>
  </sheetViews>
  <sheetFormatPr defaultRowHeight="13.2"/>
  <cols>
    <col min="1" max="1" width="13.33203125" style="449" customWidth="1"/>
    <col min="2" max="2" width="89.6640625" customWidth="1"/>
    <col min="4" max="4" width="9.5546875" customWidth="1"/>
    <col min="6" max="6" width="10.109375" customWidth="1"/>
    <col min="9" max="9" width="7.6640625" customWidth="1"/>
  </cols>
  <sheetData>
    <row r="1" spans="1:3" ht="17.399999999999999">
      <c r="A1" s="450" t="s">
        <v>240</v>
      </c>
      <c r="C1" s="277"/>
    </row>
    <row r="3" spans="1:3">
      <c r="A3" s="124"/>
    </row>
    <row r="13" spans="1:3">
      <c r="A13" s="124"/>
    </row>
  </sheetData>
  <phoneticPr fontId="27"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76"/>
  <sheetViews>
    <sheetView topLeftCell="A82" zoomScaleNormal="100" workbookViewId="0">
      <selection activeCell="F111" sqref="F111"/>
    </sheetView>
  </sheetViews>
  <sheetFormatPr defaultColWidth="9.109375" defaultRowHeight="13.2"/>
  <cols>
    <col min="1" max="1" width="8.33203125" style="36" customWidth="1"/>
    <col min="2" max="2" width="12.44140625" style="137" customWidth="1"/>
    <col min="3" max="3" width="6.6640625" style="36" hidden="1" customWidth="1"/>
    <col min="4" max="4" width="11.5546875" style="36" customWidth="1"/>
    <col min="5" max="5" width="13" style="36" customWidth="1"/>
    <col min="6" max="6" width="13.109375" style="36" customWidth="1"/>
    <col min="7" max="7" width="10" style="36" hidden="1" customWidth="1"/>
    <col min="8" max="14" width="8.6640625" style="36" hidden="1" customWidth="1"/>
    <col min="15" max="15" width="5.33203125" style="36" hidden="1" customWidth="1"/>
    <col min="16" max="16" width="7.6640625" style="36" hidden="1" customWidth="1"/>
    <col min="17" max="17" width="8" style="36" customWidth="1"/>
    <col min="18" max="18" width="12.109375" style="36" customWidth="1"/>
    <col min="19" max="19" width="11.109375" style="36" customWidth="1"/>
    <col min="20" max="20" width="10.5546875" style="36" customWidth="1"/>
    <col min="21" max="21" width="8.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463" t="s">
        <v>0</v>
      </c>
      <c r="C1" s="460">
        <v>1</v>
      </c>
      <c r="D1" s="810" t="s">
        <v>273</v>
      </c>
      <c r="E1" s="811"/>
      <c r="G1" s="461" t="b">
        <v>1</v>
      </c>
      <c r="H1" s="461" t="b">
        <v>1</v>
      </c>
      <c r="I1" s="269">
        <v>1</v>
      </c>
      <c r="J1" s="270">
        <f t="shared" ref="J1:J10" si="0">$Q109</f>
        <v>1</v>
      </c>
      <c r="K1" s="270">
        <f t="shared" ref="K1:K10" si="1">$Q119</f>
        <v>1</v>
      </c>
      <c r="L1" s="270">
        <f t="shared" ref="L1:L10" si="2">$Q129</f>
        <v>1</v>
      </c>
      <c r="M1" s="270">
        <f t="shared" ref="M1:M10" si="3">$Q139</f>
        <v>1</v>
      </c>
      <c r="N1" s="270">
        <f t="shared" ref="N1:N9" si="4">$Q149</f>
        <v>1</v>
      </c>
      <c r="O1" s="270">
        <f t="shared" ref="O1:O6" si="5">$Q159</f>
        <v>1</v>
      </c>
      <c r="P1" s="11"/>
      <c r="Q1" s="432" t="str">
        <f>IF(C1=1,"€","Curr?")</f>
        <v>€</v>
      </c>
      <c r="R1" s="369" t="s">
        <v>209</v>
      </c>
      <c r="S1" s="451" t="str">
        <f>IF($S$39="PRINT","R","Do Not Print")</f>
        <v>R</v>
      </c>
      <c r="T1" s="479">
        <v>1</v>
      </c>
      <c r="V1" s="125">
        <f t="array" ref="V1">IF(OR(X1=AREAS),1,0)</f>
        <v>1</v>
      </c>
      <c r="W1" s="448" t="s">
        <v>175</v>
      </c>
      <c r="X1" s="126" t="s">
        <v>172</v>
      </c>
      <c r="Y1" s="126" t="s">
        <v>172</v>
      </c>
      <c r="Z1" s="126" t="s">
        <v>172</v>
      </c>
      <c r="AA1" s="126" t="s">
        <v>172</v>
      </c>
      <c r="AB1" s="126" t="s">
        <v>172</v>
      </c>
      <c r="AC1" s="126" t="s">
        <v>172</v>
      </c>
      <c r="AD1" s="126" t="s">
        <v>172</v>
      </c>
    </row>
    <row r="2" spans="1:30" ht="21.75" customHeight="1">
      <c r="A2" s="453"/>
      <c r="B2" s="463" t="s">
        <v>2</v>
      </c>
      <c r="C2" s="459">
        <f>IF($D$6="VAT INCLUDED",1.18,1)*(1-$Q2)*$C$1</f>
        <v>1</v>
      </c>
      <c r="D2" s="810" t="s">
        <v>274</v>
      </c>
      <c r="E2" s="811"/>
      <c r="F2" s="362" t="s">
        <v>192</v>
      </c>
      <c r="G2" s="461" t="b">
        <v>1</v>
      </c>
      <c r="I2" s="269">
        <v>2</v>
      </c>
      <c r="J2" s="270">
        <f t="shared" si="0"/>
        <v>1</v>
      </c>
      <c r="K2" s="270">
        <f t="shared" si="1"/>
        <v>1</v>
      </c>
      <c r="L2" s="270">
        <f t="shared" si="2"/>
        <v>1</v>
      </c>
      <c r="M2" s="270">
        <f t="shared" si="3"/>
        <v>1</v>
      </c>
      <c r="N2" s="270">
        <f t="shared" si="4"/>
        <v>1</v>
      </c>
      <c r="O2" s="270">
        <f t="shared" si="5"/>
        <v>1</v>
      </c>
      <c r="P2" s="11"/>
      <c r="Q2" s="311"/>
      <c r="R2" s="326" t="str">
        <f>"A) " &amp; IF($S2=0,"",ROUND($S2,2) &amp; "-" &amp; ROUND($T2/$D$9,2))</f>
        <v>A) 1.1-1.1</v>
      </c>
      <c r="S2" s="302">
        <v>1.1000000000000001</v>
      </c>
      <c r="T2" s="302">
        <f>$S2*$D$9</f>
        <v>30.206000000000003</v>
      </c>
      <c r="V2" s="134"/>
      <c r="W2" s="134"/>
      <c r="X2" s="126" t="s">
        <v>172</v>
      </c>
      <c r="Y2" s="126" t="s">
        <v>172</v>
      </c>
      <c r="Z2" s="126" t="s">
        <v>172</v>
      </c>
      <c r="AA2" s="126" t="s">
        <v>172</v>
      </c>
      <c r="AB2" s="126" t="s">
        <v>172</v>
      </c>
      <c r="AC2" s="126" t="s">
        <v>172</v>
      </c>
      <c r="AD2" s="126" t="s">
        <v>172</v>
      </c>
    </row>
    <row r="3" spans="1:30" ht="21" customHeight="1">
      <c r="A3" s="454"/>
      <c r="B3" s="463" t="s">
        <v>4</v>
      </c>
      <c r="C3" s="459">
        <f t="shared" ref="C3:C12" si="6">IF($D$6="VAT INCLUDED",1.18,1)*(1-$Q3)*$C$1</f>
        <v>1</v>
      </c>
      <c r="D3" s="810" t="s">
        <v>275</v>
      </c>
      <c r="E3" s="811"/>
      <c r="F3" s="362"/>
      <c r="G3" s="461" t="b">
        <v>1</v>
      </c>
      <c r="I3" s="269">
        <v>3</v>
      </c>
      <c r="J3" s="270">
        <f t="shared" si="0"/>
        <v>1</v>
      </c>
      <c r="K3" s="270">
        <f t="shared" si="1"/>
        <v>1</v>
      </c>
      <c r="L3" s="270">
        <f t="shared" si="2"/>
        <v>1</v>
      </c>
      <c r="M3" s="270">
        <f t="shared" si="3"/>
        <v>1</v>
      </c>
      <c r="N3" s="270">
        <f t="shared" si="4"/>
        <v>1</v>
      </c>
      <c r="O3" s="270">
        <f t="shared" si="5"/>
        <v>1</v>
      </c>
      <c r="P3" s="11"/>
      <c r="Q3" s="311"/>
      <c r="R3" s="327" t="str">
        <f>"B) " &amp; IF($S3=0,"",ROUND($S3,2) &amp; "-" &amp; ROUND($T3/$D$9,2))</f>
        <v xml:space="preserve">B) </v>
      </c>
      <c r="S3" s="302"/>
      <c r="T3" s="302"/>
      <c r="V3" s="134"/>
      <c r="W3" s="134"/>
      <c r="X3" s="126" t="s">
        <v>172</v>
      </c>
      <c r="Y3" s="126" t="s">
        <v>172</v>
      </c>
      <c r="Z3" s="126" t="s">
        <v>172</v>
      </c>
      <c r="AA3" s="126" t="s">
        <v>172</v>
      </c>
      <c r="AB3" s="126" t="s">
        <v>172</v>
      </c>
      <c r="AC3" s="126" t="s">
        <v>172</v>
      </c>
      <c r="AD3" s="126" t="s">
        <v>172</v>
      </c>
    </row>
    <row r="4" spans="1:30" ht="15.75" customHeight="1">
      <c r="A4" s="455"/>
      <c r="B4" s="464" t="s">
        <v>246</v>
      </c>
      <c r="C4" s="383">
        <f t="shared" si="6"/>
        <v>1</v>
      </c>
      <c r="D4" s="13" t="s">
        <v>277</v>
      </c>
      <c r="E4" s="288"/>
      <c r="F4" s="362"/>
      <c r="G4" s="461" t="b">
        <v>1</v>
      </c>
      <c r="I4" s="269">
        <v>4</v>
      </c>
      <c r="J4" s="270">
        <f t="shared" si="0"/>
        <v>1</v>
      </c>
      <c r="K4" s="270">
        <f t="shared" si="1"/>
        <v>1</v>
      </c>
      <c r="L4" s="270">
        <f t="shared" si="2"/>
        <v>1</v>
      </c>
      <c r="M4" s="270">
        <f t="shared" si="3"/>
        <v>1</v>
      </c>
      <c r="N4" s="270">
        <f t="shared" si="4"/>
        <v>1</v>
      </c>
      <c r="O4" s="270">
        <f t="shared" si="5"/>
        <v>1</v>
      </c>
      <c r="P4" s="11"/>
      <c r="Q4" s="311"/>
      <c r="R4" s="328" t="str">
        <f>"C) " &amp; IF($S4=0,"",ROUND($S4,2) &amp; "-" &amp; ROUND($T4/$D$9,2))</f>
        <v xml:space="preserve">C) </v>
      </c>
      <c r="S4" s="302"/>
      <c r="T4" s="302"/>
      <c r="V4" s="134"/>
      <c r="W4" s="134"/>
      <c r="X4" s="126" t="s">
        <v>172</v>
      </c>
      <c r="Y4" s="126" t="s">
        <v>172</v>
      </c>
      <c r="Z4" s="126" t="s">
        <v>172</v>
      </c>
      <c r="AA4" s="126" t="s">
        <v>172</v>
      </c>
      <c r="AB4" s="126" t="s">
        <v>172</v>
      </c>
      <c r="AC4" s="126" t="s">
        <v>172</v>
      </c>
      <c r="AD4" s="126" t="s">
        <v>172</v>
      </c>
    </row>
    <row r="5" spans="1:30" ht="13.8">
      <c r="A5" s="453"/>
      <c r="B5" s="465" t="s">
        <v>185</v>
      </c>
      <c r="C5" s="383">
        <f t="shared" si="6"/>
        <v>1</v>
      </c>
      <c r="D5" s="13"/>
      <c r="E5" s="312"/>
      <c r="F5" s="362"/>
      <c r="G5" s="461" t="b">
        <v>1</v>
      </c>
      <c r="I5" s="269">
        <v>5</v>
      </c>
      <c r="J5" s="270">
        <f t="shared" si="0"/>
        <v>1</v>
      </c>
      <c r="K5" s="270">
        <f t="shared" si="1"/>
        <v>1</v>
      </c>
      <c r="L5" s="270">
        <f t="shared" si="2"/>
        <v>1</v>
      </c>
      <c r="M5" s="270">
        <f t="shared" si="3"/>
        <v>1</v>
      </c>
      <c r="N5" s="270">
        <f t="shared" si="4"/>
        <v>1</v>
      </c>
      <c r="O5" s="270">
        <f t="shared" si="5"/>
        <v>1</v>
      </c>
      <c r="P5" s="12"/>
      <c r="Q5" s="311"/>
      <c r="R5" s="329" t="str">
        <f>"D) " &amp; IF($S5=0,"",ROUND($S5,2) &amp; "-" &amp; ROUND($T5/$D$9,2))</f>
        <v xml:space="preserve">D) </v>
      </c>
      <c r="S5" s="302"/>
      <c r="T5" s="302"/>
      <c r="V5" s="134"/>
      <c r="W5" s="134"/>
      <c r="X5" s="126" t="s">
        <v>172</v>
      </c>
      <c r="Y5" s="126" t="s">
        <v>172</v>
      </c>
      <c r="Z5" s="126" t="s">
        <v>172</v>
      </c>
      <c r="AA5" s="126" t="s">
        <v>172</v>
      </c>
      <c r="AB5" s="126" t="s">
        <v>172</v>
      </c>
      <c r="AC5" s="126" t="s">
        <v>172</v>
      </c>
      <c r="AD5" s="126" t="s">
        <v>172</v>
      </c>
    </row>
    <row r="6" spans="1:30" ht="13.8">
      <c r="A6" s="455"/>
      <c r="B6" s="465" t="s">
        <v>242</v>
      </c>
      <c r="C6" s="383">
        <f t="shared" si="6"/>
        <v>1</v>
      </c>
      <c r="D6" s="384" t="s">
        <v>204</v>
      </c>
      <c r="E6"/>
      <c r="F6" s="362"/>
      <c r="G6" s="461" t="b">
        <v>1</v>
      </c>
      <c r="I6" s="269">
        <v>6</v>
      </c>
      <c r="J6" s="270">
        <f t="shared" si="0"/>
        <v>1</v>
      </c>
      <c r="K6" s="270">
        <f t="shared" si="1"/>
        <v>1</v>
      </c>
      <c r="L6" s="270">
        <f t="shared" si="2"/>
        <v>1</v>
      </c>
      <c r="M6" s="270">
        <f t="shared" si="3"/>
        <v>1</v>
      </c>
      <c r="N6" s="270">
        <f t="shared" si="4"/>
        <v>1</v>
      </c>
      <c r="O6" s="270">
        <f t="shared" si="5"/>
        <v>1</v>
      </c>
      <c r="P6" s="12"/>
      <c r="Q6" s="311"/>
      <c r="R6" s="330" t="str">
        <f>"E) " &amp; IF($S6=0,"",ROUND($S6,2) &amp; "-" &amp; ROUND($T6/$D$9,2))</f>
        <v xml:space="preserve">E) </v>
      </c>
      <c r="S6" s="302"/>
      <c r="T6" s="302"/>
      <c r="V6" s="134"/>
      <c r="W6" s="134"/>
      <c r="X6" s="126" t="s">
        <v>172</v>
      </c>
      <c r="Y6" s="126" t="s">
        <v>172</v>
      </c>
      <c r="Z6" s="126" t="s">
        <v>172</v>
      </c>
      <c r="AA6" s="126" t="s">
        <v>172</v>
      </c>
      <c r="AB6" s="126" t="s">
        <v>172</v>
      </c>
      <c r="AC6" s="126" t="s">
        <v>172</v>
      </c>
      <c r="AD6" s="126" t="s">
        <v>172</v>
      </c>
    </row>
    <row r="7" spans="1:30" ht="13.8">
      <c r="A7" s="455"/>
      <c r="B7" s="465" t="s">
        <v>12</v>
      </c>
      <c r="C7" s="383">
        <f t="shared" si="6"/>
        <v>1</v>
      </c>
      <c r="D7" s="14">
        <v>45904</v>
      </c>
      <c r="E7"/>
      <c r="F7" s="362"/>
      <c r="G7" s="461" t="b">
        <v>1</v>
      </c>
      <c r="I7" s="269">
        <v>7</v>
      </c>
      <c r="J7" s="270">
        <f t="shared" si="0"/>
        <v>1</v>
      </c>
      <c r="K7" s="270">
        <f t="shared" si="1"/>
        <v>1</v>
      </c>
      <c r="L7" s="270">
        <f t="shared" si="2"/>
        <v>1</v>
      </c>
      <c r="M7" s="270">
        <f t="shared" si="3"/>
        <v>1</v>
      </c>
      <c r="N7" s="270">
        <f t="shared" si="4"/>
        <v>1</v>
      </c>
      <c r="O7" s="270"/>
      <c r="P7" s="136"/>
      <c r="Q7" s="311"/>
      <c r="R7" s="331" t="str">
        <f>"F) " &amp; IF($S7=0,"",ROUND($S7,2) &amp; "-" &amp; ROUND($T7/$D$9,2))</f>
        <v xml:space="preserve">F) </v>
      </c>
      <c r="S7" s="302"/>
      <c r="T7" s="302"/>
      <c r="V7" s="134"/>
      <c r="W7" s="134"/>
      <c r="X7" s="126" t="s">
        <v>172</v>
      </c>
      <c r="Y7" s="126" t="s">
        <v>172</v>
      </c>
      <c r="Z7" s="126" t="s">
        <v>172</v>
      </c>
      <c r="AA7" s="126" t="s">
        <v>172</v>
      </c>
      <c r="AB7" s="126" t="s">
        <v>172</v>
      </c>
      <c r="AC7" s="126" t="s">
        <v>172</v>
      </c>
      <c r="AD7" s="126" t="s">
        <v>172</v>
      </c>
    </row>
    <row r="8" spans="1:30" ht="13.8">
      <c r="A8" s="453"/>
      <c r="B8" s="465" t="s">
        <v>14</v>
      </c>
      <c r="C8" s="383">
        <f t="shared" si="6"/>
        <v>1</v>
      </c>
      <c r="D8" s="15" t="s">
        <v>276</v>
      </c>
      <c r="E8"/>
      <c r="F8" s="362"/>
      <c r="G8" s="461" t="b">
        <v>1</v>
      </c>
      <c r="I8" s="269">
        <v>8</v>
      </c>
      <c r="J8" s="270">
        <f t="shared" si="0"/>
        <v>1</v>
      </c>
      <c r="K8" s="270">
        <f t="shared" si="1"/>
        <v>1</v>
      </c>
      <c r="L8" s="270">
        <f t="shared" si="2"/>
        <v>1</v>
      </c>
      <c r="M8" s="270">
        <f t="shared" si="3"/>
        <v>1</v>
      </c>
      <c r="N8" s="270">
        <f t="shared" si="4"/>
        <v>1</v>
      </c>
      <c r="O8" s="270"/>
      <c r="P8" s="16"/>
      <c r="Q8" s="311"/>
      <c r="R8" s="332" t="str">
        <f>"G) " &amp; IF($S8=0,"",ROUND($S8,2) &amp; "-" &amp; ROUND($T8/$D$9,2))</f>
        <v xml:space="preserve">G) </v>
      </c>
      <c r="S8" s="302"/>
      <c r="T8" s="302"/>
      <c r="V8" s="134"/>
      <c r="W8" s="134"/>
      <c r="X8" s="126" t="s">
        <v>172</v>
      </c>
      <c r="Y8" s="126" t="s">
        <v>172</v>
      </c>
      <c r="Z8" s="126" t="s">
        <v>172</v>
      </c>
      <c r="AA8" s="126" t="s">
        <v>172</v>
      </c>
      <c r="AB8" s="126" t="s">
        <v>172</v>
      </c>
      <c r="AC8" s="126" t="s">
        <v>172</v>
      </c>
      <c r="AD8" s="126" t="s">
        <v>172</v>
      </c>
    </row>
    <row r="9" spans="1:30" ht="13.8">
      <c r="A9" s="455"/>
      <c r="B9" s="465" t="s">
        <v>243</v>
      </c>
      <c r="C9" s="383">
        <f t="shared" si="6"/>
        <v>1</v>
      </c>
      <c r="D9" s="591">
        <v>27.46</v>
      </c>
      <c r="E9" s="133" t="s">
        <v>272</v>
      </c>
      <c r="F9" s="362"/>
      <c r="G9" s="461" t="b">
        <v>1</v>
      </c>
      <c r="I9" s="269">
        <v>9</v>
      </c>
      <c r="J9" s="270">
        <f t="shared" si="0"/>
        <v>1</v>
      </c>
      <c r="K9" s="270">
        <f t="shared" si="1"/>
        <v>1</v>
      </c>
      <c r="L9" s="270">
        <f t="shared" si="2"/>
        <v>1</v>
      </c>
      <c r="M9" s="270">
        <f t="shared" si="3"/>
        <v>1</v>
      </c>
      <c r="N9" s="270">
        <f t="shared" si="4"/>
        <v>1</v>
      </c>
      <c r="O9" s="270"/>
      <c r="P9" s="16"/>
      <c r="Q9" s="311"/>
      <c r="R9" s="333" t="str">
        <f>"H) " &amp; IF($S9=0,"",ROUND($S9,2) &amp; "-" &amp; ROUND($T9/$D$9,2))</f>
        <v xml:space="preserve">H) </v>
      </c>
      <c r="S9" s="302"/>
      <c r="T9" s="302"/>
      <c r="V9" s="134"/>
      <c r="W9" s="134"/>
      <c r="X9" s="126" t="s">
        <v>172</v>
      </c>
      <c r="Y9" s="126" t="s">
        <v>172</v>
      </c>
      <c r="Z9" s="126" t="s">
        <v>172</v>
      </c>
      <c r="AA9" s="126" t="s">
        <v>172</v>
      </c>
      <c r="AB9" s="126" t="s">
        <v>172</v>
      </c>
      <c r="AC9" s="126" t="s">
        <v>172</v>
      </c>
      <c r="AD9" s="126" t="s">
        <v>172</v>
      </c>
    </row>
    <row r="10" spans="1:30" ht="13.8">
      <c r="A10" s="455"/>
      <c r="B10" s="466"/>
      <c r="C10" s="383">
        <f t="shared" si="6"/>
        <v>1</v>
      </c>
      <c r="E10" s="133"/>
      <c r="F10" s="362"/>
      <c r="G10" s="461" t="b">
        <v>1</v>
      </c>
      <c r="I10" s="269">
        <v>10</v>
      </c>
      <c r="J10" s="270">
        <f t="shared" si="0"/>
        <v>1</v>
      </c>
      <c r="K10" s="270">
        <f t="shared" si="1"/>
        <v>1</v>
      </c>
      <c r="L10" s="270">
        <f t="shared" si="2"/>
        <v>1</v>
      </c>
      <c r="M10" s="270">
        <f t="shared" si="3"/>
        <v>1</v>
      </c>
      <c r="N10" s="270">
        <f>$Q158</f>
        <v>1</v>
      </c>
      <c r="O10" s="270">
        <f>Q108</f>
        <v>1</v>
      </c>
      <c r="P10" s="16"/>
      <c r="Q10" s="311"/>
      <c r="R10" s="334" t="str">
        <f>" I) " &amp; IF($S10=0,"",ROUND($S10,2) &amp; "-" &amp; ROUND($T10/$D$9,2))</f>
        <v xml:space="preserve"> I) </v>
      </c>
      <c r="S10" s="302"/>
      <c r="T10" s="302"/>
      <c r="V10" s="134"/>
      <c r="W10" s="134"/>
      <c r="X10" s="126" t="s">
        <v>172</v>
      </c>
      <c r="Y10" s="126" t="s">
        <v>172</v>
      </c>
      <c r="Z10" s="126" t="s">
        <v>172</v>
      </c>
      <c r="AA10" s="126" t="s">
        <v>172</v>
      </c>
      <c r="AB10" s="126" t="s">
        <v>172</v>
      </c>
      <c r="AC10" s="126" t="s">
        <v>172</v>
      </c>
      <c r="AD10" s="126" t="s">
        <v>172</v>
      </c>
    </row>
    <row r="11" spans="1:30" ht="13.8">
      <c r="A11" s="456"/>
      <c r="B11" s="467"/>
      <c r="C11" s="383">
        <f t="shared" si="6"/>
        <v>1</v>
      </c>
      <c r="D11"/>
      <c r="E11"/>
      <c r="F11" s="457"/>
      <c r="H11"/>
      <c r="I11" s="271"/>
      <c r="J11" s="271"/>
      <c r="K11" s="271"/>
      <c r="L11" s="271"/>
      <c r="M11" s="271"/>
      <c r="N11" s="271"/>
      <c r="O11" s="271"/>
      <c r="P11" s="132"/>
      <c r="Q11" s="311"/>
      <c r="R11" s="335" t="str">
        <f>"J) " &amp; IF($S11=0,"",ROUND($S11,2) &amp; "-" &amp; ROUND($T11/$D$9,2))</f>
        <v xml:space="preserve">J) </v>
      </c>
      <c r="S11" s="302"/>
      <c r="T11" s="302"/>
      <c r="X11" s="126" t="s">
        <v>172</v>
      </c>
      <c r="Y11" s="126" t="s">
        <v>172</v>
      </c>
      <c r="Z11" s="126" t="s">
        <v>172</v>
      </c>
      <c r="AA11" s="126" t="s">
        <v>172</v>
      </c>
      <c r="AB11" s="126" t="s">
        <v>172</v>
      </c>
      <c r="AC11" s="126" t="s">
        <v>172</v>
      </c>
      <c r="AD11" s="126" t="s">
        <v>172</v>
      </c>
    </row>
    <row r="12" spans="1:30" ht="12.75" customHeight="1" thickBot="1">
      <c r="A12" s="453"/>
      <c r="B12"/>
      <c r="C12" s="383">
        <f t="shared" si="6"/>
        <v>1</v>
      </c>
      <c r="D12" s="318"/>
      <c r="E12" s="319"/>
      <c r="F12" s="363"/>
      <c r="G12" s="287" t="s">
        <v>29</v>
      </c>
      <c r="H12" s="287" t="s">
        <v>29</v>
      </c>
      <c r="I12" s="287" t="s">
        <v>29</v>
      </c>
      <c r="J12" s="287" t="s">
        <v>29</v>
      </c>
      <c r="K12" s="287" t="s">
        <v>29</v>
      </c>
      <c r="L12" s="287" t="s">
        <v>29</v>
      </c>
      <c r="M12" s="287" t="s">
        <v>29</v>
      </c>
      <c r="N12" s="287" t="s">
        <v>29</v>
      </c>
      <c r="O12" s="287" t="s">
        <v>29</v>
      </c>
      <c r="P12" s="287" t="s">
        <v>29</v>
      </c>
      <c r="Q12" s="400"/>
      <c r="R12" s="367" t="s">
        <v>210</v>
      </c>
      <c r="S12" s="434" t="s">
        <v>31</v>
      </c>
      <c r="T12" s="435" t="s">
        <v>32</v>
      </c>
      <c r="X12" s="126" t="s">
        <v>172</v>
      </c>
      <c r="Y12" s="126" t="s">
        <v>172</v>
      </c>
      <c r="Z12" s="126" t="s">
        <v>172</v>
      </c>
      <c r="AA12" s="126" t="s">
        <v>172</v>
      </c>
      <c r="AB12" s="126" t="s">
        <v>172</v>
      </c>
      <c r="AC12" s="126" t="s">
        <v>172</v>
      </c>
      <c r="AD12" s="126" t="s">
        <v>172</v>
      </c>
    </row>
    <row r="13" spans="1:30" ht="17.25" customHeight="1" thickBot="1">
      <c r="A13" s="394"/>
      <c r="B13" s="395" t="s">
        <v>218</v>
      </c>
      <c r="C13" s="396"/>
      <c r="D13" s="397"/>
      <c r="E13" s="398"/>
      <c r="F13" s="399"/>
      <c r="G13" s="320" t="s">
        <v>200</v>
      </c>
      <c r="H13" s="321" t="s">
        <v>201</v>
      </c>
      <c r="I13" s="322" t="s">
        <v>21</v>
      </c>
      <c r="J13" s="322" t="s">
        <v>22</v>
      </c>
      <c r="K13" s="323" t="s">
        <v>23</v>
      </c>
      <c r="L13" s="320" t="s">
        <v>24</v>
      </c>
      <c r="M13" s="320" t="s">
        <v>25</v>
      </c>
      <c r="N13" s="321" t="s">
        <v>202</v>
      </c>
      <c r="O13" s="320" t="s">
        <v>27</v>
      </c>
      <c r="P13" s="324" t="s">
        <v>28</v>
      </c>
      <c r="Q13" s="392" t="s">
        <v>198</v>
      </c>
      <c r="R13" s="368" t="s">
        <v>211</v>
      </c>
      <c r="S13" s="436" t="s">
        <v>238</v>
      </c>
      <c r="T13" s="468">
        <f>SUM(Q108:Q164)/57</f>
        <v>1</v>
      </c>
      <c r="X13" s="126"/>
      <c r="Y13" s="126"/>
      <c r="Z13" s="126"/>
      <c r="AA13" s="126"/>
      <c r="AB13" s="126"/>
      <c r="AC13" s="126"/>
      <c r="AD13" s="126"/>
    </row>
    <row r="14" spans="1:30" ht="27.75" customHeight="1">
      <c r="A14" s="135"/>
      <c r="B14" s="813" t="str">
        <f>IF($D$6&lt;&gt;"VAT EXCL.", "QUOTE ISSUED WITH                    VAT INCLUDED", "")</f>
        <v/>
      </c>
      <c r="C14" s="813"/>
      <c r="D14" s="813"/>
      <c r="E14" s="813"/>
      <c r="F14" s="7"/>
      <c r="G14" s="7"/>
      <c r="H14" s="7"/>
      <c r="I14" s="7"/>
      <c r="J14" s="7"/>
      <c r="K14" s="7"/>
      <c r="L14" s="7"/>
      <c r="M14" s="7"/>
      <c r="N14" s="7"/>
      <c r="O14" s="7"/>
      <c r="P14" s="7"/>
      <c r="Q14" s="7"/>
      <c r="R14" s="138"/>
      <c r="S14"/>
      <c r="T14" s="139"/>
      <c r="X14" s="126" t="s">
        <v>172</v>
      </c>
      <c r="Y14" s="126" t="s">
        <v>172</v>
      </c>
      <c r="Z14" s="126" t="s">
        <v>172</v>
      </c>
      <c r="AA14" s="126" t="s">
        <v>172</v>
      </c>
      <c r="AB14" s="126" t="s">
        <v>172</v>
      </c>
      <c r="AC14" s="126" t="s">
        <v>172</v>
      </c>
      <c r="AD14" s="126" t="s">
        <v>172</v>
      </c>
    </row>
    <row r="15" spans="1:30" ht="14.25" customHeight="1">
      <c r="A15" s="310"/>
      <c r="B15" s="813"/>
      <c r="C15" s="813"/>
      <c r="D15" s="813"/>
      <c r="E15" s="813"/>
      <c r="F15" s="310"/>
      <c r="G15" s="310"/>
      <c r="H15" s="310"/>
      <c r="I15" s="310"/>
      <c r="J15" s="310"/>
      <c r="K15" s="310"/>
      <c r="L15" s="310"/>
      <c r="M15" s="310"/>
      <c r="N15" s="310"/>
      <c r="O15" s="310"/>
      <c r="P15" s="310"/>
      <c r="Q15" s="411">
        <f ca="1">(C72-F35)/C72</f>
        <v>0</v>
      </c>
      <c r="R15" s="297" t="s">
        <v>216</v>
      </c>
      <c r="S15" s="295"/>
      <c r="T15" s="296"/>
      <c r="X15" s="126" t="s">
        <v>172</v>
      </c>
      <c r="Y15" s="126" t="s">
        <v>172</v>
      </c>
      <c r="Z15" s="126" t="s">
        <v>172</v>
      </c>
      <c r="AA15" s="126" t="s">
        <v>172</v>
      </c>
      <c r="AB15" s="126" t="s">
        <v>172</v>
      </c>
      <c r="AC15" s="126" t="s">
        <v>172</v>
      </c>
      <c r="AD15" s="126" t="s">
        <v>172</v>
      </c>
    </row>
    <row r="16" spans="1:30" ht="13.5" customHeight="1">
      <c r="A16" s="135"/>
      <c r="B16" s="812" t="str">
        <f>IF($W$1&lt;&gt;"BOQ", "DIFF SET TO " &amp; W1,"")</f>
        <v/>
      </c>
      <c r="C16" s="812"/>
      <c r="D16" s="812"/>
      <c r="E16" s="812"/>
      <c r="F16" s="133"/>
      <c r="G16" s="133"/>
      <c r="H16" s="133"/>
      <c r="I16" s="133"/>
      <c r="J16" s="133"/>
      <c r="K16" s="133"/>
      <c r="L16" s="133"/>
      <c r="M16" s="133"/>
      <c r="N16" s="133"/>
      <c r="O16" s="133"/>
      <c r="P16" s="133"/>
      <c r="Q16" s="412">
        <f ca="1">(F35-E35)/F35</f>
        <v>0</v>
      </c>
      <c r="R16" s="303" t="s">
        <v>217</v>
      </c>
      <c r="S16" s="304"/>
      <c r="T16" s="305"/>
      <c r="X16" s="126" t="s">
        <v>172</v>
      </c>
      <c r="Y16" s="126" t="s">
        <v>172</v>
      </c>
      <c r="Z16" s="126" t="s">
        <v>172</v>
      </c>
      <c r="AA16" s="126" t="s">
        <v>172</v>
      </c>
      <c r="AB16" s="126" t="s">
        <v>172</v>
      </c>
      <c r="AC16" s="126" t="s">
        <v>172</v>
      </c>
      <c r="AD16" s="126" t="s">
        <v>172</v>
      </c>
    </row>
    <row r="17" spans="1:24" ht="13.5" customHeight="1">
      <c r="B17" s="812"/>
      <c r="C17" s="812"/>
      <c r="D17" s="812"/>
      <c r="E17" s="812"/>
      <c r="G17" s="8"/>
      <c r="H17" s="8"/>
      <c r="I17" s="8"/>
      <c r="J17" s="8"/>
      <c r="K17" s="8"/>
      <c r="L17" s="8"/>
      <c r="M17" s="8"/>
      <c r="N17" s="8"/>
      <c r="O17" s="8"/>
      <c r="P17" s="8"/>
      <c r="Q17" s="413">
        <f ca="1">F74</f>
        <v>0</v>
      </c>
      <c r="R17" s="306" t="s">
        <v>214</v>
      </c>
      <c r="S17" s="307"/>
      <c r="T17" s="351"/>
    </row>
    <row r="18" spans="1:24" ht="18.75" customHeight="1">
      <c r="A18" s="371"/>
      <c r="B18" s="796" t="str">
        <f>IF(AND(G1,G2,G3,G4,G5,G6,G7,G8,G9,G10,H1)=TRUE, "", "CHECKLIST INCOMPLETE !" )</f>
        <v/>
      </c>
      <c r="C18" s="796"/>
      <c r="D18" s="796"/>
      <c r="E18" s="796"/>
      <c r="F18" s="371"/>
      <c r="G18"/>
      <c r="H18"/>
      <c r="I18"/>
      <c r="J18"/>
      <c r="K18"/>
      <c r="L18"/>
      <c r="M18"/>
      <c r="N18"/>
      <c r="O18"/>
      <c r="P18"/>
      <c r="Q18" s="808"/>
      <c r="R18" s="808"/>
      <c r="S18" s="808"/>
      <c r="T18" s="808"/>
    </row>
    <row r="19" spans="1:24" ht="18" customHeight="1">
      <c r="B19" s="809" t="str">
        <f ca="1">IF(ABS(SUM(A23:A32))&gt;100,"[Discy A-J] are high, Check it out."," ")</f>
        <v xml:space="preserve"> </v>
      </c>
      <c r="C19" s="809"/>
      <c r="D19" s="809"/>
      <c r="E19" s="809"/>
      <c r="G19"/>
      <c r="H19"/>
      <c r="I19"/>
      <c r="J19"/>
      <c r="K19"/>
      <c r="L19"/>
      <c r="M19"/>
      <c r="N19"/>
      <c r="O19"/>
      <c r="P19"/>
      <c r="Q19" s="414">
        <f ca="1">R83</f>
        <v>1.100265098498121</v>
      </c>
      <c r="R19" s="306" t="s">
        <v>215</v>
      </c>
      <c r="S19" s="378"/>
      <c r="T19" s="379"/>
    </row>
    <row r="20" spans="1:24" ht="12.75" customHeight="1">
      <c r="A20" s="458"/>
      <c r="B20" s="458"/>
      <c r="C20" s="458"/>
      <c r="D20" s="458"/>
      <c r="E20" s="458"/>
      <c r="F20"/>
      <c r="G20"/>
      <c r="H20"/>
      <c r="I20"/>
      <c r="J20"/>
      <c r="K20"/>
      <c r="L20"/>
      <c r="M20"/>
      <c r="N20"/>
      <c r="O20"/>
      <c r="P20"/>
      <c r="Q20"/>
      <c r="R20"/>
      <c r="S20"/>
      <c r="T20"/>
    </row>
    <row r="21" spans="1:24" ht="13.8">
      <c r="A21"/>
      <c r="B21" s="141"/>
      <c r="C21" s="142"/>
      <c r="D21" s="298"/>
      <c r="E21" s="308" t="s">
        <v>194</v>
      </c>
      <c r="F21" s="289" t="s">
        <v>33</v>
      </c>
      <c r="G21" s="77"/>
      <c r="H21" s="77"/>
      <c r="I21" s="77"/>
      <c r="J21" s="77"/>
      <c r="K21" s="77"/>
      <c r="L21" s="77"/>
      <c r="M21" s="77"/>
      <c r="N21" s="77"/>
      <c r="O21" s="77"/>
      <c r="P21" s="77"/>
      <c r="Q21" s="299" t="s">
        <v>196</v>
      </c>
      <c r="R21" s="289" t="s">
        <v>34</v>
      </c>
      <c r="S21" s="77"/>
      <c r="T21" s="289" t="s">
        <v>35</v>
      </c>
      <c r="V21"/>
      <c r="W21"/>
      <c r="X21"/>
    </row>
    <row r="22" spans="1:24">
      <c r="A22" s="365" t="s">
        <v>205</v>
      </c>
      <c r="B22" s="325" t="s">
        <v>197</v>
      </c>
      <c r="C22"/>
      <c r="D22" s="298"/>
      <c r="E22" s="309" t="str">
        <f>"SELLING  " &amp; $Q$1</f>
        <v>SELLING  €</v>
      </c>
      <c r="F22" s="420" t="str">
        <f>$Q$1</f>
        <v>€</v>
      </c>
      <c r="G22" s="291" t="s">
        <v>255</v>
      </c>
      <c r="H22" s="508" t="s">
        <v>252</v>
      </c>
      <c r="I22" s="508" t="s">
        <v>253</v>
      </c>
      <c r="J22" s="509" t="s">
        <v>254</v>
      </c>
      <c r="K22" s="291"/>
      <c r="L22" s="291"/>
      <c r="M22" s="291"/>
      <c r="N22" s="291"/>
      <c r="O22" s="291"/>
      <c r="P22" s="291"/>
      <c r="Q22" s="300" t="s">
        <v>195</v>
      </c>
      <c r="R22" s="292" t="s">
        <v>232</v>
      </c>
      <c r="S22" s="291"/>
      <c r="T22" s="290" t="s">
        <v>233</v>
      </c>
      <c r="V22"/>
      <c r="W22"/>
      <c r="X22"/>
    </row>
    <row r="23" spans="1:24">
      <c r="A23" s="380">
        <f ca="1">IF($F23=0,"",($F23/$C2)-($R23*$S2+$T23*$T2))</f>
        <v>5.6782333333321731</v>
      </c>
      <c r="B23" s="326" t="str">
        <f ca="1">IF(F23=0,"",IF(R23=0,"A) "&amp;"---,    "&amp;ROUND(($F23/$C2-($R23*$S2))/$T23,2),IF(T23=0,"A) "&amp;ROUND(($F23/$C2)/$R23,2),"A) "&amp;ROUND(($F23/$C2-($T23*$T2))/$R23,2)&amp;", "
&amp;ROUND(($F23/$C2-($R23*$S2))/$T23,2))))</f>
        <v>A) 1.1, 30.22</v>
      </c>
      <c r="C23"/>
      <c r="D23" s="364" t="str">
        <f>IF($F2="","",$F2)</f>
        <v>Electrical</v>
      </c>
      <c r="E23" s="471">
        <f ca="1">F23*(1-Q23)</f>
        <v>24023.489999999998</v>
      </c>
      <c r="F23" s="470">
        <f ca="1">Elec_Est!F370</f>
        <v>24023.489999999998</v>
      </c>
      <c r="G23" s="278">
        <f>C2</f>
        <v>1</v>
      </c>
      <c r="H23" s="366">
        <f>$S2</f>
        <v>1.1000000000000001</v>
      </c>
      <c r="I23" s="366">
        <f>$T2</f>
        <v>30.206000000000003</v>
      </c>
      <c r="J23" s="278">
        <f>$D$9</f>
        <v>27.46</v>
      </c>
      <c r="K23" s="278"/>
      <c r="L23" s="278"/>
      <c r="M23" s="278"/>
      <c r="N23" s="278"/>
      <c r="O23" s="278"/>
      <c r="P23" s="278"/>
      <c r="Q23" s="301"/>
      <c r="R23" s="470">
        <f ca="1">Elec_Est!R370</f>
        <v>11673.123333333331</v>
      </c>
      <c r="S23" s="278"/>
      <c r="T23" s="472">
        <f ca="1">Elec_Est!T370</f>
        <v>370.0382738528769</v>
      </c>
      <c r="V23"/>
      <c r="W23"/>
      <c r="X23"/>
    </row>
    <row r="24" spans="1:24">
      <c r="A24" s="381" t="str">
        <f t="shared" ref="A24:A32" si="7">IF($F24=0,"",($F24/$C3)-($R24*$S3+$T24*$T3))</f>
        <v/>
      </c>
      <c r="B24" s="327" t="str">
        <f t="shared" ref="B24:B32" si="8">IF(F24=0,"",IF(R24=0,"A) "&amp;"---,    "&amp;ROUND(($F24/$C3-($R24*$S3))/$T24,2),IF(T24=0,"A) "&amp;ROUND(($F24/$C3)/$R24,2),"A) "&amp;ROUND(($F24/$C3-($T24*$T3))/$R24,2)&amp;", "
&amp;ROUND(($F24/$C3-($R24*$S3))/$T24,2))))</f>
        <v/>
      </c>
      <c r="C24"/>
      <c r="D24" s="364" t="str">
        <f t="shared" ref="D24:D32" si="9">IF($F3="","",$F3)</f>
        <v/>
      </c>
      <c r="E24" s="471">
        <f t="shared" ref="E24:E32" si="10">F24*(1-Q24)</f>
        <v>0</v>
      </c>
      <c r="F24" s="470">
        <f>Elec_Est!F371</f>
        <v>0</v>
      </c>
      <c r="G24" s="278">
        <f t="shared" ref="G24:G32" si="11">C3</f>
        <v>1</v>
      </c>
      <c r="H24" s="366">
        <f t="shared" ref="H24:H32" si="12">$S3</f>
        <v>0</v>
      </c>
      <c r="I24" s="366">
        <f t="shared" ref="I24:I32" si="13">$T3</f>
        <v>0</v>
      </c>
      <c r="J24" s="278">
        <f t="shared" ref="J24:J32" si="14">$D$9</f>
        <v>27.46</v>
      </c>
      <c r="K24" s="278"/>
      <c r="L24" s="278"/>
      <c r="M24" s="278"/>
      <c r="N24" s="278"/>
      <c r="O24" s="278"/>
      <c r="P24" s="278"/>
      <c r="Q24" s="301"/>
      <c r="R24" s="470">
        <f>Elec_Est!R371</f>
        <v>0</v>
      </c>
      <c r="S24" s="278"/>
      <c r="T24" s="472">
        <f>Elec_Est!T371</f>
        <v>0</v>
      </c>
      <c r="V24"/>
      <c r="W24"/>
      <c r="X24"/>
    </row>
    <row r="25" spans="1:24">
      <c r="A25" s="381" t="str">
        <f t="shared" si="7"/>
        <v/>
      </c>
      <c r="B25" s="328" t="str">
        <f t="shared" si="8"/>
        <v/>
      </c>
      <c r="C25"/>
      <c r="D25" s="364" t="str">
        <f t="shared" si="9"/>
        <v/>
      </c>
      <c r="E25" s="471">
        <f t="shared" si="10"/>
        <v>0</v>
      </c>
      <c r="F25" s="470">
        <f>Elec_Est!F372</f>
        <v>0</v>
      </c>
      <c r="G25" s="278">
        <f t="shared" si="11"/>
        <v>1</v>
      </c>
      <c r="H25" s="366">
        <f t="shared" si="12"/>
        <v>0</v>
      </c>
      <c r="I25" s="366">
        <f t="shared" si="13"/>
        <v>0</v>
      </c>
      <c r="J25" s="278">
        <f t="shared" si="14"/>
        <v>27.46</v>
      </c>
      <c r="K25" s="278"/>
      <c r="L25" s="278"/>
      <c r="M25" s="278"/>
      <c r="N25" s="278"/>
      <c r="O25" s="278"/>
      <c r="P25" s="278"/>
      <c r="Q25" s="301"/>
      <c r="R25" s="470">
        <f>Elec_Est!R372</f>
        <v>0</v>
      </c>
      <c r="S25" s="278"/>
      <c r="T25" s="472">
        <f>Elec_Est!T372</f>
        <v>0</v>
      </c>
      <c r="V25"/>
      <c r="W25"/>
      <c r="X25"/>
    </row>
    <row r="26" spans="1:24">
      <c r="A26" s="381" t="str">
        <f t="shared" si="7"/>
        <v/>
      </c>
      <c r="B26" s="329" t="str">
        <f t="shared" si="8"/>
        <v/>
      </c>
      <c r="C26"/>
      <c r="D26" s="364" t="str">
        <f t="shared" si="9"/>
        <v/>
      </c>
      <c r="E26" s="471">
        <f t="shared" si="10"/>
        <v>0</v>
      </c>
      <c r="F26" s="470">
        <f>Elec_Est!F373</f>
        <v>0</v>
      </c>
      <c r="G26" s="278">
        <f t="shared" si="11"/>
        <v>1</v>
      </c>
      <c r="H26" s="366">
        <f t="shared" si="12"/>
        <v>0</v>
      </c>
      <c r="I26" s="366">
        <f t="shared" si="13"/>
        <v>0</v>
      </c>
      <c r="J26" s="278">
        <f t="shared" si="14"/>
        <v>27.46</v>
      </c>
      <c r="K26" s="278"/>
      <c r="L26" s="278"/>
      <c r="M26" s="278"/>
      <c r="N26" s="278"/>
      <c r="O26" s="278"/>
      <c r="P26" s="278"/>
      <c r="Q26" s="301"/>
      <c r="R26" s="470">
        <f>Elec_Est!R373</f>
        <v>0</v>
      </c>
      <c r="S26" s="278"/>
      <c r="T26" s="472">
        <f>Elec_Est!T373</f>
        <v>0</v>
      </c>
      <c r="V26"/>
      <c r="W26"/>
      <c r="X26"/>
    </row>
    <row r="27" spans="1:24">
      <c r="A27" s="381" t="str">
        <f t="shared" si="7"/>
        <v/>
      </c>
      <c r="B27" s="330" t="str">
        <f t="shared" si="8"/>
        <v/>
      </c>
      <c r="C27"/>
      <c r="D27" s="364" t="str">
        <f t="shared" si="9"/>
        <v/>
      </c>
      <c r="E27" s="471">
        <f t="shared" si="10"/>
        <v>0</v>
      </c>
      <c r="F27" s="470">
        <f>Elec_Est!F374</f>
        <v>0</v>
      </c>
      <c r="G27" s="278">
        <f t="shared" si="11"/>
        <v>1</v>
      </c>
      <c r="H27" s="366">
        <f t="shared" si="12"/>
        <v>0</v>
      </c>
      <c r="I27" s="366">
        <f t="shared" si="13"/>
        <v>0</v>
      </c>
      <c r="J27" s="278">
        <f t="shared" si="14"/>
        <v>27.46</v>
      </c>
      <c r="K27" s="278"/>
      <c r="L27" s="278"/>
      <c r="M27" s="278"/>
      <c r="N27" s="278"/>
      <c r="O27" s="278"/>
      <c r="P27" s="278"/>
      <c r="Q27" s="301"/>
      <c r="R27" s="470">
        <f>Elec_Est!R374</f>
        <v>0</v>
      </c>
      <c r="S27" s="278"/>
      <c r="T27" s="472">
        <f>Elec_Est!T374</f>
        <v>0</v>
      </c>
      <c r="V27"/>
      <c r="W27"/>
      <c r="X27"/>
    </row>
    <row r="28" spans="1:24">
      <c r="A28" s="381" t="str">
        <f t="shared" si="7"/>
        <v/>
      </c>
      <c r="B28" s="331" t="str">
        <f t="shared" si="8"/>
        <v/>
      </c>
      <c r="C28"/>
      <c r="D28" s="364" t="str">
        <f t="shared" si="9"/>
        <v/>
      </c>
      <c r="E28" s="471">
        <f t="shared" si="10"/>
        <v>0</v>
      </c>
      <c r="F28" s="470">
        <f>Elec_Est!F375</f>
        <v>0</v>
      </c>
      <c r="G28" s="278">
        <f t="shared" si="11"/>
        <v>1</v>
      </c>
      <c r="H28" s="366">
        <f t="shared" si="12"/>
        <v>0</v>
      </c>
      <c r="I28" s="366">
        <f t="shared" si="13"/>
        <v>0</v>
      </c>
      <c r="J28" s="278">
        <f t="shared" si="14"/>
        <v>27.46</v>
      </c>
      <c r="K28" s="278"/>
      <c r="L28" s="278"/>
      <c r="M28" s="278"/>
      <c r="N28" s="278"/>
      <c r="O28" s="278"/>
      <c r="P28" s="278"/>
      <c r="Q28" s="301"/>
      <c r="R28" s="470">
        <f>Elec_Est!R375</f>
        <v>0</v>
      </c>
      <c r="S28" s="278"/>
      <c r="T28" s="472">
        <f>Elec_Est!T375</f>
        <v>0</v>
      </c>
      <c r="V28"/>
      <c r="W28"/>
      <c r="X28"/>
    </row>
    <row r="29" spans="1:24">
      <c r="A29" s="381" t="str">
        <f t="shared" si="7"/>
        <v/>
      </c>
      <c r="B29" s="332" t="str">
        <f t="shared" si="8"/>
        <v/>
      </c>
      <c r="C29"/>
      <c r="D29" s="364" t="str">
        <f t="shared" si="9"/>
        <v/>
      </c>
      <c r="E29" s="471">
        <f t="shared" si="10"/>
        <v>0</v>
      </c>
      <c r="F29" s="470">
        <f>Elec_Est!F376</f>
        <v>0</v>
      </c>
      <c r="G29" s="278">
        <f t="shared" si="11"/>
        <v>1</v>
      </c>
      <c r="H29" s="366">
        <f t="shared" si="12"/>
        <v>0</v>
      </c>
      <c r="I29" s="366">
        <f t="shared" si="13"/>
        <v>0</v>
      </c>
      <c r="J29" s="278">
        <f t="shared" si="14"/>
        <v>27.46</v>
      </c>
      <c r="K29" s="278"/>
      <c r="L29" s="278"/>
      <c r="M29" s="278"/>
      <c r="N29" s="278"/>
      <c r="O29" s="278"/>
      <c r="P29" s="278"/>
      <c r="Q29" s="301"/>
      <c r="R29" s="470">
        <f>Elec_Est!R376</f>
        <v>0</v>
      </c>
      <c r="S29" s="278"/>
      <c r="T29" s="472">
        <f>Elec_Est!T376</f>
        <v>0</v>
      </c>
      <c r="V29"/>
      <c r="W29"/>
      <c r="X29"/>
    </row>
    <row r="30" spans="1:24">
      <c r="A30" s="381" t="str">
        <f t="shared" si="7"/>
        <v/>
      </c>
      <c r="B30" s="333" t="str">
        <f t="shared" si="8"/>
        <v/>
      </c>
      <c r="C30"/>
      <c r="D30" s="364" t="str">
        <f t="shared" si="9"/>
        <v/>
      </c>
      <c r="E30" s="471">
        <f t="shared" si="10"/>
        <v>0</v>
      </c>
      <c r="F30" s="470">
        <f>Elec_Est!F377</f>
        <v>0</v>
      </c>
      <c r="G30" s="278">
        <f t="shared" si="11"/>
        <v>1</v>
      </c>
      <c r="H30" s="366">
        <f t="shared" si="12"/>
        <v>0</v>
      </c>
      <c r="I30" s="366">
        <f t="shared" si="13"/>
        <v>0</v>
      </c>
      <c r="J30" s="278">
        <f t="shared" si="14"/>
        <v>27.46</v>
      </c>
      <c r="K30" s="278"/>
      <c r="L30" s="278"/>
      <c r="M30" s="278"/>
      <c r="N30" s="278"/>
      <c r="O30" s="278"/>
      <c r="P30" s="278"/>
      <c r="Q30" s="301"/>
      <c r="R30" s="470">
        <f>Elec_Est!R377</f>
        <v>0</v>
      </c>
      <c r="S30" s="278"/>
      <c r="T30" s="472">
        <f>Elec_Est!T377</f>
        <v>0</v>
      </c>
      <c r="V30"/>
      <c r="W30"/>
      <c r="X30"/>
    </row>
    <row r="31" spans="1:24">
      <c r="A31" s="381" t="str">
        <f t="shared" si="7"/>
        <v/>
      </c>
      <c r="B31" s="334" t="str">
        <f t="shared" si="8"/>
        <v/>
      </c>
      <c r="C31"/>
      <c r="D31" s="364" t="str">
        <f t="shared" si="9"/>
        <v/>
      </c>
      <c r="E31" s="471">
        <f t="shared" si="10"/>
        <v>0</v>
      </c>
      <c r="F31" s="470">
        <f>Elec_Est!F378</f>
        <v>0</v>
      </c>
      <c r="G31" s="278">
        <f t="shared" si="11"/>
        <v>1</v>
      </c>
      <c r="H31" s="366">
        <f t="shared" si="12"/>
        <v>0</v>
      </c>
      <c r="I31" s="366">
        <f t="shared" si="13"/>
        <v>0</v>
      </c>
      <c r="J31" s="278">
        <f t="shared" si="14"/>
        <v>27.46</v>
      </c>
      <c r="K31" s="278"/>
      <c r="L31" s="278"/>
      <c r="M31" s="278"/>
      <c r="N31" s="278"/>
      <c r="O31" s="278"/>
      <c r="P31" s="278"/>
      <c r="Q31" s="301"/>
      <c r="R31" s="470">
        <f>Elec_Est!R378</f>
        <v>0</v>
      </c>
      <c r="S31" s="278"/>
      <c r="T31" s="472">
        <f>Elec_Est!T378</f>
        <v>0</v>
      </c>
      <c r="V31"/>
      <c r="W31"/>
      <c r="X31" t="e">
        <f>Y70/W31=360/4</f>
        <v>#DIV/0!</v>
      </c>
    </row>
    <row r="32" spans="1:24">
      <c r="A32" s="382" t="str">
        <f t="shared" si="7"/>
        <v/>
      </c>
      <c r="B32" s="437" t="str">
        <f t="shared" si="8"/>
        <v/>
      </c>
      <c r="C32"/>
      <c r="D32" s="364" t="str">
        <f t="shared" si="9"/>
        <v/>
      </c>
      <c r="E32" s="471">
        <f t="shared" si="10"/>
        <v>0</v>
      </c>
      <c r="F32" s="470">
        <f>Elec_Est!F379</f>
        <v>0</v>
      </c>
      <c r="G32" s="278">
        <f t="shared" si="11"/>
        <v>1</v>
      </c>
      <c r="H32" s="366">
        <f t="shared" si="12"/>
        <v>0</v>
      </c>
      <c r="I32" s="366">
        <f t="shared" si="13"/>
        <v>0</v>
      </c>
      <c r="J32" s="278">
        <f t="shared" si="14"/>
        <v>27.46</v>
      </c>
      <c r="K32" s="278"/>
      <c r="L32" s="278"/>
      <c r="M32" s="278"/>
      <c r="N32" s="278"/>
      <c r="O32" s="278"/>
      <c r="P32" s="278"/>
      <c r="Q32" s="301"/>
      <c r="R32" s="470">
        <f>Elec_Est!R379</f>
        <v>0</v>
      </c>
      <c r="S32" s="278"/>
      <c r="T32" s="472">
        <f>Elec_Est!T379</f>
        <v>0</v>
      </c>
      <c r="V32"/>
      <c r="W32"/>
      <c r="X32"/>
    </row>
    <row r="33" spans="1:24">
      <c r="B33"/>
      <c r="C33" s="341" t="s">
        <v>203</v>
      </c>
      <c r="D33"/>
      <c r="E33"/>
      <c r="F33" s="340"/>
      <c r="G33" s="278"/>
      <c r="H33" s="278"/>
      <c r="I33" s="278"/>
      <c r="J33" s="278"/>
      <c r="K33" s="278"/>
      <c r="L33" s="278"/>
      <c r="M33" s="278"/>
      <c r="N33" s="278"/>
      <c r="O33" s="278"/>
      <c r="P33" s="278"/>
      <c r="R33" s="341"/>
      <c r="S33" s="278"/>
      <c r="T33" s="340"/>
      <c r="V33"/>
      <c r="W33"/>
      <c r="X33"/>
    </row>
    <row r="34" spans="1:24" ht="13.8" thickBot="1">
      <c r="B34" s="36"/>
      <c r="C34"/>
      <c r="R34" s="286"/>
      <c r="S34" s="286"/>
      <c r="T34" s="286"/>
      <c r="V34"/>
      <c r="W34"/>
      <c r="X34"/>
    </row>
    <row r="35" spans="1:24">
      <c r="A35" s="438" t="s">
        <v>206</v>
      </c>
      <c r="B35" s="442">
        <f ca="1">E_BOQ!F147</f>
        <v>24023.489999999998</v>
      </c>
      <c r="E35" s="471">
        <f ca="1">SUM(E23:E32)</f>
        <v>24023.489999999998</v>
      </c>
      <c r="F35" s="470">
        <f ca="1">SUM(F23:F32)</f>
        <v>24023.489999999998</v>
      </c>
      <c r="G35" s="279"/>
      <c r="H35" s="279"/>
      <c r="I35" s="279"/>
      <c r="J35" s="279"/>
      <c r="K35" s="279"/>
      <c r="L35" s="279"/>
      <c r="M35" s="279"/>
      <c r="N35" s="279"/>
      <c r="O35" s="279"/>
      <c r="P35" s="279"/>
      <c r="Q35" s="280"/>
      <c r="R35" s="284">
        <f ca="1">SUM(R23:R32)</f>
        <v>11673.123333333331</v>
      </c>
      <c r="S35" s="281"/>
      <c r="T35" s="284">
        <f ca="1">SUM(T23:T32)</f>
        <v>370.0382738528769</v>
      </c>
      <c r="V35"/>
      <c r="W35"/>
      <c r="X35"/>
    </row>
    <row r="36" spans="1:24" ht="14.4" thickBot="1">
      <c r="A36" s="439" t="str">
        <f xml:space="preserve"> IF(A39=0,"0.00",A39-(A38*A37))</f>
        <v>0.00</v>
      </c>
      <c r="B36" s="441" t="s">
        <v>239</v>
      </c>
      <c r="E36" s="507" t="str">
        <f>"ESTIM TOTAL (" &amp; $Q$1 &amp; ")"</f>
        <v>ESTIM TOTAL (€)</v>
      </c>
      <c r="G36" s="279"/>
      <c r="H36" s="279"/>
      <c r="I36" s="279"/>
      <c r="J36" s="279"/>
      <c r="K36" s="279"/>
      <c r="L36" s="279"/>
      <c r="M36" s="279"/>
      <c r="N36" s="279"/>
      <c r="O36" s="279"/>
      <c r="P36" s="279"/>
      <c r="Q36" s="280"/>
      <c r="V36"/>
      <c r="W36"/>
      <c r="X36"/>
    </row>
    <row r="37" spans="1:24" ht="13.8">
      <c r="A37" s="373">
        <v>1.125</v>
      </c>
      <c r="B37" s="440" t="s">
        <v>228</v>
      </c>
      <c r="C37" s="259"/>
      <c r="D37"/>
      <c r="E37" s="377"/>
      <c r="G37"/>
      <c r="H37"/>
      <c r="I37"/>
      <c r="J37"/>
      <c r="K37"/>
      <c r="L37"/>
      <c r="M37"/>
      <c r="N37"/>
      <c r="O37"/>
      <c r="P37"/>
      <c r="Q37"/>
      <c r="R37" s="422">
        <f>R165</f>
        <v>11673.023333333333</v>
      </c>
      <c r="S37" s="423" t="s">
        <v>199</v>
      </c>
      <c r="T37" s="421">
        <f>T165</f>
        <v>370.0382738528769</v>
      </c>
      <c r="V37"/>
      <c r="W37"/>
      <c r="X37"/>
    </row>
    <row r="38" spans="1:24">
      <c r="A38" s="375"/>
      <c r="B38" s="374" t="s">
        <v>226</v>
      </c>
      <c r="C38"/>
      <c r="D38"/>
      <c r="G38"/>
      <c r="H38"/>
      <c r="I38"/>
      <c r="J38"/>
      <c r="K38"/>
      <c r="L38"/>
      <c r="M38"/>
      <c r="N38"/>
      <c r="O38"/>
      <c r="P38"/>
      <c r="Q38"/>
      <c r="R38"/>
      <c r="S38"/>
      <c r="T38"/>
    </row>
    <row r="39" spans="1:24">
      <c r="A39" s="376"/>
      <c r="B39" s="374" t="s">
        <v>227</v>
      </c>
      <c r="C39"/>
      <c r="D39"/>
      <c r="E39"/>
      <c r="F39"/>
      <c r="G39" s="258"/>
      <c r="H39" s="258"/>
      <c r="I39" s="258"/>
      <c r="J39" s="258"/>
      <c r="K39" s="258"/>
      <c r="L39" s="258"/>
      <c r="M39" s="258"/>
      <c r="N39" s="258"/>
      <c r="O39" s="258"/>
      <c r="P39" s="258"/>
      <c r="Q39" s="372" t="s">
        <v>207</v>
      </c>
      <c r="R39" s="424">
        <f ca="1">R37-R35</f>
        <v>-9.9999999998544808E-2</v>
      </c>
      <c r="S39" s="452" t="s">
        <v>241</v>
      </c>
      <c r="T39" s="425">
        <f ca="1">T37-T35</f>
        <v>0</v>
      </c>
    </row>
    <row r="40" spans="1:24" ht="14.25" customHeight="1">
      <c r="S40" s="462"/>
    </row>
    <row r="41" spans="1:24">
      <c r="B41" s="426" t="s">
        <v>229</v>
      </c>
      <c r="C41" s="427"/>
      <c r="D41" s="416">
        <v>45904</v>
      </c>
      <c r="E41" s="428">
        <v>24023.489999999998</v>
      </c>
      <c r="F41" s="428">
        <v>24023.489999999998</v>
      </c>
      <c r="G41" s="429"/>
      <c r="H41" s="429"/>
      <c r="I41" s="429"/>
      <c r="J41" s="429"/>
      <c r="K41" s="429"/>
      <c r="L41" s="429"/>
      <c r="M41" s="429"/>
      <c r="N41" s="429"/>
      <c r="O41" s="429"/>
      <c r="P41" s="429"/>
      <c r="Q41" s="430"/>
      <c r="R41" s="428">
        <v>11673.123333333331</v>
      </c>
      <c r="S41" s="430"/>
      <c r="T41" s="428">
        <v>370.0382738528769</v>
      </c>
    </row>
    <row r="42" spans="1:24" ht="13.8">
      <c r="B42" s="415"/>
      <c r="C42"/>
      <c r="D42" s="417"/>
      <c r="E42" s="342"/>
      <c r="F42" s="342"/>
      <c r="G42" s="342"/>
      <c r="H42" s="342"/>
      <c r="I42" s="342"/>
      <c r="J42" s="342"/>
      <c r="K42" s="342"/>
      <c r="L42" s="342"/>
      <c r="M42" s="342"/>
      <c r="N42" s="342"/>
      <c r="O42" s="342"/>
      <c r="P42" s="342"/>
      <c r="Q42" s="342"/>
      <c r="R42" s="342"/>
      <c r="S42" s="342"/>
      <c r="T42" s="342"/>
    </row>
    <row r="43" spans="1:24" ht="13.8">
      <c r="B43" s="415"/>
      <c r="C43"/>
      <c r="D43" s="418" t="s">
        <v>7</v>
      </c>
      <c r="E43" s="342"/>
      <c r="F43" s="342"/>
      <c r="G43" s="342"/>
      <c r="H43" s="342"/>
      <c r="I43" s="342"/>
      <c r="J43" s="342"/>
      <c r="K43" s="342"/>
      <c r="L43" s="342"/>
      <c r="M43" s="342"/>
      <c r="N43" s="342"/>
      <c r="O43" s="342"/>
      <c r="P43" s="342"/>
      <c r="Q43" s="342"/>
      <c r="R43" s="342"/>
      <c r="S43" s="342"/>
      <c r="T43" s="342"/>
    </row>
    <row r="44" spans="1:24">
      <c r="B44" s="260"/>
      <c r="C44" s="261"/>
      <c r="D44" s="261"/>
    </row>
    <row r="45" spans="1:24" s="150" customFormat="1" ht="14.25" customHeight="1">
      <c r="A45" s="146"/>
      <c r="B45" s="147"/>
      <c r="C45" s="144"/>
      <c r="D45" s="144"/>
    </row>
    <row r="46" spans="1:24" s="150" customFormat="1" ht="13.8">
      <c r="A46" s="370" t="s">
        <v>36</v>
      </c>
      <c r="C46" s="36"/>
      <c r="D46" s="36"/>
    </row>
    <row r="47" spans="1:24" s="150" customFormat="1" ht="14.25" customHeight="1">
      <c r="A47" s="807" t="s">
        <v>212</v>
      </c>
      <c r="B47" s="807"/>
      <c r="C47" s="807"/>
      <c r="D47" s="807"/>
      <c r="E47" s="807"/>
      <c r="F47" s="807"/>
      <c r="G47" s="807"/>
      <c r="H47" s="807"/>
      <c r="I47" s="807"/>
      <c r="J47" s="807"/>
      <c r="K47" s="807"/>
      <c r="L47" s="807"/>
      <c r="M47" s="807"/>
      <c r="N47" s="807"/>
      <c r="O47" s="807"/>
      <c r="P47" s="807"/>
      <c r="Q47" s="807"/>
      <c r="R47" s="807"/>
      <c r="S47" s="807"/>
    </row>
    <row r="48" spans="1:24" s="150" customFormat="1" ht="14.25" customHeight="1">
      <c r="A48" s="807" t="s">
        <v>213</v>
      </c>
      <c r="B48" s="807"/>
      <c r="C48" s="807"/>
      <c r="D48" s="807"/>
      <c r="E48" s="807"/>
      <c r="F48" s="807"/>
      <c r="G48" s="807"/>
      <c r="H48" s="807"/>
      <c r="I48" s="807"/>
      <c r="J48" s="807"/>
      <c r="K48" s="807"/>
      <c r="L48" s="807"/>
      <c r="M48" s="807"/>
      <c r="N48" s="807"/>
      <c r="O48" s="807"/>
      <c r="P48" s="807"/>
      <c r="Q48" s="807"/>
      <c r="R48" s="807"/>
      <c r="S48" s="807"/>
      <c r="T48" s="36"/>
    </row>
    <row r="49" spans="1:20" s="150" customFormat="1" ht="13.8">
      <c r="A49" s="36"/>
      <c r="B49" s="137"/>
      <c r="C49" s="36"/>
      <c r="D49" s="36"/>
      <c r="E49" s="36"/>
      <c r="F49" s="36"/>
      <c r="G49" s="36"/>
      <c r="H49" s="36"/>
      <c r="I49" s="36"/>
      <c r="J49" s="36"/>
      <c r="K49" s="36"/>
      <c r="L49" s="36"/>
      <c r="M49" s="36"/>
      <c r="N49" s="36"/>
      <c r="O49" s="36"/>
      <c r="P49" s="36"/>
      <c r="Q49" s="36"/>
      <c r="R49" s="36"/>
      <c r="S49" s="36"/>
      <c r="T49" s="36"/>
    </row>
    <row r="50" spans="1:20" s="150" customFormat="1" ht="13.5" customHeight="1">
      <c r="A50" s="133"/>
      <c r="B50" s="144"/>
      <c r="C50" s="133"/>
      <c r="D50" s="133"/>
      <c r="E50" s="133"/>
      <c r="F50" s="133"/>
      <c r="G50" s="133"/>
      <c r="H50" s="133"/>
      <c r="I50" s="133"/>
      <c r="J50" s="133"/>
      <c r="K50" s="133"/>
      <c r="L50" s="133"/>
      <c r="M50" s="133"/>
      <c r="N50" s="133"/>
      <c r="O50" s="133"/>
      <c r="P50" s="133"/>
      <c r="Q50" s="133"/>
      <c r="R50" s="133"/>
      <c r="S50" s="133"/>
      <c r="T50" s="133"/>
    </row>
    <row r="51" spans="1:20" s="150" customFormat="1" ht="13.5" customHeight="1" thickBot="1">
      <c r="A51" s="151" t="s">
        <v>37</v>
      </c>
      <c r="B51" s="152"/>
      <c r="C51" s="153"/>
      <c r="D51" s="153" t="str">
        <f>D8</f>
        <v>Umut Kaymak</v>
      </c>
      <c r="E51" s="133"/>
      <c r="F51" s="154"/>
      <c r="G51" s="155"/>
      <c r="H51" s="155"/>
      <c r="I51" s="155"/>
      <c r="J51" s="155"/>
      <c r="K51" s="155"/>
      <c r="L51" s="155"/>
      <c r="M51" s="133"/>
      <c r="N51" s="133"/>
      <c r="O51" s="133"/>
      <c r="P51" s="133"/>
      <c r="Q51" s="151" t="s">
        <v>38</v>
      </c>
      <c r="R51" s="153"/>
      <c r="S51" s="153"/>
      <c r="T51" s="153"/>
    </row>
    <row r="52" spans="1:20" s="150" customFormat="1" ht="13.5" customHeight="1" thickTop="1">
      <c r="A52" s="156"/>
      <c r="B52" s="144"/>
      <c r="C52" s="133"/>
      <c r="D52" s="133"/>
      <c r="E52" s="133"/>
      <c r="F52" s="133"/>
      <c r="G52" s="133"/>
      <c r="H52" s="133"/>
      <c r="I52" s="133"/>
      <c r="J52" s="133"/>
      <c r="K52" s="133"/>
      <c r="L52" s="133"/>
      <c r="M52" s="133"/>
      <c r="N52" s="133"/>
      <c r="O52" s="133"/>
      <c r="P52" s="133"/>
      <c r="Q52" s="156"/>
      <c r="R52" s="133"/>
      <c r="S52" s="133"/>
      <c r="T52" s="133"/>
    </row>
    <row r="53" spans="1:20" s="150" customFormat="1" ht="13.5" customHeight="1" thickBot="1">
      <c r="A53" s="157" t="s">
        <v>39</v>
      </c>
      <c r="B53" s="153"/>
      <c r="C53" s="153"/>
      <c r="D53" s="153"/>
      <c r="E53" s="133"/>
      <c r="F53" s="154"/>
      <c r="G53" s="155"/>
      <c r="H53" s="155"/>
      <c r="I53" s="155"/>
      <c r="J53" s="155"/>
      <c r="K53" s="155"/>
      <c r="L53" s="155"/>
      <c r="M53" s="133"/>
      <c r="N53" s="133"/>
      <c r="O53" s="133"/>
      <c r="P53" s="133"/>
      <c r="Q53" s="156" t="s">
        <v>40</v>
      </c>
      <c r="R53" s="133"/>
      <c r="S53" s="153"/>
      <c r="T53" s="153"/>
    </row>
    <row r="54" spans="1:20" s="150" customFormat="1" ht="13.5" customHeight="1" thickTop="1">
      <c r="A54" s="157"/>
      <c r="B54" s="144"/>
      <c r="C54" s="133"/>
      <c r="D54" s="133"/>
      <c r="E54" s="133"/>
      <c r="F54" s="154"/>
      <c r="G54" s="133"/>
      <c r="H54" s="133"/>
      <c r="I54" s="133"/>
      <c r="J54" s="133"/>
      <c r="K54" s="133"/>
      <c r="L54" s="133"/>
      <c r="M54" s="133"/>
      <c r="N54" s="133"/>
      <c r="O54" s="133"/>
      <c r="P54" s="133"/>
      <c r="Q54" s="156"/>
      <c r="R54" s="133"/>
      <c r="S54" s="133"/>
      <c r="T54" s="133"/>
    </row>
    <row r="55" spans="1:20" s="150" customFormat="1" ht="13.5" customHeight="1">
      <c r="A55" s="806" t="s">
        <v>184</v>
      </c>
      <c r="B55" s="806"/>
      <c r="C55" s="12"/>
      <c r="D55" s="359" t="str">
        <f ca="1" xml:space="preserve"> CELL("filename")</f>
        <v>https://d.docs.live.net/d8e42587b76b10ba/Documents/Visual Code Studio/Claude/BMS-Attribution-Model/projects/[PantaShowroom_Phase2.xlsx]Elec_Est</v>
      </c>
      <c r="E55" s="261"/>
      <c r="F55" s="360"/>
      <c r="G55" s="261"/>
      <c r="H55" s="261"/>
      <c r="I55" s="261"/>
      <c r="J55" s="261"/>
      <c r="K55" s="261"/>
      <c r="L55" s="261"/>
      <c r="M55" s="261"/>
      <c r="N55" s="261"/>
      <c r="O55" s="261"/>
      <c r="P55" s="261"/>
      <c r="Q55" s="361"/>
      <c r="R55" s="133"/>
      <c r="S55" s="133"/>
      <c r="T55" s="133"/>
    </row>
    <row r="56" spans="1:20" s="150" customFormat="1" ht="12.75" customHeight="1">
      <c r="A56" s="272"/>
      <c r="B56" s="272"/>
      <c r="C56" s="12"/>
      <c r="D56" s="13"/>
      <c r="E56" s="133"/>
      <c r="F56" s="154"/>
      <c r="G56" s="133"/>
      <c r="H56" s="133"/>
      <c r="I56" s="133"/>
      <c r="J56" s="133"/>
      <c r="K56" s="133"/>
      <c r="L56" s="133"/>
      <c r="M56" s="133"/>
      <c r="N56" s="133"/>
      <c r="O56" s="133"/>
      <c r="P56" s="133"/>
      <c r="Q56" s="156"/>
      <c r="R56" s="133"/>
      <c r="S56" s="133"/>
      <c r="T56" s="133"/>
    </row>
    <row r="57" spans="1:20" ht="21" customHeight="1">
      <c r="B57" s="799" t="s">
        <v>41</v>
      </c>
      <c r="C57" s="800"/>
      <c r="D57" s="800"/>
      <c r="E57" s="800"/>
      <c r="F57" s="800"/>
      <c r="G57" s="800"/>
      <c r="H57" s="800"/>
      <c r="I57" s="800"/>
      <c r="J57" s="800"/>
      <c r="K57" s="800"/>
      <c r="L57" s="800"/>
      <c r="M57" s="800"/>
      <c r="N57" s="800"/>
      <c r="O57" s="800"/>
      <c r="P57" s="800"/>
      <c r="Q57" s="800"/>
      <c r="R57" s="800"/>
      <c r="S57" s="800"/>
      <c r="T57" s="801"/>
    </row>
    <row r="58" spans="1:20" ht="18" customHeight="1">
      <c r="B58" s="802" t="s">
        <v>42</v>
      </c>
      <c r="C58" s="803"/>
      <c r="D58" s="803"/>
      <c r="E58" s="803"/>
      <c r="F58" s="803"/>
      <c r="G58" s="803"/>
      <c r="H58" s="803"/>
      <c r="I58" s="803"/>
      <c r="J58" s="803"/>
      <c r="K58" s="803"/>
      <c r="L58" s="803"/>
      <c r="M58" s="803"/>
      <c r="N58" s="803"/>
      <c r="O58" s="803"/>
      <c r="P58" s="803"/>
      <c r="Q58" s="803"/>
      <c r="R58" s="803"/>
      <c r="S58" s="804"/>
      <c r="T58" s="805"/>
    </row>
    <row r="59" spans="1:20">
      <c r="B59" s="158"/>
      <c r="S59" s="159" t="s">
        <v>43</v>
      </c>
      <c r="T59" s="145"/>
    </row>
    <row r="60" spans="1:20">
      <c r="B60" s="158"/>
      <c r="D60" s="160" t="s">
        <v>44</v>
      </c>
      <c r="E60" s="262" t="str">
        <f>D1</f>
        <v>Panta</v>
      </c>
      <c r="F60" s="263"/>
      <c r="G60" s="89"/>
      <c r="H60" s="89"/>
      <c r="I60" s="89"/>
      <c r="J60" s="89"/>
      <c r="K60" s="89"/>
      <c r="L60" s="89"/>
      <c r="M60" s="89"/>
      <c r="N60" s="89"/>
      <c r="O60" s="89"/>
      <c r="P60" s="89"/>
      <c r="Q60" s="264"/>
      <c r="R60" s="89"/>
      <c r="S60" s="159" t="s">
        <v>270</v>
      </c>
      <c r="T60" s="145"/>
    </row>
    <row r="61" spans="1:20">
      <c r="B61" s="158"/>
      <c r="D61" s="161" t="s">
        <v>45</v>
      </c>
      <c r="E61" s="262" t="str">
        <f>D2</f>
        <v>Panta Showroom Phase 2</v>
      </c>
      <c r="F61" s="263"/>
      <c r="G61" s="89"/>
      <c r="H61" s="89"/>
      <c r="I61" s="89"/>
      <c r="J61" s="89"/>
      <c r="K61" s="89"/>
      <c r="L61" s="89"/>
      <c r="M61" s="89"/>
      <c r="N61" s="89"/>
      <c r="O61" s="89"/>
      <c r="P61" s="89"/>
      <c r="Q61" s="264"/>
      <c r="R61" s="89"/>
      <c r="S61" s="159" t="s">
        <v>264</v>
      </c>
      <c r="T61" s="145"/>
    </row>
    <row r="62" spans="1:20">
      <c r="B62" s="158"/>
      <c r="D62" s="160" t="s">
        <v>46</v>
      </c>
      <c r="E62" s="262" t="str">
        <f>D3</f>
        <v>Supply and Install Electrical requirements for Panta Showroom Phase 2</v>
      </c>
      <c r="F62" s="263"/>
      <c r="G62" s="89"/>
      <c r="H62" s="89"/>
      <c r="I62" s="89"/>
      <c r="J62" s="89"/>
      <c r="K62" s="89"/>
      <c r="L62" s="89"/>
      <c r="M62" s="89"/>
      <c r="N62" s="89"/>
      <c r="O62" s="89"/>
      <c r="P62" s="89"/>
      <c r="Q62" s="264"/>
      <c r="R62" s="89"/>
      <c r="S62" s="159" t="s">
        <v>269</v>
      </c>
      <c r="T62" s="145"/>
    </row>
    <row r="63" spans="1:20">
      <c r="B63" s="158"/>
      <c r="D63" s="162" t="s">
        <v>49</v>
      </c>
      <c r="E63" s="262" t="str">
        <f>D4</f>
        <v>EL25_XXXX</v>
      </c>
      <c r="F63" s="263"/>
      <c r="G63" s="89"/>
      <c r="H63" s="89"/>
      <c r="I63" s="89"/>
      <c r="J63" s="89"/>
      <c r="K63" s="89"/>
      <c r="L63" s="89"/>
      <c r="M63" s="89"/>
      <c r="N63" s="89"/>
      <c r="O63" s="89"/>
      <c r="P63" s="89"/>
      <c r="Q63" s="264"/>
      <c r="R63" s="89"/>
      <c r="S63" s="159"/>
      <c r="T63" s="145"/>
    </row>
    <row r="64" spans="1:20">
      <c r="B64" s="158"/>
      <c r="D64" s="162" t="s">
        <v>50</v>
      </c>
      <c r="E64" s="262">
        <f>D5</f>
        <v>0</v>
      </c>
      <c r="F64" s="263"/>
      <c r="G64" s="89"/>
      <c r="H64" s="89"/>
      <c r="I64" s="89"/>
      <c r="J64" s="89"/>
      <c r="K64" s="89"/>
      <c r="L64" s="89"/>
      <c r="M64" s="89"/>
      <c r="N64" s="89"/>
      <c r="O64" s="89"/>
      <c r="P64" s="89"/>
      <c r="Q64" s="264"/>
      <c r="R64" s="89"/>
      <c r="S64" s="159"/>
      <c r="T64" s="145"/>
    </row>
    <row r="65" spans="2:20">
      <c r="B65" s="158"/>
      <c r="S65" s="159" t="s">
        <v>48</v>
      </c>
      <c r="T65" s="145"/>
    </row>
    <row r="66" spans="2:20">
      <c r="B66" s="158"/>
      <c r="D66" s="162" t="s">
        <v>47</v>
      </c>
      <c r="E66" s="163"/>
      <c r="F66" s="163"/>
      <c r="G66" s="164"/>
      <c r="H66" s="164"/>
      <c r="I66" s="164"/>
      <c r="J66" s="164"/>
      <c r="K66" s="164"/>
      <c r="L66" s="164"/>
      <c r="M66" s="164"/>
      <c r="N66" s="164"/>
      <c r="O66" s="164"/>
      <c r="P66" s="164"/>
      <c r="S66" s="165"/>
      <c r="T66" s="166"/>
    </row>
    <row r="67" spans="2:20">
      <c r="B67" s="158"/>
      <c r="D67" s="162" t="s">
        <v>245</v>
      </c>
      <c r="E67" s="163"/>
      <c r="F67" s="163"/>
      <c r="G67" s="164"/>
      <c r="H67" s="164"/>
      <c r="I67" s="164"/>
      <c r="J67" s="164"/>
      <c r="K67" s="164"/>
      <c r="L67" s="164"/>
      <c r="M67" s="164"/>
      <c r="N67" s="164"/>
      <c r="O67" s="164"/>
      <c r="P67" s="164"/>
      <c r="S67" s="165"/>
      <c r="T67" s="166"/>
    </row>
    <row r="68" spans="2:20">
      <c r="B68" s="167"/>
      <c r="C68" s="57"/>
      <c r="D68" s="57"/>
      <c r="E68" s="57"/>
      <c r="F68" s="57"/>
      <c r="G68" s="57"/>
      <c r="H68" s="57"/>
      <c r="I68" s="57"/>
      <c r="J68" s="57"/>
      <c r="K68" s="57"/>
      <c r="L68" s="57"/>
      <c r="M68" s="57"/>
      <c r="N68" s="57"/>
      <c r="O68" s="57"/>
      <c r="P68" s="57"/>
      <c r="Q68" s="57"/>
      <c r="R68" s="57"/>
      <c r="S68" s="57"/>
      <c r="T68" s="168"/>
    </row>
    <row r="69" spans="2:20" ht="14.25" customHeight="1">
      <c r="B69" s="158"/>
      <c r="T69" s="166"/>
    </row>
    <row r="70" spans="2:20" ht="15.6">
      <c r="B70" s="158"/>
      <c r="E70" s="169" t="s">
        <v>193</v>
      </c>
      <c r="F70" s="143"/>
      <c r="G70" s="143"/>
      <c r="H70" s="143"/>
      <c r="I70" s="143"/>
      <c r="J70" s="143"/>
      <c r="K70" s="143"/>
      <c r="L70" s="143"/>
      <c r="M70" s="143"/>
      <c r="N70" s="143"/>
      <c r="O70" s="143"/>
      <c r="P70" s="143"/>
      <c r="Q70" s="143"/>
      <c r="R70" s="143"/>
      <c r="S70" s="67"/>
      <c r="T70" s="166"/>
    </row>
    <row r="71" spans="2:20">
      <c r="B71" s="158"/>
      <c r="E71" s="171"/>
      <c r="F71" s="143"/>
      <c r="G71" s="143"/>
      <c r="H71" s="143"/>
      <c r="I71" s="143"/>
      <c r="J71" s="143"/>
      <c r="K71" s="143"/>
      <c r="L71" s="143"/>
      <c r="M71" s="143"/>
      <c r="N71" s="143"/>
      <c r="O71" s="143"/>
      <c r="P71" s="143"/>
      <c r="Q71" s="143"/>
      <c r="R71" s="143"/>
      <c r="S71" s="67"/>
      <c r="T71" s="166"/>
    </row>
    <row r="72" spans="2:20">
      <c r="B72" s="293"/>
      <c r="C72" s="339">
        <f ca="1">IF($A$33="MIXED",F23/(1-Q2)+F24/(1-Q3)+F25/(1-Q4)+F26/(1-Q5)+F27/(1-Q6)+F28/(1-Q7)+F29/(1-Q8)+F30/(1-Q9)+F31/(1-Q10)+F32/(1-Q11)-SUM(A23:A32),   F23/(1-Q2)+F24/(1-Q3)+F25/(1-Q4)+F26/(1-Q5)+F27/(1-Q6)+F28/(1-Q7)+F29/(1-Q8)+F30/(1-Q9)+F31/(1-Q10)+F32/(1-Q11))</f>
        <v>24023.489999999998</v>
      </c>
      <c r="E72" s="140" t="s">
        <v>236</v>
      </c>
      <c r="F72" s="401">
        <f ca="1">IF(D6="VAT INCLUDED",C72/($C$1*1.18),C72/$C$1)</f>
        <v>24023.489999999998</v>
      </c>
      <c r="G72" s="143"/>
      <c r="H72" s="143"/>
      <c r="I72" s="143"/>
      <c r="J72" s="143"/>
      <c r="K72" s="143"/>
      <c r="L72" s="143"/>
      <c r="M72" s="143"/>
      <c r="N72" s="143"/>
      <c r="O72" s="143"/>
      <c r="P72" s="143"/>
      <c r="Q72" s="143"/>
      <c r="R72" s="143"/>
      <c r="S72" s="67"/>
      <c r="T72" s="166"/>
    </row>
    <row r="73" spans="2:20">
      <c r="B73" s="158"/>
      <c r="F73" s="407"/>
      <c r="G73" s="143"/>
      <c r="H73" s="143"/>
      <c r="I73" s="143"/>
      <c r="J73" s="143"/>
      <c r="K73" s="143"/>
      <c r="L73" s="143"/>
      <c r="M73" s="143"/>
      <c r="N73" s="143"/>
      <c r="O73" s="143"/>
      <c r="P73" s="143"/>
      <c r="Q73" s="143"/>
      <c r="R73" s="143"/>
      <c r="S73" s="67"/>
      <c r="T73" s="166"/>
    </row>
    <row r="74" spans="2:20" ht="15" customHeight="1">
      <c r="B74" s="293"/>
      <c r="E74" s="410" t="s">
        <v>237</v>
      </c>
      <c r="F74" s="408">
        <f ca="1">(F72-F75)/F72</f>
        <v>0</v>
      </c>
      <c r="G74" s="172"/>
      <c r="H74" s="172"/>
      <c r="I74" s="172"/>
      <c r="J74" s="172"/>
      <c r="K74" s="172"/>
      <c r="L74" s="172"/>
      <c r="M74" s="172"/>
      <c r="N74" s="172"/>
      <c r="O74" s="172"/>
      <c r="P74" s="172"/>
      <c r="Q74" s="173"/>
      <c r="T74" s="166"/>
    </row>
    <row r="75" spans="2:20">
      <c r="B75" s="294"/>
      <c r="E75" s="161" t="s">
        <v>235</v>
      </c>
      <c r="F75" s="409">
        <f ca="1">IF(D6="VAT INCLUDED",E35/($C$1*1.18),E35/$C$1)</f>
        <v>24023.489999999998</v>
      </c>
      <c r="T75" s="166"/>
    </row>
    <row r="76" spans="2:20" ht="14.25" customHeight="1">
      <c r="B76" s="158"/>
      <c r="E76" s="140"/>
      <c r="F76" s="265"/>
      <c r="R76" s="140"/>
      <c r="T76" s="166"/>
    </row>
    <row r="77" spans="2:20" ht="15.6">
      <c r="B77" s="174"/>
      <c r="C77" s="175"/>
      <c r="E77" s="176" t="s">
        <v>186</v>
      </c>
      <c r="F77" s="431">
        <f>$D$9</f>
        <v>27.46</v>
      </c>
      <c r="G77" s="177"/>
      <c r="H77" s="178"/>
      <c r="I77" s="179"/>
      <c r="J77" s="180"/>
      <c r="K77" s="180"/>
      <c r="L77" s="180"/>
      <c r="M77" s="180"/>
      <c r="N77" s="180"/>
      <c r="O77" s="180"/>
      <c r="P77" s="180"/>
      <c r="Q77" s="181"/>
      <c r="R77" s="140" t="s">
        <v>167</v>
      </c>
      <c r="S77" s="170"/>
      <c r="T77" s="166"/>
    </row>
    <row r="78" spans="2:20" ht="15.6">
      <c r="B78" s="174"/>
      <c r="C78" s="175"/>
      <c r="E78" s="182"/>
      <c r="F78" s="183"/>
      <c r="G78" s="184"/>
      <c r="H78" s="185"/>
      <c r="I78" s="186"/>
      <c r="J78" s="181"/>
      <c r="K78" s="181"/>
      <c r="L78" s="181"/>
      <c r="M78" s="181"/>
      <c r="N78" s="181"/>
      <c r="O78" s="181"/>
      <c r="P78" s="181"/>
      <c r="Q78" s="181"/>
      <c r="T78" s="166"/>
    </row>
    <row r="79" spans="2:20" ht="15.6">
      <c r="B79" s="174"/>
      <c r="C79" s="175"/>
      <c r="E79" s="182"/>
      <c r="F79" s="183"/>
      <c r="G79" s="184"/>
      <c r="H79" s="185"/>
      <c r="I79" s="186"/>
      <c r="J79" s="181"/>
      <c r="K79" s="181"/>
      <c r="L79" s="181"/>
      <c r="M79" s="181"/>
      <c r="N79" s="181"/>
      <c r="O79" s="181"/>
      <c r="P79" s="181"/>
      <c r="Q79" s="181"/>
      <c r="T79" s="166"/>
    </row>
    <row r="80" spans="2:20" ht="15">
      <c r="B80" s="174"/>
      <c r="C80" s="175"/>
      <c r="D80" s="187" t="s">
        <v>51</v>
      </c>
      <c r="E80" s="188" t="s">
        <v>68</v>
      </c>
      <c r="F80" s="189" t="s">
        <v>52</v>
      </c>
      <c r="G80" s="190"/>
      <c r="H80" s="190"/>
      <c r="I80" s="190"/>
      <c r="J80" s="190"/>
      <c r="K80" s="190"/>
      <c r="L80" s="190"/>
      <c r="M80" s="190"/>
      <c r="N80" s="190"/>
      <c r="O80" s="190"/>
      <c r="P80" s="190"/>
      <c r="Q80" s="190"/>
      <c r="R80" s="188" t="s">
        <v>225</v>
      </c>
      <c r="S80" s="191"/>
      <c r="T80" s="166"/>
    </row>
    <row r="81" spans="2:20" ht="13.8">
      <c r="B81" s="158"/>
      <c r="D81" s="192" t="s">
        <v>232</v>
      </c>
      <c r="E81" s="77" t="s">
        <v>234</v>
      </c>
      <c r="F81" s="193" t="s">
        <v>232</v>
      </c>
      <c r="R81" s="276"/>
      <c r="S81" s="166"/>
      <c r="T81" s="194"/>
    </row>
    <row r="82" spans="2:20">
      <c r="B82" s="158"/>
      <c r="D82" s="195"/>
      <c r="S82" s="196"/>
      <c r="T82" s="166"/>
    </row>
    <row r="83" spans="2:20">
      <c r="B83" s="158"/>
      <c r="D83" s="402">
        <f>R165</f>
        <v>11673.023333333333</v>
      </c>
      <c r="E83" s="403">
        <f>T165</f>
        <v>370.0382738528769</v>
      </c>
      <c r="F83" s="404">
        <f>R165+S165</f>
        <v>21834.274333333335</v>
      </c>
      <c r="G83" s="405"/>
      <c r="H83" s="405"/>
      <c r="I83" s="405"/>
      <c r="J83" s="405"/>
      <c r="K83" s="405"/>
      <c r="L83" s="405"/>
      <c r="M83" s="405"/>
      <c r="N83" s="405"/>
      <c r="O83" s="405"/>
      <c r="P83" s="405"/>
      <c r="Q83" s="405"/>
      <c r="R83" s="406">
        <f ca="1">IF(F83=0,0,F75/F83)</f>
        <v>1.100265098498121</v>
      </c>
      <c r="S83" s="196"/>
      <c r="T83" s="166"/>
    </row>
    <row r="84" spans="2:20">
      <c r="B84" s="158"/>
      <c r="D84" s="797" t="s">
        <v>168</v>
      </c>
      <c r="E84" s="798"/>
      <c r="S84" s="166"/>
      <c r="T84" s="196"/>
    </row>
    <row r="85" spans="2:20" ht="15">
      <c r="B85" s="158"/>
      <c r="D85" s="197"/>
      <c r="E85" s="57"/>
      <c r="F85" s="57"/>
      <c r="G85" s="57"/>
      <c r="H85" s="198"/>
      <c r="I85" s="199"/>
      <c r="J85" s="57"/>
      <c r="K85" s="57"/>
      <c r="L85" s="57"/>
      <c r="M85" s="57"/>
      <c r="N85" s="57"/>
      <c r="O85" s="57"/>
      <c r="P85" s="57"/>
      <c r="Q85" s="57"/>
      <c r="R85" s="57"/>
      <c r="S85" s="168"/>
      <c r="T85" s="166"/>
    </row>
    <row r="86" spans="2:20" ht="15">
      <c r="B86" s="158"/>
      <c r="H86" s="200"/>
      <c r="I86" s="175"/>
      <c r="T86" s="166"/>
    </row>
    <row r="87" spans="2:20" ht="15">
      <c r="B87" s="158"/>
      <c r="H87" s="200"/>
      <c r="I87" s="175"/>
      <c r="R87" s="140" t="s">
        <v>53</v>
      </c>
      <c r="S87" s="201"/>
      <c r="T87" s="166"/>
    </row>
    <row r="88" spans="2:20" ht="15">
      <c r="B88" s="158"/>
      <c r="H88" s="200"/>
      <c r="I88" s="175"/>
      <c r="R88" s="140" t="s">
        <v>54</v>
      </c>
      <c r="S88" s="201"/>
      <c r="T88" s="166"/>
    </row>
    <row r="89" spans="2:20" ht="15">
      <c r="B89" s="158"/>
      <c r="H89" s="200"/>
      <c r="I89" s="175"/>
      <c r="R89" s="140"/>
      <c r="S89" s="202"/>
      <c r="T89" s="166"/>
    </row>
    <row r="90" spans="2:20" ht="15">
      <c r="B90" s="158"/>
      <c r="H90" s="200"/>
      <c r="I90" s="175"/>
      <c r="R90" s="140" t="s">
        <v>55</v>
      </c>
      <c r="S90" s="203"/>
      <c r="T90" s="166"/>
    </row>
    <row r="91" spans="2:20" ht="15">
      <c r="B91" s="158"/>
      <c r="I91" s="175"/>
      <c r="R91" s="140" t="s">
        <v>56</v>
      </c>
      <c r="S91" s="204"/>
      <c r="T91" s="166"/>
    </row>
    <row r="92" spans="2:20" ht="15">
      <c r="B92" s="158"/>
      <c r="I92" s="175"/>
      <c r="J92" s="205"/>
      <c r="K92" s="206"/>
      <c r="L92" s="206"/>
      <c r="M92" s="206"/>
      <c r="N92" s="206"/>
      <c r="O92" s="206"/>
      <c r="P92" s="206"/>
      <c r="Q92" s="206"/>
      <c r="R92" s="140" t="s">
        <v>57</v>
      </c>
      <c r="S92" s="204"/>
      <c r="T92" s="166"/>
    </row>
    <row r="93" spans="2:20" ht="15">
      <c r="B93" s="158"/>
      <c r="D93" s="207" t="s">
        <v>58</v>
      </c>
      <c r="G93" s="208"/>
      <c r="I93" s="175"/>
      <c r="J93" s="205"/>
      <c r="K93" s="206"/>
      <c r="L93" s="206"/>
      <c r="M93" s="206"/>
      <c r="N93" s="206"/>
      <c r="O93" s="206"/>
      <c r="P93" s="206"/>
      <c r="Q93" s="206"/>
      <c r="R93" s="140"/>
      <c r="T93" s="166"/>
    </row>
    <row r="94" spans="2:20" ht="15.6">
      <c r="B94" s="158"/>
      <c r="D94" s="209" t="s">
        <v>271</v>
      </c>
      <c r="G94" s="208"/>
      <c r="I94" s="175"/>
      <c r="J94" s="205"/>
      <c r="K94" s="206"/>
      <c r="L94" s="206"/>
      <c r="M94" s="206"/>
      <c r="N94" s="206"/>
      <c r="O94" s="206"/>
      <c r="P94" s="206"/>
      <c r="Q94" s="206"/>
      <c r="R94" s="140" t="s">
        <v>59</v>
      </c>
      <c r="S94" s="204"/>
      <c r="T94" s="166"/>
    </row>
    <row r="95" spans="2:20" ht="15">
      <c r="B95" s="158"/>
      <c r="D95" s="210">
        <f ca="1">NOW()</f>
        <v>46118.473109606479</v>
      </c>
      <c r="G95" s="208"/>
      <c r="I95" s="175"/>
      <c r="J95" s="205"/>
      <c r="K95" s="206"/>
      <c r="L95" s="206"/>
      <c r="M95" s="206"/>
      <c r="N95" s="206"/>
      <c r="O95" s="206"/>
      <c r="P95" s="206"/>
      <c r="Q95" s="206"/>
      <c r="R95" s="206"/>
      <c r="T95" s="166"/>
    </row>
    <row r="96" spans="2:20" s="215" customFormat="1" ht="15">
      <c r="B96" s="167"/>
      <c r="C96" s="57"/>
      <c r="D96" s="57"/>
      <c r="E96" s="57"/>
      <c r="F96" s="57"/>
      <c r="G96" s="57"/>
      <c r="H96" s="57"/>
      <c r="I96" s="199"/>
      <c r="J96" s="211"/>
      <c r="K96" s="212"/>
      <c r="L96" s="212"/>
      <c r="M96" s="212"/>
      <c r="N96" s="212"/>
      <c r="O96" s="212"/>
      <c r="P96" s="212"/>
      <c r="Q96" s="212"/>
      <c r="R96" s="212"/>
      <c r="S96" s="213"/>
      <c r="T96" s="214"/>
    </row>
    <row r="97" spans="1:20" s="215" customFormat="1" ht="12" customHeight="1">
      <c r="B97" s="137"/>
      <c r="C97" s="36"/>
      <c r="D97" s="36"/>
      <c r="E97" s="36"/>
      <c r="F97" s="36"/>
      <c r="G97" s="36"/>
      <c r="H97" s="175"/>
      <c r="I97" s="175"/>
      <c r="J97" s="205"/>
      <c r="K97" s="206"/>
      <c r="L97" s="206"/>
      <c r="M97" s="206"/>
      <c r="N97" s="206"/>
      <c r="O97" s="206"/>
      <c r="P97" s="206"/>
      <c r="Q97" s="206"/>
      <c r="R97" s="206"/>
      <c r="S97" s="150"/>
      <c r="T97" s="150"/>
    </row>
    <row r="98" spans="1:20" ht="21" customHeight="1">
      <c r="B98" s="216"/>
      <c r="C98" s="217"/>
      <c r="D98" s="217" t="s">
        <v>41</v>
      </c>
      <c r="E98" s="218"/>
      <c r="F98" s="218"/>
      <c r="G98" s="218"/>
      <c r="H98" s="219"/>
      <c r="I98" s="220"/>
      <c r="J98" s="221"/>
      <c r="K98" s="221"/>
      <c r="L98" s="221"/>
      <c r="M98" s="221"/>
      <c r="N98" s="221"/>
      <c r="O98" s="221"/>
      <c r="P98" s="221"/>
      <c r="Q98" s="221"/>
      <c r="R98" s="221"/>
      <c r="S98" s="222"/>
      <c r="T98" s="223"/>
    </row>
    <row r="99" spans="1:20" ht="15">
      <c r="B99" s="224"/>
      <c r="C99" s="225"/>
      <c r="D99" s="225" t="s">
        <v>60</v>
      </c>
      <c r="E99" s="226"/>
      <c r="F99" s="226"/>
      <c r="G99" s="226"/>
      <c r="H99" s="227"/>
      <c r="I99" s="198"/>
      <c r="J99" s="228"/>
      <c r="K99" s="228"/>
      <c r="L99" s="228"/>
      <c r="M99" s="228"/>
      <c r="N99" s="228"/>
      <c r="O99" s="228"/>
      <c r="P99" s="228"/>
      <c r="Q99" s="228"/>
      <c r="R99" s="228"/>
      <c r="S99" s="228"/>
      <c r="T99" s="229"/>
    </row>
    <row r="100" spans="1:20" ht="15">
      <c r="B100" s="230"/>
      <c r="C100" s="231"/>
      <c r="D100" s="232"/>
      <c r="E100" s="143"/>
      <c r="F100" s="143"/>
      <c r="G100" s="143"/>
      <c r="H100" s="208"/>
      <c r="I100" s="200"/>
      <c r="J100" s="233"/>
      <c r="K100" s="233"/>
      <c r="L100" s="233"/>
      <c r="M100" s="233"/>
      <c r="N100" s="233"/>
      <c r="O100" s="233"/>
      <c r="P100" s="233"/>
      <c r="Q100" s="233"/>
      <c r="R100" s="233"/>
      <c r="S100" s="233"/>
      <c r="T100" s="234"/>
    </row>
    <row r="101" spans="1:20" ht="15">
      <c r="B101" s="158"/>
      <c r="D101" s="235" t="s">
        <v>61</v>
      </c>
      <c r="E101" s="266" t="str">
        <f>E61</f>
        <v>Panta Showroom Phase 2</v>
      </c>
      <c r="F101" s="264"/>
      <c r="G101" s="267"/>
      <c r="H101" s="268"/>
      <c r="I101" s="268"/>
      <c r="J101" s="264"/>
      <c r="K101" s="264"/>
      <c r="L101" s="264"/>
      <c r="M101" s="264"/>
      <c r="N101" s="264"/>
      <c r="O101" s="264"/>
      <c r="P101" s="264"/>
      <c r="Q101" s="264"/>
      <c r="R101" s="264"/>
      <c r="S101" s="89"/>
      <c r="T101" s="166"/>
    </row>
    <row r="102" spans="1:20" ht="15">
      <c r="B102" s="158"/>
      <c r="D102" s="235" t="s">
        <v>62</v>
      </c>
      <c r="E102" s="266" t="str">
        <f>E62</f>
        <v>Supply and Install Electrical requirements for Panta Showroom Phase 2</v>
      </c>
      <c r="F102" s="264"/>
      <c r="G102" s="267"/>
      <c r="H102" s="268"/>
      <c r="I102" s="268"/>
      <c r="J102" s="264"/>
      <c r="K102" s="264"/>
      <c r="L102" s="264"/>
      <c r="M102" s="264"/>
      <c r="N102" s="264"/>
      <c r="O102" s="264"/>
      <c r="P102" s="264"/>
      <c r="Q102" s="264"/>
      <c r="R102" s="264"/>
      <c r="S102" s="89"/>
      <c r="T102" s="166"/>
    </row>
    <row r="103" spans="1:20" ht="15">
      <c r="B103" s="236"/>
      <c r="C103" s="237"/>
      <c r="D103" s="162" t="s">
        <v>50</v>
      </c>
      <c r="E103" s="266">
        <f>E64</f>
        <v>0</v>
      </c>
      <c r="F103" s="89"/>
      <c r="G103" s="89"/>
      <c r="H103" s="268"/>
      <c r="I103" s="268"/>
      <c r="J103" s="89"/>
      <c r="K103" s="89"/>
      <c r="L103" s="89"/>
      <c r="M103" s="89"/>
      <c r="N103" s="89"/>
      <c r="O103" s="89"/>
      <c r="P103" s="89"/>
      <c r="Q103" s="89"/>
      <c r="R103" s="89"/>
      <c r="S103" s="89"/>
      <c r="T103" s="166"/>
    </row>
    <row r="104" spans="1:20" ht="15">
      <c r="B104" s="236"/>
      <c r="C104" s="237"/>
      <c r="D104" s="238"/>
      <c r="F104" s="239"/>
      <c r="G104" s="135"/>
      <c r="H104" s="175"/>
      <c r="I104" s="175"/>
      <c r="T104" s="240"/>
    </row>
    <row r="105" spans="1:20">
      <c r="B105" s="241"/>
      <c r="C105" s="190"/>
      <c r="D105" s="190"/>
      <c r="E105" s="190"/>
      <c r="F105" s="242"/>
      <c r="G105" s="190"/>
      <c r="H105" s="190"/>
      <c r="I105" s="190"/>
      <c r="J105" s="190"/>
      <c r="K105" s="190"/>
      <c r="L105" s="190"/>
      <c r="M105" s="190"/>
      <c r="N105" s="190"/>
      <c r="O105" s="190"/>
      <c r="P105" s="190"/>
      <c r="Q105" s="242"/>
      <c r="R105" s="191"/>
      <c r="S105" s="191"/>
      <c r="T105" s="191"/>
    </row>
    <row r="106" spans="1:20">
      <c r="B106" s="158"/>
      <c r="D106" s="78" t="s">
        <v>63</v>
      </c>
      <c r="F106" s="387" t="s">
        <v>64</v>
      </c>
      <c r="G106" s="388"/>
      <c r="H106" s="389"/>
      <c r="I106" s="389"/>
      <c r="J106" s="389"/>
      <c r="K106" s="389"/>
      <c r="L106" s="389"/>
      <c r="M106" s="389"/>
      <c r="N106" s="389"/>
      <c r="O106" s="389"/>
      <c r="P106" s="390"/>
      <c r="Q106" s="387" t="s">
        <v>65</v>
      </c>
      <c r="R106" s="386" t="s">
        <v>66</v>
      </c>
      <c r="S106" s="386" t="s">
        <v>67</v>
      </c>
      <c r="T106" s="386" t="s">
        <v>68</v>
      </c>
    </row>
    <row r="107" spans="1:20" ht="13.8">
      <c r="B107" s="243"/>
      <c r="C107" s="244"/>
      <c r="D107" s="6"/>
      <c r="F107" s="387" t="s">
        <v>69</v>
      </c>
      <c r="G107" s="388"/>
      <c r="H107" s="389"/>
      <c r="I107" s="389"/>
      <c r="J107" s="389"/>
      <c r="K107" s="389"/>
      <c r="L107" s="389"/>
      <c r="M107" s="389"/>
      <c r="N107" s="389"/>
      <c r="O107" s="389"/>
      <c r="P107" s="391"/>
      <c r="Q107" s="387" t="s">
        <v>70</v>
      </c>
      <c r="R107" s="245" t="s">
        <v>232</v>
      </c>
      <c r="S107" s="419">
        <f>$D$9</f>
        <v>27.46</v>
      </c>
      <c r="T107" s="245" t="s">
        <v>234</v>
      </c>
    </row>
    <row r="108" spans="1:20">
      <c r="B108" s="469" t="s">
        <v>71</v>
      </c>
      <c r="C108" s="57"/>
      <c r="D108" s="338" t="s">
        <v>208</v>
      </c>
      <c r="E108" s="57"/>
      <c r="F108" s="246"/>
      <c r="P108" s="350" t="s">
        <v>27</v>
      </c>
      <c r="Q108" s="285">
        <v>1</v>
      </c>
      <c r="R108" s="168"/>
      <c r="S108" s="168"/>
      <c r="T108" s="168"/>
    </row>
    <row r="109" spans="1:20">
      <c r="A109" s="166"/>
      <c r="B109" s="476" t="s">
        <v>72</v>
      </c>
      <c r="C109" s="6" t="s">
        <v>73</v>
      </c>
      <c r="D109" s="36" t="s">
        <v>74</v>
      </c>
      <c r="E109" s="166"/>
      <c r="F109" s="358">
        <v>501</v>
      </c>
      <c r="G109" s="63"/>
      <c r="P109" s="348">
        <v>1</v>
      </c>
      <c r="Q109" s="247">
        <v>1</v>
      </c>
      <c r="R109" s="283">
        <f>Elec_Est!R391</f>
        <v>9.5733333333333341</v>
      </c>
      <c r="S109" s="385">
        <f>T109*$D$9</f>
        <v>0</v>
      </c>
      <c r="T109" s="283">
        <f>Elec_Est!T391</f>
        <v>0</v>
      </c>
    </row>
    <row r="110" spans="1:20" hidden="1">
      <c r="A110" s="166"/>
      <c r="B110" s="476">
        <v>2</v>
      </c>
      <c r="C110" s="6" t="s">
        <v>73</v>
      </c>
      <c r="D110" s="36" t="s">
        <v>75</v>
      </c>
      <c r="E110" s="166"/>
      <c r="F110" s="358">
        <v>505</v>
      </c>
      <c r="G110" s="63"/>
      <c r="P110" s="348">
        <v>1</v>
      </c>
      <c r="Q110" s="247">
        <v>1</v>
      </c>
      <c r="R110" s="283">
        <f>Elec_Est!R392</f>
        <v>0</v>
      </c>
      <c r="S110" s="385">
        <f t="shared" ref="S110:S164" si="15">T110*$D$9</f>
        <v>0</v>
      </c>
      <c r="T110" s="283">
        <f>Elec_Est!T392</f>
        <v>0</v>
      </c>
    </row>
    <row r="111" spans="1:20">
      <c r="A111" s="166"/>
      <c r="B111" s="476">
        <v>3</v>
      </c>
      <c r="C111" s="6" t="s">
        <v>73</v>
      </c>
      <c r="D111" s="36" t="s">
        <v>76</v>
      </c>
      <c r="E111" s="166"/>
      <c r="F111" s="358">
        <v>510</v>
      </c>
      <c r="G111" s="63"/>
      <c r="P111" s="348">
        <v>2</v>
      </c>
      <c r="Q111" s="247">
        <v>1</v>
      </c>
      <c r="R111" s="283">
        <f>Elec_Est!R393</f>
        <v>593.17999999999995</v>
      </c>
      <c r="S111" s="385">
        <f t="shared" si="15"/>
        <v>240.27500000000001</v>
      </c>
      <c r="T111" s="283">
        <f>Elec_Est!T393</f>
        <v>8.75</v>
      </c>
    </row>
    <row r="112" spans="1:20" hidden="1">
      <c r="A112" s="166"/>
      <c r="B112" s="476">
        <v>4</v>
      </c>
      <c r="C112" s="6" t="s">
        <v>73</v>
      </c>
      <c r="D112" s="36" t="s">
        <v>77</v>
      </c>
      <c r="E112" s="166"/>
      <c r="F112" s="358">
        <v>511</v>
      </c>
      <c r="G112" s="63"/>
      <c r="P112" s="348">
        <v>2</v>
      </c>
      <c r="Q112" s="247">
        <v>1</v>
      </c>
      <c r="R112" s="283">
        <f>Elec_Est!R394</f>
        <v>0</v>
      </c>
      <c r="S112" s="385">
        <f t="shared" si="15"/>
        <v>0</v>
      </c>
      <c r="T112" s="283">
        <f>Elec_Est!T394</f>
        <v>0</v>
      </c>
    </row>
    <row r="113" spans="1:20" hidden="1">
      <c r="A113" s="166"/>
      <c r="B113" s="476">
        <v>5</v>
      </c>
      <c r="C113" s="6" t="s">
        <v>73</v>
      </c>
      <c r="D113" s="36" t="s">
        <v>78</v>
      </c>
      <c r="E113" s="166"/>
      <c r="F113" s="358">
        <v>512</v>
      </c>
      <c r="G113" s="63"/>
      <c r="P113" s="348">
        <v>2</v>
      </c>
      <c r="Q113" s="247">
        <v>1</v>
      </c>
      <c r="R113" s="283">
        <f>Elec_Est!R395</f>
        <v>2204.19</v>
      </c>
      <c r="S113" s="385">
        <f t="shared" si="15"/>
        <v>54.92</v>
      </c>
      <c r="T113" s="283">
        <f>Elec_Est!T395</f>
        <v>2</v>
      </c>
    </row>
    <row r="114" spans="1:20" hidden="1">
      <c r="A114" s="166"/>
      <c r="B114" s="476">
        <v>6</v>
      </c>
      <c r="C114" s="6" t="s">
        <v>73</v>
      </c>
      <c r="D114" s="36" t="s">
        <v>79</v>
      </c>
      <c r="E114" s="166"/>
      <c r="F114" s="358">
        <v>520</v>
      </c>
      <c r="G114" s="63"/>
      <c r="P114" s="348">
        <v>1</v>
      </c>
      <c r="Q114" s="247">
        <v>1</v>
      </c>
      <c r="R114" s="283">
        <f>Elec_Est!R396</f>
        <v>0</v>
      </c>
      <c r="S114" s="385">
        <f t="shared" si="15"/>
        <v>0</v>
      </c>
      <c r="T114" s="283">
        <f>Elec_Est!T396</f>
        <v>0</v>
      </c>
    </row>
    <row r="115" spans="1:20" hidden="1">
      <c r="A115" s="166"/>
      <c r="B115" s="476">
        <v>7</v>
      </c>
      <c r="C115" s="6" t="s">
        <v>73</v>
      </c>
      <c r="D115" s="36" t="s">
        <v>80</v>
      </c>
      <c r="E115" s="166"/>
      <c r="F115" s="358">
        <v>530</v>
      </c>
      <c r="G115" s="63"/>
      <c r="P115" s="348">
        <v>2</v>
      </c>
      <c r="Q115" s="247">
        <v>1</v>
      </c>
      <c r="R115" s="283">
        <f>Elec_Est!R397</f>
        <v>0</v>
      </c>
      <c r="S115" s="385">
        <f t="shared" si="15"/>
        <v>0</v>
      </c>
      <c r="T115" s="283">
        <f>Elec_Est!T397</f>
        <v>0</v>
      </c>
    </row>
    <row r="116" spans="1:20" hidden="1">
      <c r="A116" s="166"/>
      <c r="B116" s="476">
        <v>8</v>
      </c>
      <c r="C116" s="6" t="s">
        <v>73</v>
      </c>
      <c r="D116" s="36" t="s">
        <v>81</v>
      </c>
      <c r="E116" s="166"/>
      <c r="F116" s="358">
        <v>550</v>
      </c>
      <c r="G116" s="63"/>
      <c r="P116" s="348">
        <v>2</v>
      </c>
      <c r="Q116" s="247">
        <v>1</v>
      </c>
      <c r="R116" s="283">
        <f>Elec_Est!R398</f>
        <v>0</v>
      </c>
      <c r="S116" s="385">
        <f t="shared" si="15"/>
        <v>0</v>
      </c>
      <c r="T116" s="283">
        <f>Elec_Est!T398</f>
        <v>0</v>
      </c>
    </row>
    <row r="117" spans="1:20">
      <c r="A117" s="166"/>
      <c r="B117" s="476">
        <v>9</v>
      </c>
      <c r="C117" s="6" t="s">
        <v>73</v>
      </c>
      <c r="D117" s="36" t="s">
        <v>82</v>
      </c>
      <c r="E117" s="166"/>
      <c r="F117" s="358">
        <v>570</v>
      </c>
      <c r="G117" s="63"/>
      <c r="P117" s="348">
        <v>2</v>
      </c>
      <c r="Q117" s="247">
        <v>1</v>
      </c>
      <c r="R117" s="283">
        <f>Elec_Est!R399</f>
        <v>0</v>
      </c>
      <c r="S117" s="385">
        <f t="shared" si="15"/>
        <v>0</v>
      </c>
      <c r="T117" s="283">
        <f>Elec_Est!T399</f>
        <v>0</v>
      </c>
    </row>
    <row r="118" spans="1:20">
      <c r="A118" s="166"/>
      <c r="B118" s="476">
        <v>10</v>
      </c>
      <c r="C118" s="6" t="s">
        <v>73</v>
      </c>
      <c r="D118" s="36" t="s">
        <v>83</v>
      </c>
      <c r="E118" s="166"/>
      <c r="F118" s="358">
        <v>615</v>
      </c>
      <c r="G118" s="63"/>
      <c r="P118" s="348">
        <v>2</v>
      </c>
      <c r="Q118" s="247">
        <v>1</v>
      </c>
      <c r="R118" s="283">
        <f>Elec_Est!R400</f>
        <v>850.2</v>
      </c>
      <c r="S118" s="385">
        <f t="shared" si="15"/>
        <v>1021.5120000000001</v>
      </c>
      <c r="T118" s="283">
        <f>Elec_Est!T400</f>
        <v>37.200000000000003</v>
      </c>
    </row>
    <row r="119" spans="1:20">
      <c r="A119" s="166"/>
      <c r="B119" s="476" t="s">
        <v>84</v>
      </c>
      <c r="C119" s="6" t="s">
        <v>73</v>
      </c>
      <c r="D119" s="36" t="s">
        <v>85</v>
      </c>
      <c r="E119" s="166"/>
      <c r="F119" s="358">
        <v>616</v>
      </c>
      <c r="G119" s="63"/>
      <c r="P119" s="348">
        <v>2</v>
      </c>
      <c r="Q119" s="247">
        <v>1</v>
      </c>
      <c r="R119" s="283">
        <f>Elec_Est!R401</f>
        <v>1210</v>
      </c>
      <c r="S119" s="385">
        <f t="shared" si="15"/>
        <v>241.64800000000008</v>
      </c>
      <c r="T119" s="283">
        <f>Elec_Est!T401</f>
        <v>8.8000000000000025</v>
      </c>
    </row>
    <row r="120" spans="1:20">
      <c r="A120" s="166"/>
      <c r="B120" s="476">
        <v>12</v>
      </c>
      <c r="C120" s="6" t="s">
        <v>73</v>
      </c>
      <c r="D120" s="36" t="s">
        <v>86</v>
      </c>
      <c r="E120" s="166"/>
      <c r="F120" s="358">
        <v>617</v>
      </c>
      <c r="G120" s="63"/>
      <c r="P120" s="348">
        <v>2</v>
      </c>
      <c r="Q120" s="247">
        <v>1</v>
      </c>
      <c r="R120" s="283">
        <f>Elec_Est!R402</f>
        <v>60</v>
      </c>
      <c r="S120" s="385">
        <f t="shared" si="15"/>
        <v>830.66500000000008</v>
      </c>
      <c r="T120" s="283">
        <f>Elec_Est!T402</f>
        <v>30.25</v>
      </c>
    </row>
    <row r="121" spans="1:20">
      <c r="A121" s="166"/>
      <c r="B121" s="476">
        <v>13</v>
      </c>
      <c r="C121" s="6" t="s">
        <v>73</v>
      </c>
      <c r="D121" s="36" t="s">
        <v>87</v>
      </c>
      <c r="E121" s="166"/>
      <c r="F121" s="358">
        <v>620</v>
      </c>
      <c r="G121" s="63"/>
      <c r="P121" s="348">
        <v>2</v>
      </c>
      <c r="Q121" s="247">
        <v>1</v>
      </c>
      <c r="R121" s="283">
        <f>Elec_Est!R403</f>
        <v>51.09</v>
      </c>
      <c r="S121" s="385">
        <f t="shared" si="15"/>
        <v>96.110000000000014</v>
      </c>
      <c r="T121" s="283">
        <f>Elec_Est!T403</f>
        <v>3.5000000000000004</v>
      </c>
    </row>
    <row r="122" spans="1:20" hidden="1">
      <c r="A122" s="166"/>
      <c r="B122" s="476">
        <v>14</v>
      </c>
      <c r="C122" s="6" t="s">
        <v>73</v>
      </c>
      <c r="D122" s="36" t="s">
        <v>88</v>
      </c>
      <c r="E122" s="166"/>
      <c r="F122" s="358">
        <v>650</v>
      </c>
      <c r="G122" s="63"/>
      <c r="P122" s="348">
        <v>1</v>
      </c>
      <c r="Q122" s="247">
        <v>1</v>
      </c>
      <c r="R122" s="283">
        <f>Elec_Est!R404</f>
        <v>0</v>
      </c>
      <c r="S122" s="385">
        <f t="shared" si="15"/>
        <v>0</v>
      </c>
      <c r="T122" s="283">
        <f>Elec_Est!T404</f>
        <v>0</v>
      </c>
    </row>
    <row r="123" spans="1:20" hidden="1">
      <c r="A123" s="166"/>
      <c r="B123" s="476">
        <v>15</v>
      </c>
      <c r="C123" s="6" t="s">
        <v>73</v>
      </c>
      <c r="D123" s="36" t="s">
        <v>89</v>
      </c>
      <c r="E123" s="166"/>
      <c r="F123" s="358">
        <v>651</v>
      </c>
      <c r="G123" s="63"/>
      <c r="P123" s="348">
        <v>1</v>
      </c>
      <c r="Q123" s="247">
        <v>1</v>
      </c>
      <c r="R123" s="283">
        <f>Elec_Est!R405</f>
        <v>0</v>
      </c>
      <c r="S123" s="385">
        <f t="shared" si="15"/>
        <v>0</v>
      </c>
      <c r="T123" s="283">
        <f>Elec_Est!T405</f>
        <v>0</v>
      </c>
    </row>
    <row r="124" spans="1:20" hidden="1">
      <c r="A124" s="166"/>
      <c r="B124" s="476">
        <v>16</v>
      </c>
      <c r="C124" s="6" t="s">
        <v>73</v>
      </c>
      <c r="D124" s="36" t="s">
        <v>90</v>
      </c>
      <c r="E124" s="166"/>
      <c r="F124" s="358">
        <v>652</v>
      </c>
      <c r="G124" s="63"/>
      <c r="P124" s="348">
        <v>1</v>
      </c>
      <c r="Q124" s="247">
        <v>1</v>
      </c>
      <c r="R124" s="283">
        <f>Elec_Est!R406</f>
        <v>0</v>
      </c>
      <c r="S124" s="385">
        <f t="shared" si="15"/>
        <v>0</v>
      </c>
      <c r="T124" s="283">
        <f>Elec_Est!T406</f>
        <v>0</v>
      </c>
    </row>
    <row r="125" spans="1:20" hidden="1">
      <c r="A125" s="166"/>
      <c r="B125" s="476">
        <v>17</v>
      </c>
      <c r="C125" s="6" t="s">
        <v>73</v>
      </c>
      <c r="D125" s="36" t="s">
        <v>91</v>
      </c>
      <c r="E125" s="166"/>
      <c r="F125" s="358">
        <v>654</v>
      </c>
      <c r="G125" s="63"/>
      <c r="P125" s="348">
        <v>1</v>
      </c>
      <c r="Q125" s="247">
        <v>1</v>
      </c>
      <c r="R125" s="283">
        <f>Elec_Est!R407</f>
        <v>0</v>
      </c>
      <c r="S125" s="385">
        <f t="shared" si="15"/>
        <v>0</v>
      </c>
      <c r="T125" s="283">
        <f>Elec_Est!T407</f>
        <v>0</v>
      </c>
    </row>
    <row r="126" spans="1:20">
      <c r="A126" s="166"/>
      <c r="B126" s="476">
        <v>18</v>
      </c>
      <c r="C126" s="6" t="s">
        <v>73</v>
      </c>
      <c r="D126" s="36" t="s">
        <v>92</v>
      </c>
      <c r="E126" s="166"/>
      <c r="F126" s="358">
        <v>675</v>
      </c>
      <c r="G126" s="63"/>
      <c r="P126" s="348">
        <v>1</v>
      </c>
      <c r="Q126" s="247">
        <v>1</v>
      </c>
      <c r="R126" s="283">
        <f>Elec_Est!R408</f>
        <v>117.96000000000001</v>
      </c>
      <c r="S126" s="385">
        <f t="shared" si="15"/>
        <v>67.551600000000008</v>
      </c>
      <c r="T126" s="283">
        <f>Elec_Est!T408</f>
        <v>2.46</v>
      </c>
    </row>
    <row r="127" spans="1:20" hidden="1">
      <c r="A127" s="166"/>
      <c r="B127" s="476">
        <v>19</v>
      </c>
      <c r="C127" s="6" t="s">
        <v>73</v>
      </c>
      <c r="D127" s="36" t="s">
        <v>93</v>
      </c>
      <c r="E127" s="166"/>
      <c r="F127" s="358">
        <v>676</v>
      </c>
      <c r="G127" s="63"/>
      <c r="P127" s="348">
        <v>1</v>
      </c>
      <c r="Q127" s="247">
        <v>1</v>
      </c>
      <c r="R127" s="283">
        <f>Elec_Est!R409</f>
        <v>0</v>
      </c>
      <c r="S127" s="385">
        <f t="shared" si="15"/>
        <v>0</v>
      </c>
      <c r="T127" s="283">
        <f>Elec_Est!T409</f>
        <v>0</v>
      </c>
    </row>
    <row r="128" spans="1:20" hidden="1">
      <c r="A128" s="166"/>
      <c r="B128" s="476">
        <v>20</v>
      </c>
      <c r="C128" s="6" t="s">
        <v>73</v>
      </c>
      <c r="D128" s="36" t="s">
        <v>94</v>
      </c>
      <c r="E128" s="166"/>
      <c r="F128" s="358">
        <v>680</v>
      </c>
      <c r="G128" s="63"/>
      <c r="P128" s="348">
        <v>1</v>
      </c>
      <c r="Q128" s="247">
        <v>1</v>
      </c>
      <c r="R128" s="283">
        <f>Elec_Est!R410</f>
        <v>0</v>
      </c>
      <c r="S128" s="385">
        <f t="shared" si="15"/>
        <v>0</v>
      </c>
      <c r="T128" s="283">
        <f>Elec_Est!T410</f>
        <v>0</v>
      </c>
    </row>
    <row r="129" spans="1:20" hidden="1">
      <c r="A129" s="166"/>
      <c r="B129" s="476" t="s">
        <v>95</v>
      </c>
      <c r="C129" s="6" t="s">
        <v>73</v>
      </c>
      <c r="D129" s="36" t="s">
        <v>96</v>
      </c>
      <c r="E129" s="166"/>
      <c r="F129" s="358">
        <v>681</v>
      </c>
      <c r="G129" s="63"/>
      <c r="P129" s="348">
        <v>1</v>
      </c>
      <c r="Q129" s="247">
        <v>1</v>
      </c>
      <c r="R129" s="283">
        <f>Elec_Est!R411</f>
        <v>0</v>
      </c>
      <c r="S129" s="385">
        <f t="shared" si="15"/>
        <v>0</v>
      </c>
      <c r="T129" s="283">
        <f>Elec_Est!T411</f>
        <v>0</v>
      </c>
    </row>
    <row r="130" spans="1:20" hidden="1">
      <c r="A130" s="166"/>
      <c r="B130" s="476">
        <v>22</v>
      </c>
      <c r="C130" s="6" t="s">
        <v>73</v>
      </c>
      <c r="D130" s="36" t="s">
        <v>97</v>
      </c>
      <c r="E130" s="166"/>
      <c r="F130" s="358">
        <v>690</v>
      </c>
      <c r="G130" s="63"/>
      <c r="P130" s="348">
        <v>1</v>
      </c>
      <c r="Q130" s="247">
        <v>1</v>
      </c>
      <c r="R130" s="283">
        <f>Elec_Est!R412</f>
        <v>0</v>
      </c>
      <c r="S130" s="385">
        <f t="shared" si="15"/>
        <v>0</v>
      </c>
      <c r="T130" s="283">
        <f>Elec_Est!T412</f>
        <v>0</v>
      </c>
    </row>
    <row r="131" spans="1:20">
      <c r="A131" s="166"/>
      <c r="B131" s="476">
        <v>23</v>
      </c>
      <c r="C131" s="6" t="s">
        <v>73</v>
      </c>
      <c r="D131" s="36" t="s">
        <v>98</v>
      </c>
      <c r="E131" s="166"/>
      <c r="F131" s="358">
        <v>700</v>
      </c>
      <c r="G131" s="63"/>
      <c r="P131" s="348">
        <v>1</v>
      </c>
      <c r="Q131" s="247">
        <v>1</v>
      </c>
      <c r="R131" s="283">
        <f>Elec_Est!R413</f>
        <v>1059.44</v>
      </c>
      <c r="S131" s="385">
        <f t="shared" si="15"/>
        <v>3211.7215999999999</v>
      </c>
      <c r="T131" s="283">
        <f>Elec_Est!T413</f>
        <v>116.96</v>
      </c>
    </row>
    <row r="132" spans="1:20">
      <c r="A132" s="166"/>
      <c r="B132" s="476">
        <v>24</v>
      </c>
      <c r="C132" s="6" t="s">
        <v>73</v>
      </c>
      <c r="D132" s="36" t="s">
        <v>99</v>
      </c>
      <c r="E132" s="166"/>
      <c r="F132" s="358">
        <v>705</v>
      </c>
      <c r="G132" s="63"/>
      <c r="P132" s="348">
        <v>3</v>
      </c>
      <c r="Q132" s="247">
        <v>1</v>
      </c>
      <c r="R132" s="283">
        <f>Elec_Est!R414</f>
        <v>3800.5</v>
      </c>
      <c r="S132" s="385">
        <f t="shared" si="15"/>
        <v>1161.5580000000002</v>
      </c>
      <c r="T132" s="283">
        <f>Elec_Est!T414</f>
        <v>42.300000000000004</v>
      </c>
    </row>
    <row r="133" spans="1:20" hidden="1">
      <c r="A133" s="166"/>
      <c r="B133" s="476">
        <v>25</v>
      </c>
      <c r="C133" s="6" t="s">
        <v>73</v>
      </c>
      <c r="D133" s="36" t="s">
        <v>100</v>
      </c>
      <c r="E133" s="166"/>
      <c r="F133" s="358">
        <v>706</v>
      </c>
      <c r="G133" s="63"/>
      <c r="P133" s="348">
        <v>3</v>
      </c>
      <c r="Q133" s="247">
        <v>1</v>
      </c>
      <c r="R133" s="283">
        <f>Elec_Est!R415</f>
        <v>0</v>
      </c>
      <c r="S133" s="385">
        <f t="shared" si="15"/>
        <v>0</v>
      </c>
      <c r="T133" s="283">
        <f>Elec_Est!T415</f>
        <v>0</v>
      </c>
    </row>
    <row r="134" spans="1:20">
      <c r="A134" s="166"/>
      <c r="B134" s="476">
        <v>26</v>
      </c>
      <c r="C134" s="6" t="s">
        <v>73</v>
      </c>
      <c r="D134" s="36" t="s">
        <v>101</v>
      </c>
      <c r="E134" s="166"/>
      <c r="F134" s="358">
        <v>725</v>
      </c>
      <c r="G134" s="63"/>
      <c r="P134" s="348">
        <v>3</v>
      </c>
      <c r="Q134" s="247">
        <v>1</v>
      </c>
      <c r="R134" s="283">
        <f>Elec_Est!R416</f>
        <v>975</v>
      </c>
      <c r="S134" s="385">
        <f t="shared" si="15"/>
        <v>980</v>
      </c>
      <c r="T134" s="283">
        <f>Elec_Est!T416</f>
        <v>35.688273852876911</v>
      </c>
    </row>
    <row r="135" spans="1:20" hidden="1">
      <c r="A135" s="166"/>
      <c r="B135" s="476">
        <v>27</v>
      </c>
      <c r="C135" s="6" t="s">
        <v>73</v>
      </c>
      <c r="D135" s="36" t="s">
        <v>102</v>
      </c>
      <c r="E135" s="166"/>
      <c r="F135" s="358">
        <v>726</v>
      </c>
      <c r="G135" s="63"/>
      <c r="P135" s="348">
        <v>3</v>
      </c>
      <c r="Q135" s="247">
        <v>1</v>
      </c>
      <c r="R135" s="283">
        <f>Elec_Est!R417</f>
        <v>0</v>
      </c>
      <c r="S135" s="385">
        <f t="shared" si="15"/>
        <v>0</v>
      </c>
      <c r="T135" s="283">
        <f>Elec_Est!T417</f>
        <v>0</v>
      </c>
    </row>
    <row r="136" spans="1:20" hidden="1">
      <c r="A136" s="166"/>
      <c r="B136" s="476">
        <v>28</v>
      </c>
      <c r="C136" s="6" t="s">
        <v>73</v>
      </c>
      <c r="D136" s="36" t="s">
        <v>103</v>
      </c>
      <c r="E136" s="166"/>
      <c r="F136" s="358">
        <v>750</v>
      </c>
      <c r="G136" s="63"/>
      <c r="P136" s="348">
        <v>3</v>
      </c>
      <c r="Q136" s="247">
        <v>1</v>
      </c>
      <c r="R136" s="283">
        <f>Elec_Est!R418</f>
        <v>0</v>
      </c>
      <c r="S136" s="385">
        <f t="shared" si="15"/>
        <v>0</v>
      </c>
      <c r="T136" s="283">
        <f>Elec_Est!T418</f>
        <v>0</v>
      </c>
    </row>
    <row r="137" spans="1:20">
      <c r="A137" s="166"/>
      <c r="B137" s="476">
        <v>29</v>
      </c>
      <c r="C137" s="6" t="s">
        <v>73</v>
      </c>
      <c r="D137" s="36" t="s">
        <v>104</v>
      </c>
      <c r="E137" s="166"/>
      <c r="F137" s="358">
        <v>751</v>
      </c>
      <c r="G137" s="63"/>
      <c r="P137" s="348">
        <v>3</v>
      </c>
      <c r="Q137" s="247">
        <v>1</v>
      </c>
      <c r="R137" s="283">
        <f>Elec_Est!R419</f>
        <v>0</v>
      </c>
      <c r="S137" s="385">
        <f t="shared" si="15"/>
        <v>34.325000000000003</v>
      </c>
      <c r="T137" s="283">
        <f>Elec_Est!T419</f>
        <v>1.25</v>
      </c>
    </row>
    <row r="138" spans="1:20" hidden="1">
      <c r="A138" s="166"/>
      <c r="B138" s="476">
        <v>30</v>
      </c>
      <c r="C138" s="6" t="s">
        <v>73</v>
      </c>
      <c r="D138" s="36" t="s">
        <v>105</v>
      </c>
      <c r="E138" s="166"/>
      <c r="F138" s="358">
        <v>752</v>
      </c>
      <c r="G138" s="63"/>
      <c r="P138" s="348">
        <v>3</v>
      </c>
      <c r="Q138" s="247">
        <v>1</v>
      </c>
      <c r="R138" s="283">
        <f>Elec_Est!R420</f>
        <v>0</v>
      </c>
      <c r="S138" s="385">
        <f t="shared" si="15"/>
        <v>0</v>
      </c>
      <c r="T138" s="283">
        <f>Elec_Est!T420</f>
        <v>0</v>
      </c>
    </row>
    <row r="139" spans="1:20" hidden="1">
      <c r="A139" s="166"/>
      <c r="B139" s="476" t="s">
        <v>106</v>
      </c>
      <c r="C139" s="6" t="s">
        <v>73</v>
      </c>
      <c r="D139" s="590" t="s">
        <v>263</v>
      </c>
      <c r="E139" s="166"/>
      <c r="F139" s="358">
        <v>753</v>
      </c>
      <c r="G139" s="63"/>
      <c r="P139" s="348">
        <v>3</v>
      </c>
      <c r="Q139" s="247">
        <v>1</v>
      </c>
      <c r="R139" s="283">
        <f>Elec_Est!R421</f>
        <v>0</v>
      </c>
      <c r="S139" s="385">
        <f t="shared" si="15"/>
        <v>0</v>
      </c>
      <c r="T139" s="283">
        <f>Elec_Est!T421</f>
        <v>0</v>
      </c>
    </row>
    <row r="140" spans="1:20" hidden="1">
      <c r="A140" s="166"/>
      <c r="B140" s="476">
        <v>32</v>
      </c>
      <c r="C140" s="6" t="s">
        <v>73</v>
      </c>
      <c r="D140" s="36" t="s">
        <v>107</v>
      </c>
      <c r="E140" s="166"/>
      <c r="F140" s="358">
        <v>770</v>
      </c>
      <c r="G140" s="63"/>
      <c r="P140" s="348">
        <v>3</v>
      </c>
      <c r="Q140" s="247">
        <v>1</v>
      </c>
      <c r="R140" s="283">
        <f>Elec_Est!R422</f>
        <v>0</v>
      </c>
      <c r="S140" s="385">
        <f t="shared" si="15"/>
        <v>0</v>
      </c>
      <c r="T140" s="283">
        <f>Elec_Est!T422</f>
        <v>0</v>
      </c>
    </row>
    <row r="141" spans="1:20" hidden="1">
      <c r="A141" s="166"/>
      <c r="B141" s="476">
        <v>33</v>
      </c>
      <c r="C141" s="6" t="s">
        <v>73</v>
      </c>
      <c r="D141" s="36" t="s">
        <v>108</v>
      </c>
      <c r="E141" s="166"/>
      <c r="F141" s="358">
        <v>790</v>
      </c>
      <c r="G141" s="63"/>
      <c r="P141" s="348">
        <v>3</v>
      </c>
      <c r="Q141" s="247">
        <v>1</v>
      </c>
      <c r="R141" s="283">
        <f>Elec_Est!R423</f>
        <v>0</v>
      </c>
      <c r="S141" s="385">
        <f t="shared" si="15"/>
        <v>0</v>
      </c>
      <c r="T141" s="283">
        <f>Elec_Est!T423</f>
        <v>0</v>
      </c>
    </row>
    <row r="142" spans="1:20" hidden="1">
      <c r="A142" s="166"/>
      <c r="B142" s="476">
        <v>34</v>
      </c>
      <c r="C142" s="6" t="s">
        <v>73</v>
      </c>
      <c r="D142" s="36" t="s">
        <v>109</v>
      </c>
      <c r="E142" s="166"/>
      <c r="F142" s="358">
        <v>791</v>
      </c>
      <c r="G142" s="63"/>
      <c r="P142" s="348">
        <v>3</v>
      </c>
      <c r="Q142" s="247">
        <v>1</v>
      </c>
      <c r="R142" s="283">
        <f>Elec_Est!R424</f>
        <v>0</v>
      </c>
      <c r="S142" s="385">
        <f t="shared" si="15"/>
        <v>0</v>
      </c>
      <c r="T142" s="283">
        <f>Elec_Est!T424</f>
        <v>0</v>
      </c>
    </row>
    <row r="143" spans="1:20" hidden="1">
      <c r="A143" s="166"/>
      <c r="B143" s="476">
        <v>35</v>
      </c>
      <c r="C143" s="6" t="s">
        <v>73</v>
      </c>
      <c r="D143" s="36" t="s">
        <v>110</v>
      </c>
      <c r="E143" s="166"/>
      <c r="F143" s="358">
        <v>810</v>
      </c>
      <c r="G143" s="63"/>
      <c r="P143" s="348">
        <v>3</v>
      </c>
      <c r="Q143" s="247">
        <v>1</v>
      </c>
      <c r="R143" s="283">
        <f>Elec_Est!R425</f>
        <v>0</v>
      </c>
      <c r="S143" s="385">
        <f t="shared" si="15"/>
        <v>0</v>
      </c>
      <c r="T143" s="283">
        <f>Elec_Est!T425</f>
        <v>0</v>
      </c>
    </row>
    <row r="144" spans="1:20" hidden="1">
      <c r="A144" s="166"/>
      <c r="B144" s="476">
        <v>36</v>
      </c>
      <c r="C144" s="6" t="s">
        <v>73</v>
      </c>
      <c r="D144" s="36" t="s">
        <v>111</v>
      </c>
      <c r="E144" s="166"/>
      <c r="F144" s="358">
        <v>815</v>
      </c>
      <c r="G144" s="63"/>
      <c r="P144" s="348">
        <v>3</v>
      </c>
      <c r="Q144" s="247">
        <v>1</v>
      </c>
      <c r="R144" s="283">
        <f>Elec_Est!R426</f>
        <v>0</v>
      </c>
      <c r="S144" s="385">
        <f t="shared" si="15"/>
        <v>0</v>
      </c>
      <c r="T144" s="283">
        <f>Elec_Est!T426</f>
        <v>0</v>
      </c>
    </row>
    <row r="145" spans="1:20" hidden="1">
      <c r="A145" s="166"/>
      <c r="B145" s="476">
        <v>37</v>
      </c>
      <c r="C145" s="6" t="s">
        <v>73</v>
      </c>
      <c r="D145" s="36" t="s">
        <v>112</v>
      </c>
      <c r="E145" s="166"/>
      <c r="F145" s="358">
        <v>820</v>
      </c>
      <c r="G145" s="63"/>
      <c r="P145" s="348">
        <v>2</v>
      </c>
      <c r="Q145" s="247">
        <v>1</v>
      </c>
      <c r="R145" s="283">
        <f>Elec_Est!R427</f>
        <v>0</v>
      </c>
      <c r="S145" s="385">
        <f t="shared" si="15"/>
        <v>0</v>
      </c>
      <c r="T145" s="283">
        <f>Elec_Est!T427</f>
        <v>0</v>
      </c>
    </row>
    <row r="146" spans="1:20">
      <c r="A146" s="166"/>
      <c r="B146" s="476">
        <v>38</v>
      </c>
      <c r="C146" s="6" t="s">
        <v>73</v>
      </c>
      <c r="D146" s="36" t="s">
        <v>113</v>
      </c>
      <c r="E146" s="166"/>
      <c r="F146" s="358">
        <v>821</v>
      </c>
      <c r="G146" s="63"/>
      <c r="P146" s="348">
        <v>3</v>
      </c>
      <c r="Q146" s="247">
        <v>1</v>
      </c>
      <c r="R146" s="283">
        <f>Elec_Est!R428</f>
        <v>120</v>
      </c>
      <c r="S146" s="385">
        <f t="shared" si="15"/>
        <v>9.8856000000000002</v>
      </c>
      <c r="T146" s="283">
        <f>Elec_Est!T428</f>
        <v>0.36</v>
      </c>
    </row>
    <row r="147" spans="1:20">
      <c r="A147" s="166"/>
      <c r="B147" s="476">
        <v>39</v>
      </c>
      <c r="C147" s="6" t="s">
        <v>73</v>
      </c>
      <c r="D147" s="36" t="s">
        <v>114</v>
      </c>
      <c r="E147" s="166"/>
      <c r="F147" s="358">
        <v>835</v>
      </c>
      <c r="G147" s="63"/>
      <c r="P147" s="348">
        <v>3</v>
      </c>
      <c r="Q147" s="247">
        <v>1</v>
      </c>
      <c r="R147" s="283">
        <f>Elec_Est!R429</f>
        <v>432</v>
      </c>
      <c r="S147" s="385">
        <f t="shared" si="15"/>
        <v>1531.4442000000001</v>
      </c>
      <c r="T147" s="283">
        <f>Elec_Est!T429</f>
        <v>55.77</v>
      </c>
    </row>
    <row r="148" spans="1:20" hidden="1">
      <c r="A148" s="166"/>
      <c r="B148" s="476">
        <v>40</v>
      </c>
      <c r="C148" s="6" t="s">
        <v>73</v>
      </c>
      <c r="D148" s="36" t="s">
        <v>115</v>
      </c>
      <c r="E148" s="166"/>
      <c r="F148" s="358">
        <v>845</v>
      </c>
      <c r="G148" s="63"/>
      <c r="P148" s="348">
        <v>2</v>
      </c>
      <c r="Q148" s="247">
        <v>1</v>
      </c>
      <c r="R148" s="283">
        <f>Elec_Est!R430</f>
        <v>0</v>
      </c>
      <c r="S148" s="385">
        <f t="shared" si="15"/>
        <v>0</v>
      </c>
      <c r="T148" s="283">
        <f>Elec_Est!T430</f>
        <v>0</v>
      </c>
    </row>
    <row r="149" spans="1:20" hidden="1">
      <c r="A149" s="166"/>
      <c r="B149" s="476" t="s">
        <v>116</v>
      </c>
      <c r="C149" s="6" t="s">
        <v>73</v>
      </c>
      <c r="D149" s="36" t="s">
        <v>117</v>
      </c>
      <c r="E149" s="166"/>
      <c r="F149" s="358">
        <v>855</v>
      </c>
      <c r="G149" s="63"/>
      <c r="P149" s="348">
        <v>3</v>
      </c>
      <c r="Q149" s="247">
        <v>1</v>
      </c>
      <c r="R149" s="283">
        <f>Elec_Est!R431</f>
        <v>0</v>
      </c>
      <c r="S149" s="385">
        <f t="shared" si="15"/>
        <v>0</v>
      </c>
      <c r="T149" s="283">
        <f>Elec_Est!T431</f>
        <v>0</v>
      </c>
    </row>
    <row r="150" spans="1:20" hidden="1">
      <c r="A150" s="166"/>
      <c r="B150" s="476">
        <v>42</v>
      </c>
      <c r="C150" s="6" t="s">
        <v>73</v>
      </c>
      <c r="D150" s="36" t="s">
        <v>118</v>
      </c>
      <c r="E150" s="166"/>
      <c r="F150" s="358">
        <v>856</v>
      </c>
      <c r="G150" s="63"/>
      <c r="P150" s="348">
        <v>3</v>
      </c>
      <c r="Q150" s="247">
        <v>1</v>
      </c>
      <c r="R150" s="283">
        <f>Elec_Est!R432</f>
        <v>0</v>
      </c>
      <c r="S150" s="385">
        <f t="shared" si="15"/>
        <v>0</v>
      </c>
      <c r="T150" s="283">
        <f>Elec_Est!T432</f>
        <v>0</v>
      </c>
    </row>
    <row r="151" spans="1:20" hidden="1">
      <c r="A151" s="166"/>
      <c r="B151" s="476">
        <v>43</v>
      </c>
      <c r="C151" s="6" t="s">
        <v>73</v>
      </c>
      <c r="D151" s="36" t="s">
        <v>244</v>
      </c>
      <c r="E151" s="166"/>
      <c r="F151" s="358">
        <v>857</v>
      </c>
      <c r="G151" s="63"/>
      <c r="P151" s="348">
        <v>4</v>
      </c>
      <c r="Q151" s="247">
        <v>1</v>
      </c>
      <c r="R151" s="283">
        <f>Elec_Est!R433</f>
        <v>0</v>
      </c>
      <c r="S151" s="385">
        <f t="shared" si="15"/>
        <v>0</v>
      </c>
      <c r="T151" s="283">
        <f>Elec_Est!T433</f>
        <v>0</v>
      </c>
    </row>
    <row r="152" spans="1:20" hidden="1">
      <c r="A152" s="166"/>
      <c r="B152" s="476">
        <v>44</v>
      </c>
      <c r="C152" s="6" t="s">
        <v>73</v>
      </c>
      <c r="D152" s="36" t="s">
        <v>119</v>
      </c>
      <c r="E152" s="166"/>
      <c r="F152" s="358">
        <v>858</v>
      </c>
      <c r="G152" s="63"/>
      <c r="P152" s="348">
        <v>3</v>
      </c>
      <c r="Q152" s="247">
        <v>1</v>
      </c>
      <c r="R152" s="283">
        <f>Elec_Est!R434</f>
        <v>0</v>
      </c>
      <c r="S152" s="385">
        <f t="shared" si="15"/>
        <v>0</v>
      </c>
      <c r="T152" s="283">
        <f>Elec_Est!T434</f>
        <v>0</v>
      </c>
    </row>
    <row r="153" spans="1:20">
      <c r="A153" s="166"/>
      <c r="B153" s="476">
        <v>45</v>
      </c>
      <c r="C153" s="6" t="s">
        <v>73</v>
      </c>
      <c r="D153" s="36" t="s">
        <v>120</v>
      </c>
      <c r="E153" s="166"/>
      <c r="F153" s="358">
        <v>865</v>
      </c>
      <c r="G153" s="63"/>
      <c r="P153" s="348">
        <v>3</v>
      </c>
      <c r="Q153" s="247">
        <v>1</v>
      </c>
      <c r="R153" s="283">
        <f>Elec_Est!R435</f>
        <v>0</v>
      </c>
      <c r="S153" s="385">
        <f t="shared" si="15"/>
        <v>137.30000000000001</v>
      </c>
      <c r="T153" s="283">
        <f>Elec_Est!T435</f>
        <v>5</v>
      </c>
    </row>
    <row r="154" spans="1:20" hidden="1">
      <c r="A154" s="166"/>
      <c r="B154" s="476">
        <v>46</v>
      </c>
      <c r="C154" s="6" t="s">
        <v>73</v>
      </c>
      <c r="D154" s="36" t="s">
        <v>121</v>
      </c>
      <c r="E154" s="166"/>
      <c r="F154" s="358">
        <v>870</v>
      </c>
      <c r="G154" s="63"/>
      <c r="P154" s="348">
        <v>4</v>
      </c>
      <c r="Q154" s="247">
        <v>1</v>
      </c>
      <c r="R154" s="283">
        <f>Elec_Est!R436</f>
        <v>0</v>
      </c>
      <c r="S154" s="385">
        <f t="shared" si="15"/>
        <v>0</v>
      </c>
      <c r="T154" s="283">
        <f>Elec_Est!T436</f>
        <v>0</v>
      </c>
    </row>
    <row r="155" spans="1:20">
      <c r="A155" s="166"/>
      <c r="B155" s="476">
        <v>47</v>
      </c>
      <c r="C155" s="6" t="s">
        <v>73</v>
      </c>
      <c r="D155" s="36" t="s">
        <v>122</v>
      </c>
      <c r="E155" s="166"/>
      <c r="F155" s="358">
        <v>875</v>
      </c>
      <c r="G155" s="63"/>
      <c r="P155" s="348">
        <v>1</v>
      </c>
      <c r="Q155" s="247">
        <v>1</v>
      </c>
      <c r="R155" s="283">
        <f>Elec_Est!R437</f>
        <v>189.89000000000004</v>
      </c>
      <c r="S155" s="385">
        <f t="shared" si="15"/>
        <v>138.673</v>
      </c>
      <c r="T155" s="283">
        <f>Elec_Est!T437</f>
        <v>5.05</v>
      </c>
    </row>
    <row r="156" spans="1:20" hidden="1">
      <c r="A156" s="166"/>
      <c r="B156" s="476">
        <v>48</v>
      </c>
      <c r="C156" s="6" t="s">
        <v>73</v>
      </c>
      <c r="D156" s="36" t="s">
        <v>123</v>
      </c>
      <c r="E156" s="166"/>
      <c r="F156" s="358">
        <v>880</v>
      </c>
      <c r="G156" s="63"/>
      <c r="P156" s="348">
        <v>3</v>
      </c>
      <c r="Q156" s="247">
        <v>1</v>
      </c>
      <c r="R156" s="283">
        <f>Elec_Est!R438</f>
        <v>0</v>
      </c>
      <c r="S156" s="385">
        <f t="shared" si="15"/>
        <v>0</v>
      </c>
      <c r="T156" s="283">
        <f>Elec_Est!T438</f>
        <v>0</v>
      </c>
    </row>
    <row r="157" spans="1:20" hidden="1">
      <c r="A157" s="166"/>
      <c r="B157" s="476">
        <v>49</v>
      </c>
      <c r="C157" s="6" t="s">
        <v>73</v>
      </c>
      <c r="D157" s="36" t="s">
        <v>124</v>
      </c>
      <c r="E157" s="166"/>
      <c r="F157" s="358">
        <v>885</v>
      </c>
      <c r="G157" s="63"/>
      <c r="P157" s="348">
        <v>4</v>
      </c>
      <c r="Q157" s="247">
        <v>1</v>
      </c>
      <c r="R157" s="283">
        <f>Elec_Est!R439</f>
        <v>0</v>
      </c>
      <c r="S157" s="385">
        <f t="shared" si="15"/>
        <v>0</v>
      </c>
      <c r="T157" s="283">
        <f>Elec_Est!T439</f>
        <v>0</v>
      </c>
    </row>
    <row r="158" spans="1:20">
      <c r="A158" s="166"/>
      <c r="B158" s="476">
        <v>50</v>
      </c>
      <c r="C158" s="6" t="s">
        <v>73</v>
      </c>
      <c r="D158" s="36" t="s">
        <v>68</v>
      </c>
      <c r="E158" s="166"/>
      <c r="F158" s="358">
        <v>900</v>
      </c>
      <c r="G158" s="63"/>
      <c r="P158" s="348">
        <v>3</v>
      </c>
      <c r="Q158" s="247">
        <v>1</v>
      </c>
      <c r="R158" s="283">
        <f>Elec_Est!R440</f>
        <v>0</v>
      </c>
      <c r="S158" s="385">
        <f t="shared" si="15"/>
        <v>403.66199999999998</v>
      </c>
      <c r="T158" s="283">
        <f>Elec_Est!T440</f>
        <v>14.7</v>
      </c>
    </row>
    <row r="159" spans="1:20" hidden="1">
      <c r="A159" s="166"/>
      <c r="B159" s="476" t="s">
        <v>125</v>
      </c>
      <c r="C159" s="6" t="s">
        <v>73</v>
      </c>
      <c r="D159" s="36" t="s">
        <v>126</v>
      </c>
      <c r="E159" s="166"/>
      <c r="F159" s="358">
        <v>901</v>
      </c>
      <c r="G159" s="63"/>
      <c r="P159" s="348">
        <v>1</v>
      </c>
      <c r="Q159" s="247">
        <v>1</v>
      </c>
      <c r="R159" s="283">
        <f>Elec_Est!R441</f>
        <v>0</v>
      </c>
      <c r="S159" s="385">
        <f t="shared" si="15"/>
        <v>0</v>
      </c>
      <c r="T159" s="283">
        <f>Elec_Est!T441</f>
        <v>0</v>
      </c>
    </row>
    <row r="160" spans="1:20" hidden="1">
      <c r="A160" s="166"/>
      <c r="B160" s="476">
        <v>52</v>
      </c>
      <c r="C160" s="6" t="s">
        <v>73</v>
      </c>
      <c r="D160" s="36" t="s">
        <v>127</v>
      </c>
      <c r="E160" s="166"/>
      <c r="F160" s="358">
        <v>902</v>
      </c>
      <c r="G160" s="63"/>
      <c r="P160" s="348">
        <v>3</v>
      </c>
      <c r="Q160" s="247">
        <v>1</v>
      </c>
      <c r="R160" s="283">
        <f>Elec_Est!R442</f>
        <v>0</v>
      </c>
      <c r="S160" s="385">
        <f t="shared" si="15"/>
        <v>0</v>
      </c>
      <c r="T160" s="283">
        <f>Elec_Est!T442</f>
        <v>0</v>
      </c>
    </row>
    <row r="161" spans="1:28" hidden="1">
      <c r="A161" s="166"/>
      <c r="B161" s="476">
        <v>53</v>
      </c>
      <c r="C161" s="6" t="s">
        <v>73</v>
      </c>
      <c r="D161" s="67" t="s">
        <v>128</v>
      </c>
      <c r="E161" s="166"/>
      <c r="F161" s="358">
        <v>960</v>
      </c>
      <c r="G161" s="63"/>
      <c r="P161" s="348">
        <v>4</v>
      </c>
      <c r="Q161" s="247">
        <v>1</v>
      </c>
      <c r="R161" s="283">
        <f>Elec_Est!R443</f>
        <v>0</v>
      </c>
      <c r="S161" s="385">
        <f t="shared" si="15"/>
        <v>0</v>
      </c>
      <c r="T161" s="283">
        <f>Elec_Est!T443</f>
        <v>0</v>
      </c>
    </row>
    <row r="162" spans="1:28" hidden="1">
      <c r="A162" s="166"/>
      <c r="B162" s="476">
        <v>54</v>
      </c>
      <c r="C162" s="6" t="s">
        <v>73</v>
      </c>
      <c r="D162" s="67" t="s">
        <v>129</v>
      </c>
      <c r="E162" s="166"/>
      <c r="F162" s="358">
        <v>961</v>
      </c>
      <c r="G162" s="63"/>
      <c r="P162" s="348">
        <v>3</v>
      </c>
      <c r="Q162" s="247">
        <v>1</v>
      </c>
      <c r="R162" s="283">
        <f>Elec_Est!R444</f>
        <v>0</v>
      </c>
      <c r="S162" s="385">
        <f t="shared" si="15"/>
        <v>0</v>
      </c>
      <c r="T162" s="283">
        <f>Elec_Est!T444</f>
        <v>0</v>
      </c>
    </row>
    <row r="163" spans="1:28" hidden="1">
      <c r="A163" s="166"/>
      <c r="B163" s="476">
        <v>55</v>
      </c>
      <c r="C163" s="6" t="s">
        <v>73</v>
      </c>
      <c r="D163" s="67" t="s">
        <v>130</v>
      </c>
      <c r="E163" s="166"/>
      <c r="F163" s="358">
        <v>962</v>
      </c>
      <c r="G163" s="63"/>
      <c r="P163" s="348">
        <v>1</v>
      </c>
      <c r="Q163" s="247">
        <v>1</v>
      </c>
      <c r="R163" s="283">
        <f>Elec_Est!R445</f>
        <v>0</v>
      </c>
      <c r="S163" s="385">
        <f t="shared" si="15"/>
        <v>0</v>
      </c>
      <c r="T163" s="283">
        <f>Elec_Est!T445</f>
        <v>0</v>
      </c>
    </row>
    <row r="164" spans="1:28" hidden="1">
      <c r="A164" s="166"/>
      <c r="B164" s="476">
        <v>56</v>
      </c>
      <c r="C164" s="6" t="s">
        <v>73</v>
      </c>
      <c r="D164" s="248" t="s">
        <v>131</v>
      </c>
      <c r="E164" s="166"/>
      <c r="F164" s="358">
        <v>970</v>
      </c>
      <c r="G164" s="249"/>
      <c r="H164" s="57"/>
      <c r="I164" s="57"/>
      <c r="J164" s="250"/>
      <c r="K164" s="250"/>
      <c r="L164" s="250"/>
      <c r="M164" s="250"/>
      <c r="N164" s="250"/>
      <c r="O164" s="250"/>
      <c r="P164" s="349">
        <v>4</v>
      </c>
      <c r="Q164" s="251">
        <v>1</v>
      </c>
      <c r="R164" s="283">
        <f>Elec_Est!R446</f>
        <v>0</v>
      </c>
      <c r="S164" s="385">
        <f t="shared" si="15"/>
        <v>0</v>
      </c>
      <c r="T164" s="283">
        <f>Elec_Est!T446</f>
        <v>0</v>
      </c>
    </row>
    <row r="165" spans="1:28" ht="13.8" thickBot="1">
      <c r="A165" s="166"/>
      <c r="B165" s="357"/>
      <c r="C165" s="252"/>
      <c r="D165" s="253" t="s">
        <v>169</v>
      </c>
      <c r="E165" s="254"/>
      <c r="F165" s="85"/>
      <c r="G165" s="72"/>
      <c r="H165" s="72"/>
      <c r="I165" s="72"/>
      <c r="J165" s="255"/>
      <c r="K165" s="255"/>
      <c r="L165" s="255"/>
      <c r="M165" s="255"/>
      <c r="N165" s="255"/>
      <c r="O165" s="255"/>
      <c r="P165" s="255"/>
      <c r="Q165" s="256"/>
      <c r="R165" s="282">
        <f>SUM(R109:R164)</f>
        <v>11673.023333333333</v>
      </c>
      <c r="S165" s="282">
        <f>SUM(S109:S164)</f>
        <v>10161.251</v>
      </c>
      <c r="T165" s="282">
        <f>SUM(T109:T164)</f>
        <v>370.0382738528769</v>
      </c>
    </row>
    <row r="166" spans="1:28" ht="14.4" thickTop="1">
      <c r="A166" s="62"/>
      <c r="B166" s="346"/>
      <c r="C166" s="6" t="s">
        <v>73</v>
      </c>
      <c r="D166" s="78"/>
      <c r="F166" s="79" t="s">
        <v>152</v>
      </c>
      <c r="G166" s="80"/>
      <c r="H166" s="36">
        <v>1</v>
      </c>
      <c r="O166" s="64"/>
      <c r="R166" s="354">
        <f>SUMIF($P109:$P164,1,R109:R164)</f>
        <v>1376.8633333333335</v>
      </c>
      <c r="T166" s="352">
        <f>SUMIF($P109:$P164,1,T109:T164)</f>
        <v>124.46999999999998</v>
      </c>
      <c r="V166" s="317"/>
      <c r="W166" s="317"/>
      <c r="X166" s="317"/>
      <c r="Y166" s="317"/>
      <c r="Z166" s="317"/>
      <c r="AA166" s="317"/>
      <c r="AB166" s="317"/>
    </row>
    <row r="167" spans="1:28" ht="13.8">
      <c r="A167" s="62"/>
      <c r="B167" s="192"/>
      <c r="C167" s="6" t="s">
        <v>73</v>
      </c>
      <c r="D167" s="78"/>
      <c r="F167" s="79" t="s">
        <v>153</v>
      </c>
      <c r="G167" s="80"/>
      <c r="H167" s="36">
        <v>2</v>
      </c>
      <c r="O167" s="64"/>
      <c r="R167" s="354">
        <f>SUMIF($P109:$P164,2,R109:R164)</f>
        <v>4968.66</v>
      </c>
      <c r="T167" s="353">
        <f>SUMIF($P109:$P164,2,T109:T164)</f>
        <v>90.5</v>
      </c>
      <c r="V167" s="317"/>
      <c r="W167" s="317"/>
      <c r="X167" s="317"/>
      <c r="Y167" s="317"/>
      <c r="Z167" s="317"/>
      <c r="AA167" s="317"/>
      <c r="AB167" s="317"/>
    </row>
    <row r="168" spans="1:28" ht="13.8">
      <c r="A168" s="62"/>
      <c r="B168" s="192"/>
      <c r="C168" s="6" t="s">
        <v>73</v>
      </c>
      <c r="D168" s="78"/>
      <c r="F168" s="79" t="s">
        <v>154</v>
      </c>
      <c r="G168" s="80"/>
      <c r="H168" s="36">
        <v>2</v>
      </c>
      <c r="O168" s="64"/>
      <c r="R168" s="354">
        <f>SUMIF($P109:$P164,3,R109:R164)</f>
        <v>5327.5</v>
      </c>
      <c r="T168" s="353">
        <f>SUMIF($P109:$P164,3,T109:T164)</f>
        <v>155.0682738528769</v>
      </c>
      <c r="V168" s="317"/>
      <c r="W168" s="317"/>
      <c r="X168" s="317"/>
      <c r="Y168" s="317"/>
      <c r="Z168" s="317"/>
      <c r="AA168" s="317"/>
      <c r="AB168" s="317"/>
    </row>
    <row r="169" spans="1:28" ht="13.8" hidden="1">
      <c r="A169" s="62"/>
      <c r="B169" s="192"/>
      <c r="C169" s="6" t="s">
        <v>73</v>
      </c>
      <c r="D169" s="78"/>
      <c r="F169" s="79" t="s">
        <v>155</v>
      </c>
      <c r="G169" s="80"/>
      <c r="H169" s="36">
        <v>3</v>
      </c>
      <c r="O169" s="64"/>
      <c r="R169" s="354">
        <f>SUMIF($P109:$P164,4,R109:R164)</f>
        <v>0</v>
      </c>
      <c r="T169" s="353">
        <f>SUMIF($P109:$P164,4,T109:T164)</f>
        <v>0</v>
      </c>
      <c r="V169" s="317"/>
      <c r="W169" s="317"/>
      <c r="X169" s="317"/>
      <c r="Y169" s="317"/>
      <c r="Z169" s="317"/>
      <c r="AA169" s="317"/>
      <c r="AB169" s="317"/>
    </row>
    <row r="170" spans="1:28" ht="14.4" thickBot="1">
      <c r="A170" s="62"/>
      <c r="B170" s="347"/>
      <c r="C170" s="70" t="s">
        <v>73</v>
      </c>
      <c r="D170" s="82"/>
      <c r="E170" s="72"/>
      <c r="F170" s="83" t="s">
        <v>156</v>
      </c>
      <c r="G170" s="84"/>
      <c r="H170" s="85"/>
      <c r="I170" s="85"/>
      <c r="J170" s="85"/>
      <c r="K170" s="85"/>
      <c r="L170" s="85"/>
      <c r="M170" s="85"/>
      <c r="N170" s="85"/>
      <c r="O170" s="86"/>
      <c r="P170" s="85"/>
      <c r="Q170" s="85"/>
      <c r="R170" s="355">
        <f>SUM(R166:R169)</f>
        <v>11673.023333333334</v>
      </c>
      <c r="S170" s="88"/>
      <c r="T170" s="356">
        <f>SUM(T166:T169)</f>
        <v>370.03827385287684</v>
      </c>
      <c r="V170" s="317"/>
      <c r="W170" s="317"/>
      <c r="X170" s="317"/>
      <c r="Y170" s="317"/>
      <c r="Z170" s="317"/>
      <c r="AA170" s="317"/>
      <c r="AB170" s="317"/>
    </row>
    <row r="171" spans="1:28" ht="14.4" thickTop="1">
      <c r="B171" s="36"/>
      <c r="E171" s="148"/>
      <c r="F171" s="149"/>
      <c r="G171" s="133"/>
      <c r="H171" s="133"/>
      <c r="I171" s="133"/>
      <c r="J171" s="133"/>
      <c r="K171" s="133"/>
      <c r="L171" s="133"/>
      <c r="M171" s="133"/>
      <c r="N171" s="133"/>
      <c r="O171" s="133"/>
      <c r="P171" s="133"/>
      <c r="Q171" s="149"/>
      <c r="R171" s="149"/>
      <c r="S171" s="149"/>
      <c r="T171" s="149"/>
    </row>
    <row r="172" spans="1:28">
      <c r="C172" s="34"/>
      <c r="D172" s="34"/>
      <c r="E172" s="34"/>
      <c r="F172" s="34"/>
      <c r="G172" s="34"/>
      <c r="J172" s="34"/>
      <c r="K172" s="34"/>
      <c r="L172" s="34"/>
      <c r="M172" s="34"/>
      <c r="N172" s="34"/>
      <c r="O172" s="34"/>
      <c r="P172" s="34"/>
      <c r="Q172" s="34"/>
      <c r="R172" s="34"/>
      <c r="S172" s="34"/>
      <c r="T172" s="34"/>
    </row>
    <row r="173" spans="1:28">
      <c r="D173" s="36" t="s">
        <v>58</v>
      </c>
      <c r="E173" s="10"/>
      <c r="F173" s="143"/>
      <c r="G173" s="2"/>
      <c r="S173" s="33"/>
      <c r="T173" s="33"/>
    </row>
    <row r="174" spans="1:28" ht="15.6">
      <c r="D174" s="209" t="s">
        <v>271</v>
      </c>
    </row>
    <row r="175" spans="1:28">
      <c r="D175" s="257">
        <f ca="1">D95</f>
        <v>46118.473109606479</v>
      </c>
    </row>
    <row r="176" spans="1:28">
      <c r="A176" s="34"/>
    </row>
  </sheetData>
  <sheetProtection formatCells="0" formatColumns="0" formatRows="0" insertHyperlinks="0"/>
  <mergeCells count="14">
    <mergeCell ref="D1:E1"/>
    <mergeCell ref="D2:E2"/>
    <mergeCell ref="D3:E3"/>
    <mergeCell ref="B16:E17"/>
    <mergeCell ref="B14:E15"/>
    <mergeCell ref="B18:E18"/>
    <mergeCell ref="D84:E84"/>
    <mergeCell ref="B57:T57"/>
    <mergeCell ref="B58:T58"/>
    <mergeCell ref="A55:B55"/>
    <mergeCell ref="A48:S48"/>
    <mergeCell ref="Q18:T18"/>
    <mergeCell ref="A47:S47"/>
    <mergeCell ref="B19:E19"/>
  </mergeCells>
  <phoneticPr fontId="27"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24:E32">
    <cfRule type="cellIs" dxfId="15" priority="18" stopIfTrue="1" operator="equal">
      <formula>0</formula>
    </cfRule>
  </conditionalFormatting>
  <conditionalFormatting sqref="E36">
    <cfRule type="cellIs" dxfId="14" priority="10" stopIfTrue="1" operator="equal">
      <formula>"Final Sell Curr?"</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0000000}">
      <formula1>"VAT EXCL., VAT INCLUDED, VAT IN MARKUPS"</formula1>
    </dataValidation>
    <dataValidation type="list" allowBlank="1" showInputMessage="1" showErrorMessage="1" sqref="W1" xr:uid="{00000000-0002-0000-0100-000001000000}">
      <formula1>"BOQ,TDWG,ACT,DIF_TD,DIF_A"</formula1>
    </dataValidation>
    <dataValidation type="textLength" showInputMessage="1" showErrorMessage="1" sqref="S1" xr:uid="{00000000-0002-0000-0100-000002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3000000}">
      <formula1>"PRINT,Test for 0.00,"</formula1>
    </dataValidation>
    <dataValidation type="list" allowBlank="1" showInputMessage="1" showErrorMessage="1" sqref="A33" xr:uid="{00000000-0002-0000-0100-000004000000}">
      <formula1>"MIXED, ,"</formula1>
    </dataValidation>
    <dataValidation type="list" allowBlank="1" showInputMessage="1" showErrorMessage="1" sqref="Q1" xr:uid="{00000000-0002-0000-0100-000005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6000000}">
      <formula1>"27.46,24.50,23.95,22.96,23.02,23.52,22.42,21.57,24.39,23.36,23.23,24.10,23.75,26.30,not used"</formula1>
    </dataValidation>
    <dataValidation type="list" allowBlank="1" showInputMessage="1" showErrorMessage="1" sqref="D8" xr:uid="{00000000-0002-0000-0100-000007000000}">
      <formula1>"M.Scicluna,Umut Kaymak,,T.Sammut,R.Farrugia,G.Mifsud,C.Gidulski,R.Raphel"</formula1>
    </dataValidation>
  </dataValidations>
  <pageMargins left="0.26" right="0.19685039370078741" top="0.48" bottom="0.34" header="0.3" footer="0.19685039370078741"/>
  <pageSetup paperSize="9" orientation="portrait"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266700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1</xdr:col>
                    <xdr:colOff>137160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342900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335280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274320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251460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1</xdr:col>
                    <xdr:colOff>68580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190500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563880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workbookViewId="0">
      <selection activeCell="Q55" sqref="Q55"/>
    </sheetView>
  </sheetViews>
  <sheetFormatPr defaultColWidth="9.109375" defaultRowHeight="14.4"/>
  <cols>
    <col min="1" max="2" width="8" style="596" customWidth="1"/>
    <col min="3" max="3" width="3.88671875" style="596" hidden="1" customWidth="1"/>
    <col min="4" max="4" width="15.6640625" style="596" customWidth="1"/>
    <col min="5" max="6" width="12.6640625" style="596" customWidth="1"/>
    <col min="7" max="7" width="9.6640625" style="596" hidden="1" customWidth="1"/>
    <col min="8" max="8" width="7.6640625" style="596" hidden="1" customWidth="1"/>
    <col min="9" max="11" width="8.6640625" style="596" hidden="1" customWidth="1"/>
    <col min="12" max="12" width="6.6640625" style="596" hidden="1" customWidth="1"/>
    <col min="13" max="16" width="8.6640625" style="596" hidden="1" customWidth="1"/>
    <col min="17" max="17" width="12.88671875" style="596" customWidth="1"/>
    <col min="18" max="18" width="8.6640625" style="596" customWidth="1"/>
    <col min="19" max="19" width="10.109375" style="596" customWidth="1"/>
    <col min="20" max="20" width="8.33203125" style="596" customWidth="1"/>
    <col min="21" max="16384" width="9.109375" style="596"/>
  </cols>
  <sheetData>
    <row r="1" spans="1:21" s="594" customFormat="1">
      <c r="A1" s="814" t="str">
        <f>IF(AND(UPPER(LEFT(TRIM($D$8),11))="01",UPPER(LEFT(TRIM($D$9),3))&lt;&gt;"ELM"),"PANTA RETAIL LTD.","PANTA CONTRACTING LIMITED")</f>
        <v>PANTA CONTRACTING LIMITED</v>
      </c>
      <c r="B1" s="814"/>
      <c r="C1" s="814"/>
      <c r="D1" s="814"/>
      <c r="E1" s="814"/>
      <c r="F1" s="814"/>
      <c r="G1" s="814"/>
      <c r="H1" s="814"/>
      <c r="I1" s="814"/>
      <c r="J1" s="814"/>
      <c r="K1" s="814"/>
      <c r="L1" s="814"/>
      <c r="M1" s="814"/>
      <c r="N1" s="814"/>
      <c r="O1" s="814"/>
      <c r="P1" s="814"/>
      <c r="Q1" s="814"/>
      <c r="R1" s="814"/>
      <c r="S1" s="814"/>
      <c r="T1" s="814"/>
      <c r="U1" s="597"/>
    </row>
    <row r="2" spans="1:21" s="594" customFormat="1">
      <c r="A2" s="815" t="str">
        <f>IF(UPPER(LEFT(TRIM($D$9),3))="ELM","ELEC-FOR-MECH INTERNAL QUOTATION","ELECTRICAL INTERNAL QUOTATION")</f>
        <v>ELECTRICAL INTERNAL QUOTATION</v>
      </c>
      <c r="B2" s="815"/>
      <c r="C2" s="815"/>
      <c r="D2" s="815"/>
      <c r="E2" s="815"/>
      <c r="F2" s="815"/>
      <c r="G2" s="815"/>
      <c r="H2" s="815"/>
      <c r="I2" s="815"/>
      <c r="J2" s="815"/>
      <c r="K2" s="815"/>
      <c r="L2" s="815"/>
      <c r="M2" s="815"/>
      <c r="N2" s="815"/>
      <c r="O2" s="815"/>
      <c r="P2" s="815"/>
      <c r="Q2" s="815"/>
      <c r="R2" s="815"/>
      <c r="S2" s="815"/>
      <c r="T2" s="815"/>
    </row>
    <row r="3" spans="1:21" s="594" customFormat="1">
      <c r="B3" s="595"/>
      <c r="G3" s="596"/>
      <c r="H3" s="596"/>
      <c r="I3" s="596"/>
      <c r="J3" s="596"/>
    </row>
    <row r="4" spans="1:21" s="594" customFormat="1">
      <c r="A4" s="596"/>
      <c r="B4" s="596"/>
      <c r="C4" s="596"/>
      <c r="D4" s="596"/>
      <c r="E4" s="596"/>
      <c r="F4" s="596"/>
      <c r="G4" s="596"/>
      <c r="H4" s="596"/>
      <c r="I4" s="596"/>
      <c r="J4" s="596"/>
      <c r="K4" s="596"/>
      <c r="L4" s="596"/>
      <c r="M4" s="596"/>
      <c r="N4" s="596"/>
      <c r="O4" s="596"/>
      <c r="P4" s="596"/>
      <c r="Q4" s="596"/>
      <c r="R4" s="596"/>
      <c r="S4" s="596"/>
      <c r="T4" s="596"/>
    </row>
    <row r="5" spans="1:21" s="594" customFormat="1">
      <c r="B5" s="595" t="s">
        <v>219</v>
      </c>
      <c r="C5" s="596"/>
      <c r="D5" s="597" t="str">
        <f>IF(A2="Internal Quotation", "Mechanical Division","")</f>
        <v/>
      </c>
      <c r="E5" s="596"/>
      <c r="F5" s="596"/>
      <c r="G5" s="598"/>
      <c r="H5" s="598"/>
      <c r="I5" s="599"/>
      <c r="J5" s="599"/>
      <c r="K5" s="598"/>
      <c r="L5" s="598"/>
      <c r="M5" s="598"/>
      <c r="N5" s="598"/>
      <c r="O5" s="598"/>
      <c r="P5" s="598"/>
      <c r="Q5" s="596"/>
      <c r="R5" s="600" t="s">
        <v>178</v>
      </c>
      <c r="S5" s="601">
        <f ca="1">NOW()</f>
        <v>46118.473109606479</v>
      </c>
      <c r="T5" s="596"/>
    </row>
    <row r="6" spans="1:21" s="594" customFormat="1">
      <c r="A6" s="620"/>
      <c r="B6" s="620" t="s">
        <v>0</v>
      </c>
      <c r="C6" s="602" t="s">
        <v>220</v>
      </c>
      <c r="D6" s="594" t="str">
        <f>ML_Sum!D1</f>
        <v>Panta</v>
      </c>
      <c r="G6" s="596"/>
      <c r="H6" s="596"/>
      <c r="I6" s="596"/>
      <c r="J6" s="596"/>
      <c r="R6" s="596"/>
      <c r="S6" s="596"/>
      <c r="T6" s="596"/>
    </row>
    <row r="7" spans="1:21" s="594" customFormat="1">
      <c r="A7" s="620"/>
      <c r="B7" s="620" t="s">
        <v>2</v>
      </c>
      <c r="C7" s="602" t="s">
        <v>221</v>
      </c>
      <c r="D7" s="594" t="str">
        <f>ML_Sum!D2</f>
        <v>Panta Showroom Phase 2</v>
      </c>
      <c r="G7" s="596"/>
      <c r="H7" s="596"/>
      <c r="I7" s="596"/>
      <c r="J7" s="596"/>
      <c r="R7" s="596"/>
      <c r="S7" s="596"/>
      <c r="T7" s="596"/>
    </row>
    <row r="8" spans="1:21" s="594" customFormat="1">
      <c r="A8" s="620"/>
      <c r="B8" s="620" t="s">
        <v>4</v>
      </c>
      <c r="C8" s="602" t="s">
        <v>222</v>
      </c>
      <c r="D8" s="594" t="str">
        <f>ML_Sum!D3</f>
        <v>Supply and Install Electrical requirements for Panta Showroom Phase 2</v>
      </c>
      <c r="G8" s="596"/>
      <c r="H8" s="596"/>
      <c r="I8" s="596"/>
      <c r="J8" s="596"/>
      <c r="R8" s="596"/>
      <c r="S8" s="596"/>
      <c r="T8" s="596"/>
    </row>
    <row r="9" spans="1:21" s="594" customFormat="1">
      <c r="A9" s="596"/>
      <c r="B9" s="595" t="s">
        <v>6</v>
      </c>
      <c r="C9" s="602" t="s">
        <v>223</v>
      </c>
      <c r="D9" s="594" t="str">
        <f>ML_Sum!D4</f>
        <v>EL25_XXXX</v>
      </c>
      <c r="G9" s="596"/>
      <c r="H9" s="596"/>
      <c r="I9" s="596"/>
      <c r="J9" s="596"/>
    </row>
    <row r="10" spans="1:21" s="594" customFormat="1">
      <c r="A10" s="596"/>
      <c r="B10" s="600" t="s">
        <v>170</v>
      </c>
      <c r="C10" s="602" t="s">
        <v>224</v>
      </c>
      <c r="D10" s="594">
        <f>ML_Sum!D5</f>
        <v>0</v>
      </c>
      <c r="E10" s="596"/>
      <c r="F10" s="596"/>
      <c r="G10" s="596"/>
      <c r="H10" s="596"/>
      <c r="I10" s="596"/>
      <c r="J10" s="596"/>
      <c r="K10" s="596"/>
      <c r="L10" s="596"/>
      <c r="M10" s="596"/>
      <c r="N10" s="596"/>
      <c r="O10" s="596"/>
      <c r="P10" s="596"/>
      <c r="Q10" s="596"/>
      <c r="R10" s="596"/>
      <c r="S10" s="596"/>
      <c r="T10" s="596"/>
    </row>
    <row r="11" spans="1:21" s="594" customFormat="1">
      <c r="A11" s="596"/>
      <c r="B11" s="596"/>
      <c r="C11" s="598"/>
      <c r="D11" s="596"/>
      <c r="E11" s="596"/>
      <c r="F11" s="596"/>
      <c r="G11" s="596"/>
      <c r="H11" s="596"/>
      <c r="I11" s="596"/>
      <c r="J11" s="596"/>
      <c r="K11" s="596"/>
      <c r="L11" s="596"/>
      <c r="M11" s="596"/>
      <c r="N11" s="596"/>
      <c r="O11" s="596"/>
      <c r="P11" s="596"/>
      <c r="Q11" s="596"/>
      <c r="R11" s="596"/>
      <c r="S11" s="596"/>
      <c r="T11" s="596"/>
    </row>
    <row r="12" spans="1:21" s="594" customFormat="1">
      <c r="D12" s="596"/>
      <c r="E12" s="596"/>
      <c r="F12" s="596"/>
      <c r="G12" s="596"/>
      <c r="H12" s="596"/>
      <c r="I12" s="596"/>
      <c r="J12" s="596"/>
      <c r="K12" s="596"/>
      <c r="L12" s="596"/>
      <c r="M12" s="596"/>
      <c r="N12" s="596"/>
      <c r="O12" s="596"/>
      <c r="P12" s="596"/>
      <c r="Q12" s="596"/>
      <c r="R12" s="596"/>
      <c r="S12" s="596"/>
      <c r="T12" s="596"/>
    </row>
    <row r="13" spans="1:21" s="594" customFormat="1">
      <c r="A13" s="603"/>
      <c r="D13" s="596"/>
      <c r="E13" s="596"/>
      <c r="F13" s="596"/>
      <c r="G13" s="596"/>
      <c r="H13" s="596"/>
      <c r="I13" s="596"/>
      <c r="J13" s="596"/>
      <c r="K13" s="596"/>
      <c r="L13" s="596"/>
      <c r="M13" s="596"/>
      <c r="N13" s="596"/>
      <c r="O13" s="596"/>
      <c r="P13" s="596"/>
      <c r="Q13" s="596"/>
      <c r="R13" s="596"/>
      <c r="S13" s="596"/>
      <c r="T13" s="596"/>
    </row>
    <row r="14" spans="1:21" s="594" customFormat="1">
      <c r="G14" s="596"/>
      <c r="H14" s="596"/>
      <c r="I14" s="596"/>
      <c r="J14" s="596"/>
    </row>
    <row r="15" spans="1:21" s="594" customFormat="1">
      <c r="G15" s="596"/>
      <c r="H15" s="596"/>
      <c r="I15" s="596"/>
      <c r="J15" s="596"/>
    </row>
    <row r="16" spans="1:21" s="594" customFormat="1">
      <c r="G16" s="596"/>
      <c r="H16" s="596"/>
      <c r="I16" s="596"/>
      <c r="J16" s="596"/>
    </row>
    <row r="17" spans="1:20" s="594" customFormat="1">
      <c r="G17" s="596"/>
      <c r="H17" s="596"/>
      <c r="I17" s="596"/>
      <c r="J17" s="596"/>
    </row>
    <row r="18" spans="1:20" s="594" customFormat="1">
      <c r="G18" s="596"/>
      <c r="H18" s="596"/>
      <c r="I18" s="596"/>
      <c r="J18" s="596"/>
    </row>
    <row r="19" spans="1:20" s="594" customFormat="1">
      <c r="G19" s="596"/>
      <c r="H19" s="596"/>
      <c r="I19" s="596"/>
      <c r="J19" s="596"/>
    </row>
    <row r="20" spans="1:20" s="594" customFormat="1">
      <c r="G20" s="596"/>
      <c r="H20" s="596"/>
      <c r="I20" s="596"/>
      <c r="J20" s="596"/>
    </row>
    <row r="21" spans="1:20" s="594" customFormat="1">
      <c r="G21" s="596"/>
      <c r="H21" s="596"/>
      <c r="I21" s="596"/>
      <c r="J21" s="596"/>
    </row>
    <row r="22" spans="1:20" s="594" customFormat="1">
      <c r="A22" s="596"/>
      <c r="B22" s="596"/>
      <c r="C22" s="596"/>
      <c r="D22" s="604" t="s">
        <v>230</v>
      </c>
      <c r="E22" s="605">
        <f ca="1">ML_Sum!E35</f>
        <v>24023.489999999998</v>
      </c>
      <c r="F22" s="602" t="str">
        <f>ML_Sum!D6</f>
        <v>VAT EXCL.</v>
      </c>
      <c r="G22" s="621" t="s">
        <v>179</v>
      </c>
      <c r="H22" s="621" t="s">
        <v>179</v>
      </c>
      <c r="I22" s="621" t="s">
        <v>179</v>
      </c>
      <c r="J22" s="621" t="s">
        <v>179</v>
      </c>
      <c r="K22" s="621" t="s">
        <v>179</v>
      </c>
      <c r="L22" s="621" t="s">
        <v>179</v>
      </c>
      <c r="M22" s="621" t="s">
        <v>179</v>
      </c>
      <c r="N22" s="621" t="s">
        <v>179</v>
      </c>
      <c r="O22" s="621" t="s">
        <v>179</v>
      </c>
      <c r="P22" s="621" t="s">
        <v>179</v>
      </c>
      <c r="Q22" s="622"/>
      <c r="R22" s="596"/>
      <c r="S22" s="596"/>
      <c r="T22" s="596"/>
    </row>
    <row r="23" spans="1:20" s="594" customFormat="1">
      <c r="A23" s="596"/>
      <c r="B23" s="596"/>
      <c r="C23" s="596"/>
      <c r="D23" s="623"/>
      <c r="E23" s="606"/>
      <c r="F23" s="606"/>
      <c r="G23" s="622"/>
      <c r="H23" s="622"/>
      <c r="I23" s="622"/>
      <c r="J23" s="622"/>
      <c r="K23" s="622"/>
      <c r="L23" s="622"/>
      <c r="M23" s="622"/>
      <c r="N23" s="622"/>
      <c r="O23" s="622"/>
      <c r="P23" s="622"/>
      <c r="Q23" s="622"/>
      <c r="S23" s="596"/>
    </row>
    <row r="24" spans="1:20" s="594" customFormat="1">
      <c r="A24" s="596"/>
      <c r="B24" s="596"/>
      <c r="C24" s="596"/>
      <c r="D24" s="607"/>
      <c r="E24" s="622"/>
      <c r="F24" s="622"/>
      <c r="G24" s="622"/>
      <c r="H24" s="622"/>
      <c r="I24" s="622"/>
      <c r="J24" s="622"/>
      <c r="K24" s="622"/>
      <c r="L24" s="622"/>
      <c r="M24" s="622"/>
      <c r="N24" s="622"/>
      <c r="O24" s="622"/>
      <c r="P24" s="622"/>
      <c r="Q24" s="622"/>
      <c r="S24" s="596"/>
    </row>
    <row r="25" spans="1:20" s="594" customFormat="1">
      <c r="A25" s="608"/>
      <c r="B25" s="609"/>
      <c r="C25" s="609"/>
      <c r="D25" s="596"/>
      <c r="E25" s="596"/>
      <c r="F25" s="596"/>
      <c r="G25" s="596"/>
      <c r="H25" s="596"/>
      <c r="I25" s="596"/>
      <c r="J25" s="596"/>
      <c r="K25" s="596"/>
      <c r="L25" s="596"/>
      <c r="M25" s="596"/>
      <c r="N25" s="596"/>
      <c r="O25" s="596"/>
      <c r="P25" s="596"/>
      <c r="Q25" s="596"/>
    </row>
    <row r="26" spans="1:20" s="594" customFormat="1">
      <c r="A26" s="597"/>
      <c r="G26" s="596"/>
      <c r="H26" s="596"/>
      <c r="I26" s="596"/>
      <c r="J26" s="596"/>
    </row>
    <row r="27" spans="1:20" s="594" customFormat="1">
      <c r="A27" s="597"/>
      <c r="G27" s="596"/>
      <c r="H27" s="596"/>
      <c r="I27" s="596"/>
      <c r="J27" s="596"/>
    </row>
    <row r="28" spans="1:20" s="594" customFormat="1">
      <c r="A28" s="597"/>
      <c r="G28" s="596"/>
      <c r="H28" s="596"/>
      <c r="I28" s="596"/>
      <c r="J28" s="596"/>
    </row>
    <row r="29" spans="1:20" s="594" customFormat="1">
      <c r="A29" s="597"/>
      <c r="G29" s="596"/>
      <c r="H29" s="596"/>
      <c r="I29" s="596"/>
      <c r="J29" s="596"/>
    </row>
    <row r="30" spans="1:20" s="594" customFormat="1">
      <c r="A30" s="597"/>
      <c r="G30" s="596"/>
      <c r="H30" s="596"/>
      <c r="I30" s="596"/>
      <c r="J30" s="596"/>
    </row>
    <row r="31" spans="1:20" s="594" customFormat="1">
      <c r="A31" s="597"/>
      <c r="G31" s="596"/>
      <c r="H31" s="596"/>
      <c r="I31" s="596"/>
      <c r="J31" s="596"/>
    </row>
    <row r="32" spans="1:20" s="594" customFormat="1">
      <c r="A32" s="597"/>
      <c r="G32" s="596"/>
      <c r="H32" s="596"/>
      <c r="I32" s="596"/>
      <c r="J32" s="596"/>
    </row>
    <row r="33" spans="1:20" s="594" customFormat="1">
      <c r="G33" s="596"/>
      <c r="H33" s="596"/>
      <c r="I33" s="596"/>
      <c r="J33" s="596"/>
    </row>
    <row r="34" spans="1:20" s="594" customFormat="1">
      <c r="A34" s="596"/>
      <c r="B34" s="596"/>
      <c r="C34" s="596"/>
      <c r="D34" s="596"/>
      <c r="E34" s="596"/>
      <c r="F34" s="596"/>
      <c r="G34" s="596"/>
      <c r="H34" s="596"/>
      <c r="I34" s="596"/>
      <c r="J34" s="596"/>
      <c r="K34" s="596"/>
      <c r="L34" s="596"/>
      <c r="M34" s="596"/>
      <c r="N34" s="596"/>
      <c r="O34" s="596"/>
      <c r="P34" s="596"/>
      <c r="Q34" s="596"/>
      <c r="R34" s="596"/>
      <c r="S34" s="596"/>
      <c r="T34" s="596"/>
    </row>
    <row r="35" spans="1:20" s="594" customFormat="1">
      <c r="A35" s="596"/>
      <c r="B35" s="596"/>
      <c r="C35" s="596"/>
      <c r="D35" s="596"/>
      <c r="E35" s="596"/>
      <c r="F35" s="596"/>
      <c r="G35" s="596"/>
      <c r="H35" s="596"/>
      <c r="I35" s="596"/>
      <c r="J35" s="596"/>
      <c r="K35" s="596"/>
      <c r="L35" s="596"/>
      <c r="M35" s="596"/>
      <c r="N35" s="596"/>
      <c r="O35" s="596"/>
      <c r="P35" s="596"/>
      <c r="Q35" s="596"/>
      <c r="R35" s="596"/>
      <c r="S35" s="596"/>
      <c r="T35" s="596"/>
    </row>
    <row r="36" spans="1:20" s="594" customFormat="1">
      <c r="A36" s="596"/>
      <c r="B36" s="596"/>
      <c r="C36" s="596"/>
      <c r="D36" s="596"/>
      <c r="E36" s="596"/>
      <c r="F36" s="596"/>
      <c r="G36" s="596"/>
      <c r="H36" s="596"/>
      <c r="I36" s="596"/>
      <c r="J36" s="596"/>
      <c r="K36" s="596"/>
      <c r="L36" s="596"/>
      <c r="M36" s="596"/>
      <c r="N36" s="596"/>
      <c r="O36" s="596"/>
      <c r="P36" s="596"/>
      <c r="Q36" s="596"/>
      <c r="R36" s="596"/>
      <c r="S36" s="596"/>
      <c r="T36" s="596"/>
    </row>
    <row r="37" spans="1:20" s="594" customFormat="1">
      <c r="G37" s="596"/>
      <c r="H37" s="596"/>
      <c r="I37" s="596"/>
      <c r="J37" s="596"/>
    </row>
    <row r="38" spans="1:20" s="594" customFormat="1">
      <c r="A38" s="603"/>
      <c r="B38" s="610"/>
      <c r="G38" s="596"/>
      <c r="H38" s="596"/>
      <c r="I38" s="596"/>
      <c r="J38" s="596"/>
    </row>
    <row r="39" spans="1:20" s="594" customFormat="1">
      <c r="A39" s="597"/>
      <c r="G39" s="596"/>
      <c r="H39" s="596"/>
      <c r="I39" s="596"/>
      <c r="J39" s="596"/>
    </row>
    <row r="40" spans="1:20" s="594" customFormat="1">
      <c r="A40" s="597"/>
      <c r="G40" s="596"/>
      <c r="H40" s="596"/>
      <c r="I40" s="596"/>
      <c r="J40" s="596"/>
    </row>
    <row r="41" spans="1:20" s="594" customFormat="1">
      <c r="A41" s="597"/>
      <c r="G41" s="596"/>
      <c r="H41" s="596"/>
      <c r="I41" s="596"/>
      <c r="J41" s="596"/>
    </row>
    <row r="42" spans="1:20" s="594" customFormat="1">
      <c r="A42" s="597"/>
      <c r="G42" s="596"/>
      <c r="H42" s="596"/>
      <c r="I42" s="596"/>
      <c r="J42" s="596"/>
    </row>
    <row r="43" spans="1:20" s="594" customFormat="1">
      <c r="A43" s="597"/>
      <c r="G43" s="596"/>
      <c r="H43" s="596"/>
      <c r="I43" s="596"/>
      <c r="J43" s="596"/>
    </row>
    <row r="44" spans="1:20" s="594" customFormat="1">
      <c r="A44" s="597"/>
      <c r="G44" s="596"/>
      <c r="H44" s="596"/>
      <c r="I44" s="596"/>
      <c r="J44" s="596"/>
    </row>
    <row r="45" spans="1:20" s="594" customFormat="1">
      <c r="A45" s="597"/>
      <c r="G45" s="596"/>
      <c r="H45" s="596"/>
      <c r="I45" s="596"/>
      <c r="J45" s="596"/>
    </row>
    <row r="46" spans="1:20" s="594" customFormat="1">
      <c r="A46" s="597"/>
      <c r="G46" s="596"/>
      <c r="H46" s="596"/>
      <c r="I46" s="596"/>
      <c r="J46" s="596"/>
    </row>
    <row r="47" spans="1:20" s="594" customFormat="1">
      <c r="A47" s="597"/>
      <c r="G47" s="596"/>
      <c r="H47" s="596"/>
      <c r="I47" s="596"/>
      <c r="J47" s="596"/>
    </row>
    <row r="48" spans="1:20" s="594" customFormat="1">
      <c r="G48" s="596"/>
      <c r="H48" s="596"/>
      <c r="I48" s="596"/>
      <c r="J48" s="596"/>
    </row>
    <row r="49" spans="1:19" s="594" customFormat="1">
      <c r="G49" s="596"/>
      <c r="H49" s="596"/>
      <c r="I49" s="596"/>
      <c r="J49" s="596"/>
    </row>
    <row r="50" spans="1:19" s="594" customFormat="1">
      <c r="A50" s="598"/>
      <c r="B50" s="598"/>
      <c r="C50" s="598"/>
      <c r="G50" s="596"/>
      <c r="H50" s="596"/>
      <c r="I50" s="596"/>
      <c r="J50" s="596"/>
      <c r="Q50" s="598"/>
      <c r="R50" s="598"/>
      <c r="S50" s="598"/>
    </row>
    <row r="51" spans="1:19" s="594" customFormat="1">
      <c r="A51" s="594" t="s">
        <v>132</v>
      </c>
      <c r="D51" s="611"/>
      <c r="G51" s="596"/>
      <c r="H51" s="596"/>
      <c r="I51" s="596"/>
      <c r="J51" s="596"/>
      <c r="Q51" s="594" t="s">
        <v>132</v>
      </c>
    </row>
    <row r="52" spans="1:19" s="594" customFormat="1">
      <c r="A52" s="594" t="s">
        <v>133</v>
      </c>
      <c r="G52" s="596"/>
      <c r="H52" s="596"/>
      <c r="I52" s="596"/>
      <c r="J52" s="596"/>
      <c r="Q52" s="594" t="s">
        <v>180</v>
      </c>
    </row>
    <row r="53" spans="1:19" s="594" customFormat="1" ht="15" thickBot="1">
      <c r="G53" s="596"/>
      <c r="H53" s="596"/>
      <c r="I53" s="596"/>
      <c r="J53" s="596"/>
    </row>
    <row r="54" spans="1:19" s="594" customFormat="1">
      <c r="G54" s="596"/>
      <c r="H54" s="596"/>
      <c r="I54" s="596"/>
      <c r="J54" s="596"/>
      <c r="Q54" s="612" t="s">
        <v>181</v>
      </c>
      <c r="R54" s="613"/>
    </row>
    <row r="55" spans="1:19" s="594" customFormat="1">
      <c r="G55" s="596"/>
      <c r="H55" s="596"/>
      <c r="I55" s="596"/>
      <c r="J55" s="596"/>
      <c r="Q55" s="614" t="s">
        <v>269</v>
      </c>
      <c r="R55" s="615"/>
    </row>
    <row r="56" spans="1:19" s="594" customFormat="1">
      <c r="G56" s="596"/>
      <c r="H56" s="596"/>
      <c r="I56" s="596"/>
      <c r="J56" s="596"/>
      <c r="Q56" s="614"/>
      <c r="R56" s="615"/>
    </row>
    <row r="57" spans="1:19" s="594" customFormat="1" ht="15" thickBot="1">
      <c r="A57" s="616"/>
      <c r="Q57" s="617" t="s">
        <v>182</v>
      </c>
      <c r="R57" s="618"/>
    </row>
    <row r="58" spans="1:19" s="594" customFormat="1">
      <c r="A58" s="624"/>
      <c r="B58" s="619"/>
      <c r="C58" s="619"/>
      <c r="D58" s="619"/>
      <c r="E58" s="619"/>
      <c r="F58" s="619"/>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95"/>
  <sheetViews>
    <sheetView topLeftCell="A147" workbookViewId="0">
      <selection activeCell="A32" sqref="A32"/>
    </sheetView>
  </sheetViews>
  <sheetFormatPr defaultColWidth="9.109375" defaultRowHeight="13.2"/>
  <cols>
    <col min="1" max="1" width="6.6640625" style="36" customWidth="1"/>
    <col min="2" max="2" width="5.6640625" style="36" customWidth="1"/>
    <col min="3" max="3" width="4.332031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480"/>
      <c r="B1" s="481" t="s">
        <v>0</v>
      </c>
      <c r="C1" s="482">
        <f>ML_Sum!$C1</f>
        <v>1</v>
      </c>
      <c r="D1" s="483" t="str">
        <f>ML_Sum!$D1</f>
        <v>Panta</v>
      </c>
      <c r="E1" s="484"/>
      <c r="F1" s="485">
        <f>ML_Sum!$F1</f>
        <v>0</v>
      </c>
      <c r="G1" s="486"/>
      <c r="H1"/>
      <c r="I1" s="269">
        <v>1</v>
      </c>
      <c r="J1" s="270">
        <f>ML_Sum!$J1</f>
        <v>1</v>
      </c>
      <c r="K1" s="270">
        <f>ML_Sum!$K1</f>
        <v>1</v>
      </c>
      <c r="L1" s="270">
        <f>ML_Sum!$L1</f>
        <v>1</v>
      </c>
      <c r="M1" s="270">
        <f>ML_Sum!$M1</f>
        <v>1</v>
      </c>
      <c r="N1" s="270">
        <f>ML_Sum!$N1</f>
        <v>1</v>
      </c>
      <c r="O1" s="270">
        <f>ML_Sum!$O1</f>
        <v>1</v>
      </c>
      <c r="P1"/>
      <c r="Q1" s="337" t="str">
        <f>ML_Sum!$Q1</f>
        <v>€</v>
      </c>
      <c r="R1" s="273" t="s">
        <v>1</v>
      </c>
      <c r="S1" s="336" t="str">
        <f>ML_Sum!$S1</f>
        <v>R</v>
      </c>
      <c r="T1" s="17">
        <f>ML_Sum!$T1</f>
        <v>1</v>
      </c>
      <c r="U1" s="193" t="str">
        <f>ML_Sum!W1</f>
        <v>BOQ</v>
      </c>
      <c r="V1" s="127" t="s">
        <v>183</v>
      </c>
      <c r="W1" s="128" t="s">
        <v>173</v>
      </c>
      <c r="X1" s="129" t="s">
        <v>174</v>
      </c>
      <c r="Y1" s="130" t="s">
        <v>175</v>
      </c>
      <c r="Z1" s="131" t="s">
        <v>171</v>
      </c>
      <c r="AA1" s="131" t="s">
        <v>176</v>
      </c>
      <c r="AB1" s="128" t="s">
        <v>177</v>
      </c>
    </row>
    <row r="2" spans="1:31" s="32" customFormat="1" ht="13.8">
      <c r="A2" s="480"/>
      <c r="B2" s="481" t="s">
        <v>2</v>
      </c>
      <c r="C2" s="482">
        <f>ML_Sum!$C2</f>
        <v>1</v>
      </c>
      <c r="D2" s="483" t="str">
        <f>ML_Sum!$D2</f>
        <v>Panta Showroom Phase 2</v>
      </c>
      <c r="E2" s="487"/>
      <c r="F2" s="485" t="str">
        <f>ML_Sum!$F2</f>
        <v>Electrical</v>
      </c>
      <c r="G2" s="486"/>
      <c r="H2"/>
      <c r="I2" s="269">
        <v>2</v>
      </c>
      <c r="J2" s="270">
        <f>ML_Sum!$J2</f>
        <v>1</v>
      </c>
      <c r="K2" s="270">
        <f>ML_Sum!$K2</f>
        <v>1</v>
      </c>
      <c r="L2" s="270">
        <f>ML_Sum!$L2</f>
        <v>1</v>
      </c>
      <c r="M2" s="270">
        <f>ML_Sum!$M2</f>
        <v>1</v>
      </c>
      <c r="N2" s="270">
        <f>ML_Sum!$N2</f>
        <v>1</v>
      </c>
      <c r="O2" s="270">
        <f>ML_Sum!$O2</f>
        <v>1</v>
      </c>
      <c r="P2"/>
      <c r="Q2" s="343">
        <f>ML_Sum!$Q2</f>
        <v>0</v>
      </c>
      <c r="R2" s="18" t="s">
        <v>3</v>
      </c>
      <c r="S2" s="344">
        <f>ML_Sum!$S2</f>
        <v>1.1000000000000001</v>
      </c>
      <c r="T2" s="345">
        <f>ML_Sum!$T2</f>
        <v>30.206000000000003</v>
      </c>
      <c r="V2" s="316"/>
      <c r="W2" s="316"/>
      <c r="X2" s="316"/>
      <c r="Y2" s="316"/>
      <c r="Z2" s="316"/>
      <c r="AA2" s="316"/>
      <c r="AB2" s="316"/>
    </row>
    <row r="3" spans="1:31" s="32" customFormat="1" ht="13.8">
      <c r="A3" s="488"/>
      <c r="B3" s="489" t="s">
        <v>4</v>
      </c>
      <c r="C3" s="482">
        <f>ML_Sum!$C3</f>
        <v>1</v>
      </c>
      <c r="D3" s="483" t="str">
        <f>ML_Sum!$D3</f>
        <v>Supply and Install Electrical requirements for Panta Showroom Phase 2</v>
      </c>
      <c r="E3" s="488"/>
      <c r="F3" s="485">
        <f>ML_Sum!$F3</f>
        <v>0</v>
      </c>
      <c r="G3" s="490"/>
      <c r="H3"/>
      <c r="I3" s="269">
        <v>3</v>
      </c>
      <c r="J3" s="270">
        <f>ML_Sum!$J3</f>
        <v>1</v>
      </c>
      <c r="K3" s="270">
        <f>ML_Sum!$K3</f>
        <v>1</v>
      </c>
      <c r="L3" s="270">
        <f>ML_Sum!$L3</f>
        <v>1</v>
      </c>
      <c r="M3" s="270">
        <f>ML_Sum!$M3</f>
        <v>1</v>
      </c>
      <c r="N3" s="270">
        <f>ML_Sum!$N3</f>
        <v>1</v>
      </c>
      <c r="O3" s="270">
        <f>ML_Sum!$O3</f>
        <v>1</v>
      </c>
      <c r="P3"/>
      <c r="Q3" s="343">
        <f>ML_Sum!$Q3</f>
        <v>0</v>
      </c>
      <c r="R3" s="19" t="s">
        <v>5</v>
      </c>
      <c r="S3" s="344">
        <f>ML_Sum!$S3</f>
        <v>0</v>
      </c>
      <c r="T3" s="345">
        <f>ML_Sum!$T3</f>
        <v>0</v>
      </c>
      <c r="V3" s="316"/>
      <c r="W3" s="316"/>
      <c r="X3" s="316"/>
      <c r="Y3" s="316"/>
      <c r="Z3" s="316"/>
      <c r="AA3" s="316"/>
      <c r="AB3" s="316"/>
      <c r="AE3" s="313"/>
    </row>
    <row r="4" spans="1:31" s="32" customFormat="1" ht="13.8">
      <c r="A4" s="491"/>
      <c r="B4" s="481" t="s">
        <v>6</v>
      </c>
      <c r="C4" s="482">
        <f>ML_Sum!$C4</f>
        <v>1</v>
      </c>
      <c r="D4" s="483" t="str">
        <f>ML_Sum!$D4</f>
        <v>EL25_XXXX</v>
      </c>
      <c r="E4" s="488"/>
      <c r="F4" s="485">
        <f>ML_Sum!$F4</f>
        <v>0</v>
      </c>
      <c r="G4" s="490"/>
      <c r="H4"/>
      <c r="I4" s="269">
        <v>4</v>
      </c>
      <c r="J4" s="270">
        <f>ML_Sum!$J4</f>
        <v>1</v>
      </c>
      <c r="K4" s="270">
        <f>ML_Sum!$K4</f>
        <v>1</v>
      </c>
      <c r="L4" s="270">
        <f>ML_Sum!$L4</f>
        <v>1</v>
      </c>
      <c r="M4" s="270">
        <f>ML_Sum!$M4</f>
        <v>1</v>
      </c>
      <c r="N4" s="270">
        <f>ML_Sum!$N4</f>
        <v>1</v>
      </c>
      <c r="O4" s="270">
        <f>ML_Sum!$O4</f>
        <v>1</v>
      </c>
      <c r="P4"/>
      <c r="Q4" s="343">
        <f>ML_Sum!$Q4</f>
        <v>0</v>
      </c>
      <c r="R4" s="20" t="s">
        <v>8</v>
      </c>
      <c r="S4" s="344">
        <f>ML_Sum!$S4</f>
        <v>0</v>
      </c>
      <c r="T4" s="345">
        <f>ML_Sum!$T4</f>
        <v>0</v>
      </c>
      <c r="V4" s="316"/>
      <c r="W4" s="316"/>
      <c r="X4" s="316"/>
      <c r="Y4" s="316"/>
      <c r="Z4" s="316"/>
      <c r="AA4" s="316"/>
      <c r="AB4" s="316"/>
      <c r="AE4" s="314"/>
    </row>
    <row r="5" spans="1:31" s="32" customFormat="1" ht="13.8">
      <c r="A5" s="491"/>
      <c r="B5" s="481" t="s">
        <v>185</v>
      </c>
      <c r="C5" s="482">
        <f>ML_Sum!$C5</f>
        <v>1</v>
      </c>
      <c r="D5" s="483">
        <f>ML_Sum!$D5</f>
        <v>0</v>
      </c>
      <c r="E5" s="488"/>
      <c r="F5" s="485">
        <f>ML_Sum!$F5</f>
        <v>0</v>
      </c>
      <c r="G5" s="492"/>
      <c r="H5"/>
      <c r="I5" s="269">
        <v>5</v>
      </c>
      <c r="J5" s="270">
        <f>ML_Sum!$J5</f>
        <v>1</v>
      </c>
      <c r="K5" s="270">
        <f>ML_Sum!$K5</f>
        <v>1</v>
      </c>
      <c r="L5" s="270">
        <f>ML_Sum!$L5</f>
        <v>1</v>
      </c>
      <c r="M5" s="270">
        <f>ML_Sum!$M5</f>
        <v>1</v>
      </c>
      <c r="N5" s="270">
        <f>ML_Sum!$N5</f>
        <v>1</v>
      </c>
      <c r="O5" s="270">
        <f>ML_Sum!$O5</f>
        <v>1</v>
      </c>
      <c r="P5"/>
      <c r="Q5" s="343">
        <f>ML_Sum!$Q5</f>
        <v>0</v>
      </c>
      <c r="R5" s="21" t="s">
        <v>10</v>
      </c>
      <c r="S5" s="344">
        <f>ML_Sum!$S5</f>
        <v>0</v>
      </c>
      <c r="T5" s="345">
        <f>ML_Sum!$T5</f>
        <v>0</v>
      </c>
      <c r="V5" s="316"/>
      <c r="W5" s="316"/>
      <c r="X5" s="316"/>
      <c r="Y5" s="316"/>
      <c r="Z5" s="316"/>
      <c r="AA5" s="316"/>
      <c r="AB5" s="316"/>
      <c r="AE5" s="314"/>
    </row>
    <row r="6" spans="1:31" s="32" customFormat="1" ht="13.8">
      <c r="A6"/>
      <c r="B6" s="489" t="s">
        <v>9</v>
      </c>
      <c r="C6" s="482">
        <f>ML_Sum!$C6</f>
        <v>1</v>
      </c>
      <c r="D6" s="483" t="str">
        <f>ML_Sum!$D6</f>
        <v>VAT EXCL.</v>
      </c>
      <c r="E6"/>
      <c r="F6" s="485">
        <f>ML_Sum!$F6</f>
        <v>0</v>
      </c>
      <c r="G6" s="492"/>
      <c r="H6"/>
      <c r="I6" s="269">
        <v>6</v>
      </c>
      <c r="J6" s="270">
        <f>ML_Sum!$J6</f>
        <v>1</v>
      </c>
      <c r="K6" s="270">
        <f>ML_Sum!$K6</f>
        <v>1</v>
      </c>
      <c r="L6" s="270">
        <f>ML_Sum!$L6</f>
        <v>1</v>
      </c>
      <c r="M6" s="270">
        <f>ML_Sum!$M6</f>
        <v>1</v>
      </c>
      <c r="N6" s="270">
        <f>ML_Sum!$N6</f>
        <v>1</v>
      </c>
      <c r="O6" s="270">
        <f>ML_Sum!$O6</f>
        <v>1</v>
      </c>
      <c r="P6"/>
      <c r="Q6" s="343">
        <f>ML_Sum!$Q6</f>
        <v>0</v>
      </c>
      <c r="R6" s="22" t="s">
        <v>11</v>
      </c>
      <c r="S6" s="344">
        <f>ML_Sum!$S6</f>
        <v>0</v>
      </c>
      <c r="T6" s="345">
        <f>ML_Sum!$T6</f>
        <v>0</v>
      </c>
      <c r="V6" s="316"/>
      <c r="W6" s="316"/>
      <c r="X6" s="316"/>
      <c r="Y6" s="316"/>
      <c r="Z6" s="316"/>
      <c r="AA6" s="316"/>
      <c r="AB6" s="316"/>
      <c r="AE6"/>
    </row>
    <row r="7" spans="1:31" s="32" customFormat="1" ht="13.8">
      <c r="A7" s="480"/>
      <c r="B7" s="489" t="s">
        <v>12</v>
      </c>
      <c r="C7" s="482">
        <f>ML_Sum!$C7</f>
        <v>1</v>
      </c>
      <c r="D7" s="493">
        <v>39364</v>
      </c>
      <c r="E7" s="494"/>
      <c r="F7" s="485">
        <f>ML_Sum!$F7</f>
        <v>0</v>
      </c>
      <c r="G7" s="495"/>
      <c r="H7"/>
      <c r="I7" s="269">
        <v>7</v>
      </c>
      <c r="J7" s="270">
        <f>ML_Sum!$J7</f>
        <v>1</v>
      </c>
      <c r="K7" s="270">
        <f>ML_Sum!$K7</f>
        <v>1</v>
      </c>
      <c r="L7" s="270">
        <f>ML_Sum!$L7</f>
        <v>1</v>
      </c>
      <c r="M7" s="270">
        <f>ML_Sum!$M7</f>
        <v>1</v>
      </c>
      <c r="N7" s="270">
        <f>ML_Sum!$N7</f>
        <v>1</v>
      </c>
      <c r="O7" s="270">
        <f>ML_Sum!$O7</f>
        <v>0</v>
      </c>
      <c r="P7"/>
      <c r="Q7" s="343">
        <f>ML_Sum!$Q7</f>
        <v>0</v>
      </c>
      <c r="R7" s="23" t="s">
        <v>13</v>
      </c>
      <c r="S7" s="344">
        <f>ML_Sum!$S7</f>
        <v>0</v>
      </c>
      <c r="T7" s="345">
        <f>ML_Sum!$T7</f>
        <v>0</v>
      </c>
      <c r="V7" s="316"/>
      <c r="W7" s="316"/>
      <c r="X7" s="316"/>
      <c r="Y7" s="316"/>
      <c r="Z7" s="316"/>
      <c r="AA7" s="316"/>
      <c r="AB7" s="316"/>
    </row>
    <row r="8" spans="1:31" s="32" customFormat="1" ht="13.8">
      <c r="A8" s="491"/>
      <c r="B8" s="489" t="s">
        <v>14</v>
      </c>
      <c r="C8" s="482">
        <f>ML_Sum!$C8</f>
        <v>1</v>
      </c>
      <c r="D8" s="483" t="str">
        <f>ML_Sum!$D8</f>
        <v>Umut Kaymak</v>
      </c>
      <c r="E8" s="488"/>
      <c r="F8" s="485">
        <f>ML_Sum!$F8</f>
        <v>0</v>
      </c>
      <c r="G8" s="496"/>
      <c r="H8"/>
      <c r="I8" s="269">
        <v>8</v>
      </c>
      <c r="J8" s="270">
        <f>ML_Sum!$J8</f>
        <v>1</v>
      </c>
      <c r="K8" s="270">
        <f>ML_Sum!$K8</f>
        <v>1</v>
      </c>
      <c r="L8" s="270">
        <f>ML_Sum!$L8</f>
        <v>1</v>
      </c>
      <c r="M8" s="270">
        <f>ML_Sum!$M8</f>
        <v>1</v>
      </c>
      <c r="N8" s="270">
        <f>ML_Sum!$N8</f>
        <v>1</v>
      </c>
      <c r="O8" s="270">
        <f>ML_Sum!$O8</f>
        <v>0</v>
      </c>
      <c r="P8"/>
      <c r="Q8" s="343">
        <f>ML_Sum!$Q8</f>
        <v>0</v>
      </c>
      <c r="R8" s="24" t="s">
        <v>15</v>
      </c>
      <c r="S8" s="344">
        <f>ML_Sum!$S8</f>
        <v>0</v>
      </c>
      <c r="T8" s="345">
        <f>ML_Sum!$T8</f>
        <v>0</v>
      </c>
      <c r="V8" s="316"/>
      <c r="W8" s="316"/>
      <c r="X8" s="316"/>
      <c r="Y8" s="316"/>
      <c r="Z8" s="316"/>
      <c r="AA8" s="316"/>
      <c r="AB8" s="316"/>
      <c r="AE8" s="314"/>
    </row>
    <row r="9" spans="1:31" s="32" customFormat="1" ht="13.8">
      <c r="A9" s="491"/>
      <c r="B9" s="489" t="s">
        <v>262</v>
      </c>
      <c r="C9" s="482">
        <f>ML_Sum!$C9</f>
        <v>1</v>
      </c>
      <c r="D9" s="483">
        <f>ML_Sum!$D9</f>
        <v>27.46</v>
      </c>
      <c r="E9" s="488"/>
      <c r="F9" s="485">
        <f>ML_Sum!$F9</f>
        <v>0</v>
      </c>
      <c r="G9" s="496"/>
      <c r="H9"/>
      <c r="I9" s="269">
        <v>9</v>
      </c>
      <c r="J9" s="270">
        <f>ML_Sum!$J9</f>
        <v>1</v>
      </c>
      <c r="K9" s="270">
        <f>ML_Sum!$K9</f>
        <v>1</v>
      </c>
      <c r="L9" s="270">
        <f>ML_Sum!$L9</f>
        <v>1</v>
      </c>
      <c r="M9" s="270">
        <f>ML_Sum!$M9</f>
        <v>1</v>
      </c>
      <c r="N9" s="270">
        <f>ML_Sum!$N9</f>
        <v>1</v>
      </c>
      <c r="O9" s="270">
        <f>ML_Sum!$O9</f>
        <v>0</v>
      </c>
      <c r="P9"/>
      <c r="Q9" s="343">
        <f>ML_Sum!$Q9</f>
        <v>0</v>
      </c>
      <c r="R9" s="25" t="s">
        <v>16</v>
      </c>
      <c r="S9" s="344">
        <f>ML_Sum!$S9</f>
        <v>0</v>
      </c>
      <c r="T9" s="345">
        <f>ML_Sum!$T9</f>
        <v>0</v>
      </c>
      <c r="V9" s="316"/>
      <c r="W9" s="316"/>
      <c r="X9" s="316"/>
      <c r="Y9" s="316"/>
      <c r="Z9" s="316"/>
      <c r="AA9" s="316"/>
      <c r="AB9" s="316"/>
      <c r="AE9" s="314"/>
    </row>
    <row r="10" spans="1:31" s="32" customFormat="1" ht="13.8">
      <c r="A10" s="491"/>
      <c r="B10" s="480"/>
      <c r="C10" s="482">
        <f>ML_Sum!$C10</f>
        <v>1</v>
      </c>
      <c r="D10" s="480"/>
      <c r="E10" s="488"/>
      <c r="F10" s="485">
        <f>ML_Sum!$F10</f>
        <v>0</v>
      </c>
      <c r="G10" s="496"/>
      <c r="H10"/>
      <c r="I10" s="269">
        <v>10</v>
      </c>
      <c r="J10" s="270">
        <f>ML_Sum!$J10</f>
        <v>1</v>
      </c>
      <c r="K10" s="270">
        <f>ML_Sum!$K10</f>
        <v>1</v>
      </c>
      <c r="L10" s="270">
        <f>ML_Sum!$L10</f>
        <v>1</v>
      </c>
      <c r="M10" s="270">
        <f>ML_Sum!$M10</f>
        <v>1</v>
      </c>
      <c r="N10" s="270">
        <f>ML_Sum!$N10</f>
        <v>1</v>
      </c>
      <c r="O10" s="270">
        <f>ML_Sum!$O10</f>
        <v>1</v>
      </c>
      <c r="P10"/>
      <c r="Q10" s="343">
        <f>ML_Sum!$Q10</f>
        <v>0</v>
      </c>
      <c r="R10" s="26" t="s">
        <v>17</v>
      </c>
      <c r="S10" s="344">
        <f>ML_Sum!$S10</f>
        <v>0</v>
      </c>
      <c r="T10" s="345">
        <f>ML_Sum!$T10</f>
        <v>0</v>
      </c>
      <c r="V10" s="316"/>
      <c r="W10" s="316"/>
      <c r="X10" s="316"/>
      <c r="Y10" s="316"/>
      <c r="Z10" s="316"/>
      <c r="AA10" s="316"/>
      <c r="AB10" s="316"/>
      <c r="AE10" s="314"/>
    </row>
    <row r="11" spans="1:31" s="32" customFormat="1" ht="13.8">
      <c r="A11" s="491"/>
      <c r="B11" s="480"/>
      <c r="C11" s="482">
        <f>ML_Sum!$C11</f>
        <v>1</v>
      </c>
      <c r="D11" s="480"/>
      <c r="E11" s="488"/>
      <c r="F11" s="485">
        <f>ML_Sum!$F11</f>
        <v>0</v>
      </c>
      <c r="G11" s="496"/>
      <c r="H11" s="496"/>
      <c r="I11" s="480"/>
      <c r="J11" s="480"/>
      <c r="K11" s="480"/>
      <c r="L11" s="480"/>
      <c r="M11" s="480"/>
      <c r="N11" s="480"/>
      <c r="O11" s="480"/>
      <c r="P11" s="496"/>
      <c r="Q11" s="343">
        <f>ML_Sum!$Q11</f>
        <v>0</v>
      </c>
      <c r="R11" s="27" t="s">
        <v>18</v>
      </c>
      <c r="S11" s="344">
        <f>ML_Sum!$S11</f>
        <v>0</v>
      </c>
      <c r="T11" s="345">
        <f>ML_Sum!$T11</f>
        <v>0</v>
      </c>
      <c r="V11" s="316"/>
      <c r="W11" s="316"/>
      <c r="X11" s="316"/>
      <c r="Y11" s="316"/>
      <c r="Z11" s="316"/>
      <c r="AA11" s="316"/>
      <c r="AB11" s="316"/>
      <c r="AE11" s="314"/>
    </row>
    <row r="12" spans="1:31" s="32" customFormat="1" ht="13.8">
      <c r="A12" s="491"/>
      <c r="B12" s="480"/>
      <c r="C12" s="482">
        <f>ML_Sum!$C12</f>
        <v>1</v>
      </c>
      <c r="D12" s="480"/>
      <c r="E12" s="488"/>
      <c r="F12" s="485">
        <f>ML_Sum!$F12</f>
        <v>0</v>
      </c>
      <c r="G12" s="496"/>
      <c r="H12" s="496"/>
      <c r="I12" s="480"/>
      <c r="J12" s="480"/>
      <c r="K12" s="480"/>
      <c r="L12" s="480"/>
      <c r="M12" s="480"/>
      <c r="N12" s="480"/>
      <c r="O12" s="480"/>
      <c r="P12" s="496"/>
      <c r="Q12" s="343">
        <f>ML_Sum!$Q12</f>
        <v>0</v>
      </c>
      <c r="R12" s="393" t="s">
        <v>203</v>
      </c>
      <c r="S12" s="344" t="str">
        <f>ML_Sum!$S12</f>
        <v>MAT MU</v>
      </c>
      <c r="T12" s="345" t="str">
        <f>ML_Sum!$T12</f>
        <v>LAB RATE</v>
      </c>
      <c r="V12" s="316"/>
      <c r="W12" s="316"/>
      <c r="X12" s="316"/>
      <c r="Y12" s="316"/>
      <c r="Z12" s="316"/>
      <c r="AA12" s="316"/>
      <c r="AB12" s="316"/>
      <c r="AE12" s="314"/>
    </row>
    <row r="13" spans="1:31" s="32" customFormat="1" ht="14.4" thickBot="1">
      <c r="A13" s="497"/>
      <c r="B13" s="498"/>
      <c r="C13" s="499"/>
      <c r="D13" s="500"/>
      <c r="E13" s="501"/>
      <c r="F13" s="502"/>
      <c r="G13" s="503" t="s">
        <v>19</v>
      </c>
      <c r="H13" s="503" t="s">
        <v>20</v>
      </c>
      <c r="I13" s="503" t="s">
        <v>21</v>
      </c>
      <c r="J13" s="503" t="s">
        <v>22</v>
      </c>
      <c r="K13" s="503" t="s">
        <v>23</v>
      </c>
      <c r="L13" s="503" t="s">
        <v>24</v>
      </c>
      <c r="M13" s="503" t="s">
        <v>25</v>
      </c>
      <c r="N13" s="503" t="s">
        <v>26</v>
      </c>
      <c r="O13" s="503" t="s">
        <v>27</v>
      </c>
      <c r="P13" s="503" t="s">
        <v>28</v>
      </c>
      <c r="Q13" s="28" t="s">
        <v>198</v>
      </c>
      <c r="R13" s="29" t="s">
        <v>30</v>
      </c>
      <c r="S13" s="30" t="s">
        <v>31</v>
      </c>
      <c r="T13" s="31" t="s">
        <v>32</v>
      </c>
      <c r="V13" s="316"/>
      <c r="W13" s="316"/>
      <c r="X13" s="316"/>
      <c r="Y13" s="316"/>
      <c r="Z13" s="316"/>
      <c r="AA13" s="316"/>
      <c r="AB13" s="316"/>
      <c r="AE13" s="315"/>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2" thickTop="1">
      <c r="A18" s="33"/>
      <c r="B18" s="33"/>
      <c r="C18" s="33"/>
      <c r="D18" s="33"/>
      <c r="E18" s="33"/>
      <c r="F18" s="33"/>
      <c r="G18" s="33"/>
      <c r="H18" s="33"/>
      <c r="I18" s="33"/>
      <c r="J18" s="33"/>
      <c r="K18" s="33"/>
      <c r="L18" s="33"/>
      <c r="M18" s="33"/>
      <c r="N18" s="33"/>
      <c r="O18" s="35"/>
      <c r="P18" s="33"/>
      <c r="Q18" s="42" t="s">
        <v>157</v>
      </c>
      <c r="R18" s="33"/>
      <c r="S18" s="13"/>
      <c r="T18" s="33"/>
    </row>
    <row r="19" spans="1:28" s="1" customFormat="1" ht="12.6" thickBot="1">
      <c r="A19" s="90">
        <v>45</v>
      </c>
      <c r="B19" s="91">
        <f ca="1">Elec_Est!B455</f>
        <v>45</v>
      </c>
      <c r="C19" s="92"/>
      <c r="D19" s="93" t="s">
        <v>507</v>
      </c>
      <c r="E19" s="94"/>
      <c r="F19" s="94"/>
      <c r="G19" s="95"/>
      <c r="H19" s="95"/>
      <c r="I19" s="96"/>
      <c r="J19" s="95"/>
      <c r="K19" s="97" t="s">
        <v>158</v>
      </c>
      <c r="L19" s="98" t="s">
        <v>158</v>
      </c>
      <c r="M19" s="98"/>
      <c r="N19" s="98"/>
      <c r="O19" s="98"/>
      <c r="P19" s="98"/>
      <c r="Q19" s="99">
        <f ca="1">B19/A19</f>
        <v>1</v>
      </c>
      <c r="R19" s="100">
        <f ca="1">IF($B19=0,0,IF($S$1="R",ROUND(R25/$B19,2),R25/$B19))</f>
        <v>22.7</v>
      </c>
      <c r="S19" s="101"/>
      <c r="T19" s="100">
        <f ca="1">IF($B19=0,0,IF($S$1="R",ROUND(T25/$B19,2),T25/$B19))</f>
        <v>1.58</v>
      </c>
    </row>
    <row r="20" spans="1:28" s="1" customFormat="1" ht="13.8" thickTop="1">
      <c r="A20" s="43"/>
      <c r="B20" s="3"/>
      <c r="C20" s="3"/>
      <c r="D20" s="102" t="s">
        <v>159</v>
      </c>
      <c r="E20" s="3"/>
      <c r="F20" s="3"/>
      <c r="G20" s="3"/>
      <c r="H20" s="3"/>
      <c r="I20" s="3"/>
      <c r="J20" s="3"/>
      <c r="K20" s="3"/>
      <c r="L20" s="3"/>
      <c r="M20" s="3"/>
      <c r="N20" s="3"/>
      <c r="O20" s="103"/>
      <c r="P20" s="3"/>
      <c r="Q20" s="3"/>
      <c r="R20" s="3"/>
      <c r="S20" s="3"/>
      <c r="T20" s="3"/>
    </row>
    <row r="21" spans="1:28" s="649" customFormat="1">
      <c r="A21">
        <v>320</v>
      </c>
      <c r="B21" s="649" t="s">
        <v>387</v>
      </c>
      <c r="D21" s="649" t="s">
        <v>388</v>
      </c>
      <c r="G21" s="650" t="s">
        <v>389</v>
      </c>
      <c r="H21" s="651">
        <v>700</v>
      </c>
      <c r="I21" s="649" t="s">
        <v>390</v>
      </c>
      <c r="J21" s="649" t="s">
        <v>391</v>
      </c>
      <c r="O21" s="652">
        <v>1</v>
      </c>
      <c r="P21" s="653">
        <v>42213</v>
      </c>
      <c r="Q21" s="654">
        <f>0.86*2</f>
        <v>1.72</v>
      </c>
      <c r="R21" s="655">
        <f>$A21*Q21</f>
        <v>550.4</v>
      </c>
      <c r="S21" s="654">
        <v>0.18</v>
      </c>
      <c r="T21" s="656">
        <f>$A21*S21*$T$1</f>
        <v>57.599999999999994</v>
      </c>
    </row>
    <row r="22" spans="1:28" s="649" customFormat="1">
      <c r="A22">
        <v>600</v>
      </c>
      <c r="B22" s="649" t="s">
        <v>387</v>
      </c>
      <c r="D22" s="649" t="s">
        <v>508</v>
      </c>
      <c r="G22" s="650" t="s">
        <v>498</v>
      </c>
      <c r="H22" s="651">
        <v>615</v>
      </c>
      <c r="I22" s="649" t="s">
        <v>405</v>
      </c>
      <c r="K22" s="649" t="s">
        <v>461</v>
      </c>
      <c r="O22" s="652">
        <v>2</v>
      </c>
      <c r="P22" s="653">
        <v>38988</v>
      </c>
      <c r="Q22" s="654">
        <v>0.59</v>
      </c>
      <c r="R22" s="655">
        <f>$A22*Q22</f>
        <v>354</v>
      </c>
      <c r="S22" s="654">
        <v>1.4999999999999999E-2</v>
      </c>
      <c r="T22" s="656">
        <f>$A22*S22*$T$1</f>
        <v>9</v>
      </c>
    </row>
    <row r="23" spans="1:28" s="649" customFormat="1">
      <c r="A23">
        <v>300</v>
      </c>
      <c r="B23" s="649" t="s">
        <v>387</v>
      </c>
      <c r="D23" s="649" t="s">
        <v>509</v>
      </c>
      <c r="G23" s="650" t="s">
        <v>498</v>
      </c>
      <c r="H23" s="651">
        <v>615</v>
      </c>
      <c r="I23" s="649" t="s">
        <v>405</v>
      </c>
      <c r="K23" s="649" t="s">
        <v>461</v>
      </c>
      <c r="O23" s="652">
        <v>2</v>
      </c>
      <c r="P23" s="653">
        <v>38988</v>
      </c>
      <c r="Q23" s="654">
        <v>0.39</v>
      </c>
      <c r="R23" s="655">
        <f>$A23*Q23</f>
        <v>117</v>
      </c>
      <c r="S23" s="654">
        <v>1.4999999999999999E-2</v>
      </c>
      <c r="T23" s="656">
        <f>$A23*S23*$T$1</f>
        <v>4.5</v>
      </c>
    </row>
    <row r="24" spans="1:28" s="1" customFormat="1">
      <c r="A24" s="4"/>
      <c r="B24" s="3"/>
      <c r="C24" s="4" t="s">
        <v>160</v>
      </c>
      <c r="D24" s="3"/>
      <c r="E24" s="4"/>
      <c r="F24" s="2"/>
      <c r="G24" s="4"/>
      <c r="H24" s="4"/>
      <c r="I24" s="5"/>
      <c r="J24" s="4"/>
      <c r="K24" s="4"/>
      <c r="L24" s="4"/>
      <c r="M24" s="4"/>
      <c r="N24" s="4"/>
      <c r="O24" s="4"/>
      <c r="P24" s="4"/>
      <c r="Q24" s="5"/>
      <c r="R24" s="104">
        <f t="shared" ref="R24" si="0">$A24*Q24</f>
        <v>0</v>
      </c>
      <c r="S24" s="5"/>
      <c r="T24" s="105">
        <f t="shared" ref="T24" si="1">$A24*S24*$T$1</f>
        <v>0</v>
      </c>
    </row>
    <row r="25" spans="1:28" s="1" customFormat="1" ht="12.6" thickBot="1">
      <c r="A25" s="44" t="s">
        <v>145</v>
      </c>
      <c r="B25" s="45">
        <f>(R25+T25)-SUM(R20:R24,T20:T24)</f>
        <v>0</v>
      </c>
      <c r="C25" s="46"/>
      <c r="D25" s="106" t="s">
        <v>161</v>
      </c>
      <c r="E25" s="474">
        <f ca="1">IF($B19=0,0,ROUND(ROUND(($R25*$S$2+($T25*$T$2))/$B19, 2)*$C$2,2))</f>
        <v>72.69</v>
      </c>
      <c r="F25" s="475">
        <f ca="1">ROUND($B19*$E25,2)</f>
        <v>3271.05</v>
      </c>
      <c r="G25" s="46"/>
      <c r="H25" s="46"/>
      <c r="I25" s="47"/>
      <c r="J25" s="46"/>
      <c r="K25" s="107" t="s">
        <v>143</v>
      </c>
      <c r="L25" s="108" t="s">
        <v>143</v>
      </c>
      <c r="M25" s="108"/>
      <c r="N25" s="108"/>
      <c r="O25" s="108"/>
      <c r="P25" s="108"/>
      <c r="Q25" s="109"/>
      <c r="R25" s="110">
        <f>SUM(R20:R24)</f>
        <v>1021.4</v>
      </c>
      <c r="S25" s="111"/>
      <c r="T25" s="110">
        <f>SUM(T20:T24)</f>
        <v>71.099999999999994</v>
      </c>
      <c r="U25" s="433"/>
      <c r="V25" s="433"/>
      <c r="W25" s="433"/>
      <c r="X25" s="433"/>
      <c r="Y25" s="433"/>
      <c r="Z25" s="433"/>
      <c r="AA25" s="433"/>
      <c r="AB25" s="433"/>
    </row>
    <row r="26" spans="1:28" ht="13.8" thickTop="1">
      <c r="A26" s="48" t="s">
        <v>149</v>
      </c>
      <c r="B26"/>
      <c r="C26"/>
      <c r="D26"/>
      <c r="E26"/>
      <c r="F26"/>
      <c r="G26"/>
      <c r="H26"/>
      <c r="I26"/>
      <c r="J26"/>
      <c r="K26"/>
      <c r="L26"/>
      <c r="M26"/>
      <c r="N26"/>
      <c r="O26" s="112"/>
      <c r="P26"/>
      <c r="Q26"/>
      <c r="R26"/>
      <c r="S26"/>
      <c r="T26"/>
    </row>
    <row r="27" spans="1:28" ht="14.4" thickBot="1">
      <c r="A27" s="48" t="s">
        <v>149</v>
      </c>
      <c r="B27" s="1"/>
      <c r="C27" s="33"/>
      <c r="D27" s="113" t="s">
        <v>162</v>
      </c>
      <c r="E27" s="1"/>
      <c r="F27" s="3"/>
      <c r="G27" s="3"/>
      <c r="H27" s="3"/>
      <c r="I27" s="3"/>
      <c r="J27" s="3"/>
      <c r="K27" s="3"/>
      <c r="L27" s="3"/>
      <c r="M27" s="3"/>
      <c r="N27" s="3"/>
      <c r="O27" s="103"/>
      <c r="P27" s="3"/>
      <c r="Q27" s="3"/>
      <c r="R27" s="114" t="s">
        <v>34</v>
      </c>
      <c r="S27" s="115"/>
      <c r="T27" s="114" t="s">
        <v>35</v>
      </c>
    </row>
    <row r="28" spans="1:28" ht="13.8" thickTop="1">
      <c r="A28" s="48" t="s">
        <v>149</v>
      </c>
      <c r="B28" s="3"/>
      <c r="C28" s="33"/>
      <c r="D28" s="1"/>
      <c r="E28" s="1"/>
      <c r="F28" s="33"/>
      <c r="G28" s="1"/>
      <c r="H28" s="1"/>
      <c r="I28" s="1"/>
      <c r="J28" s="1"/>
      <c r="K28" s="3"/>
      <c r="L28" s="1"/>
      <c r="M28" s="1"/>
      <c r="N28" s="1"/>
      <c r="O28" s="116"/>
      <c r="P28" s="1"/>
      <c r="Q28" s="1"/>
      <c r="R28" s="1"/>
      <c r="S28" s="1"/>
      <c r="T28" s="1"/>
    </row>
    <row r="29" spans="1:28" ht="13.8" thickBot="1">
      <c r="A29" s="48" t="s">
        <v>149</v>
      </c>
      <c r="B29" s="3"/>
      <c r="C29" s="33"/>
      <c r="D29" s="52" t="s">
        <v>163</v>
      </c>
      <c r="E29" s="1"/>
      <c r="F29" s="1"/>
      <c r="G29" s="33"/>
      <c r="H29" s="33"/>
      <c r="I29" s="33"/>
      <c r="J29" s="33"/>
      <c r="K29" s="3"/>
      <c r="L29" s="117" t="s">
        <v>164</v>
      </c>
      <c r="M29" s="117"/>
      <c r="N29" s="117"/>
      <c r="O29" s="118"/>
      <c r="P29" s="117"/>
      <c r="Q29" s="33"/>
      <c r="R29" s="119">
        <f>SUMIF($L$12:$L27,"",R$12:R27)</f>
        <v>1021.4</v>
      </c>
      <c r="S29" s="120"/>
      <c r="T29" s="119">
        <f>SUMIF($L$12:$L27,"",T$12:T27)</f>
        <v>71.099999999999994</v>
      </c>
    </row>
    <row r="30" spans="1:28" ht="13.8" thickBot="1">
      <c r="A30" s="48" t="s">
        <v>149</v>
      </c>
      <c r="B30" s="3"/>
      <c r="C30" s="33"/>
      <c r="D30" s="52" t="s">
        <v>165</v>
      </c>
      <c r="E30" s="1"/>
      <c r="F30" s="3"/>
      <c r="G30" s="3"/>
      <c r="H30" s="3"/>
      <c r="I30" s="3"/>
      <c r="J30" s="3"/>
      <c r="K30" s="3"/>
      <c r="L30" s="117" t="s">
        <v>166</v>
      </c>
      <c r="M30" s="117"/>
      <c r="N30" s="117"/>
      <c r="O30" s="118"/>
      <c r="P30" s="117"/>
      <c r="Q30" s="3"/>
      <c r="R30" s="121">
        <f>SUMIF($L$12:$L27,"ITEM",R$12:R27)</f>
        <v>1021.4</v>
      </c>
      <c r="S30" s="122"/>
      <c r="T30" s="121">
        <f>SUMIF($L$12:$L27,"ITEM",T$12:T27)</f>
        <v>71.099999999999994</v>
      </c>
    </row>
    <row r="31" spans="1:28" ht="13.8" thickBot="1">
      <c r="A31" s="53" t="s">
        <v>147</v>
      </c>
      <c r="B31" s="9"/>
      <c r="C31" s="49"/>
      <c r="D31" s="9"/>
      <c r="E31" s="9"/>
      <c r="F31" s="9"/>
      <c r="G31" s="9"/>
      <c r="H31" s="9"/>
      <c r="I31" s="9"/>
      <c r="J31" s="9"/>
      <c r="K31" s="9"/>
      <c r="L31" s="9"/>
      <c r="M31" s="9"/>
      <c r="N31" s="9"/>
      <c r="O31" s="123"/>
      <c r="P31" s="9"/>
      <c r="Q31" s="9"/>
      <c r="R31" s="9"/>
      <c r="S31" s="9"/>
      <c r="T31" s="9"/>
      <c r="U31" s="72"/>
      <c r="V31" s="72"/>
      <c r="W31" s="72"/>
      <c r="X31" s="72"/>
      <c r="Y31" s="72"/>
      <c r="Z31" s="72"/>
      <c r="AA31" s="72"/>
      <c r="AB31" s="72"/>
    </row>
    <row r="32" spans="1:28" ht="13.8" thickTop="1">
      <c r="A32" s="54"/>
      <c r="B32" s="469" t="s">
        <v>71</v>
      </c>
      <c r="C32" s="6"/>
      <c r="D32" s="55"/>
      <c r="E32" s="56" t="s">
        <v>150</v>
      </c>
      <c r="F32" s="57"/>
      <c r="G32" s="57"/>
      <c r="H32" s="57"/>
      <c r="I32" s="57"/>
      <c r="J32" s="57"/>
      <c r="K32" s="57"/>
      <c r="L32" s="57"/>
      <c r="M32" s="57"/>
      <c r="N32" s="57"/>
      <c r="O32" s="58"/>
      <c r="P32" s="57"/>
      <c r="Q32" s="59"/>
      <c r="R32" s="60">
        <f>SUM(R33:R88)</f>
        <v>1021.4</v>
      </c>
      <c r="S32" s="61"/>
      <c r="T32" s="60">
        <f>SUM(T33:T88)</f>
        <v>71.099999999999994</v>
      </c>
    </row>
    <row r="33" spans="1:20" hidden="1">
      <c r="A33" s="62"/>
      <c r="B33" s="477">
        <v>1</v>
      </c>
      <c r="C33" s="6" t="s">
        <v>73</v>
      </c>
      <c r="D33" s="36" t="s">
        <v>74</v>
      </c>
      <c r="F33" s="63">
        <v>501</v>
      </c>
      <c r="O33" s="64"/>
      <c r="P33" s="36">
        <v>1</v>
      </c>
      <c r="R33" s="65">
        <f t="shared" ref="R33:R64" si="2">SUMIF($H$12:$H$26,$F33,R$12:R$26)</f>
        <v>0</v>
      </c>
      <c r="S33" s="66"/>
      <c r="T33" s="65">
        <f t="shared" ref="T33:T64" si="3">SUMIF($H$12:$H$26,$F33,T$12:T$26)</f>
        <v>0</v>
      </c>
    </row>
    <row r="34" spans="1:20" hidden="1">
      <c r="A34" s="62"/>
      <c r="B34" s="477">
        <v>2</v>
      </c>
      <c r="C34" s="6" t="s">
        <v>73</v>
      </c>
      <c r="D34" s="36" t="s">
        <v>75</v>
      </c>
      <c r="F34" s="63">
        <v>505</v>
      </c>
      <c r="O34" s="64"/>
      <c r="P34" s="36">
        <v>1</v>
      </c>
      <c r="R34" s="65">
        <f t="shared" si="2"/>
        <v>0</v>
      </c>
      <c r="S34" s="66"/>
      <c r="T34" s="65">
        <f t="shared" si="3"/>
        <v>0</v>
      </c>
    </row>
    <row r="35" spans="1:20" hidden="1">
      <c r="A35" s="62"/>
      <c r="B35" s="477">
        <v>3</v>
      </c>
      <c r="C35" s="6" t="s">
        <v>73</v>
      </c>
      <c r="D35" s="36" t="s">
        <v>76</v>
      </c>
      <c r="F35" s="63">
        <v>510</v>
      </c>
      <c r="O35" s="64"/>
      <c r="P35" s="36">
        <v>2</v>
      </c>
      <c r="R35" s="65">
        <f t="shared" si="2"/>
        <v>0</v>
      </c>
      <c r="S35" s="66"/>
      <c r="T35" s="65">
        <f t="shared" si="3"/>
        <v>0</v>
      </c>
    </row>
    <row r="36" spans="1:20" hidden="1">
      <c r="A36" s="62"/>
      <c r="B36" s="477">
        <v>4</v>
      </c>
      <c r="C36" s="6" t="s">
        <v>73</v>
      </c>
      <c r="D36" s="36" t="s">
        <v>77</v>
      </c>
      <c r="F36" s="63">
        <v>511</v>
      </c>
      <c r="O36" s="64"/>
      <c r="P36" s="36">
        <v>2</v>
      </c>
      <c r="R36" s="65">
        <f t="shared" si="2"/>
        <v>0</v>
      </c>
      <c r="S36" s="66"/>
      <c r="T36" s="65">
        <f t="shared" si="3"/>
        <v>0</v>
      </c>
    </row>
    <row r="37" spans="1:20" hidden="1">
      <c r="A37" s="62"/>
      <c r="B37" s="477">
        <v>5</v>
      </c>
      <c r="C37" s="6" t="s">
        <v>73</v>
      </c>
      <c r="D37" s="36" t="s">
        <v>78</v>
      </c>
      <c r="F37" s="63">
        <v>512</v>
      </c>
      <c r="O37" s="64"/>
      <c r="P37" s="36">
        <v>2</v>
      </c>
      <c r="R37" s="65">
        <f t="shared" si="2"/>
        <v>0</v>
      </c>
      <c r="S37" s="66"/>
      <c r="T37" s="65">
        <f t="shared" si="3"/>
        <v>0</v>
      </c>
    </row>
    <row r="38" spans="1:20" hidden="1">
      <c r="A38" s="62"/>
      <c r="B38" s="477">
        <v>6</v>
      </c>
      <c r="C38" s="6" t="s">
        <v>73</v>
      </c>
      <c r="D38" s="36" t="s">
        <v>79</v>
      </c>
      <c r="F38" s="63">
        <v>520</v>
      </c>
      <c r="O38" s="64"/>
      <c r="P38" s="36">
        <v>1</v>
      </c>
      <c r="R38" s="65">
        <f t="shared" si="2"/>
        <v>0</v>
      </c>
      <c r="S38" s="66"/>
      <c r="T38" s="65">
        <f t="shared" si="3"/>
        <v>0</v>
      </c>
    </row>
    <row r="39" spans="1:20" hidden="1">
      <c r="A39" s="62"/>
      <c r="B39" s="477">
        <v>7</v>
      </c>
      <c r="C39" s="6" t="s">
        <v>73</v>
      </c>
      <c r="D39" s="36" t="s">
        <v>80</v>
      </c>
      <c r="F39" s="63">
        <v>530</v>
      </c>
      <c r="O39" s="64"/>
      <c r="P39" s="36">
        <v>2</v>
      </c>
      <c r="R39" s="65">
        <f t="shared" si="2"/>
        <v>0</v>
      </c>
      <c r="S39" s="66"/>
      <c r="T39" s="65">
        <f t="shared" si="3"/>
        <v>0</v>
      </c>
    </row>
    <row r="40" spans="1:20" hidden="1">
      <c r="A40" s="62"/>
      <c r="B40" s="477">
        <v>8</v>
      </c>
      <c r="C40" s="6" t="s">
        <v>73</v>
      </c>
      <c r="D40" s="36" t="s">
        <v>81</v>
      </c>
      <c r="F40" s="63">
        <v>550</v>
      </c>
      <c r="O40" s="64"/>
      <c r="P40" s="36">
        <v>2</v>
      </c>
      <c r="R40" s="65">
        <f t="shared" si="2"/>
        <v>0</v>
      </c>
      <c r="S40" s="66"/>
      <c r="T40" s="65">
        <f t="shared" si="3"/>
        <v>0</v>
      </c>
    </row>
    <row r="41" spans="1:20" hidden="1">
      <c r="A41" s="62"/>
      <c r="B41" s="477">
        <v>9</v>
      </c>
      <c r="C41" s="6" t="s">
        <v>73</v>
      </c>
      <c r="D41" s="36" t="s">
        <v>82</v>
      </c>
      <c r="F41" s="63">
        <v>570</v>
      </c>
      <c r="O41" s="64"/>
      <c r="P41" s="36">
        <v>2</v>
      </c>
      <c r="R41" s="65">
        <f t="shared" si="2"/>
        <v>0</v>
      </c>
      <c r="S41" s="66"/>
      <c r="T41" s="65">
        <f t="shared" si="3"/>
        <v>0</v>
      </c>
    </row>
    <row r="42" spans="1:20">
      <c r="A42" s="62"/>
      <c r="B42" s="477">
        <v>10</v>
      </c>
      <c r="C42" s="6" t="s">
        <v>73</v>
      </c>
      <c r="D42" s="36" t="s">
        <v>83</v>
      </c>
      <c r="F42" s="63">
        <v>615</v>
      </c>
      <c r="O42" s="64"/>
      <c r="P42" s="36">
        <v>2</v>
      </c>
      <c r="R42" s="65">
        <f t="shared" si="2"/>
        <v>471</v>
      </c>
      <c r="S42" s="66"/>
      <c r="T42" s="65">
        <f t="shared" si="3"/>
        <v>13.5</v>
      </c>
    </row>
    <row r="43" spans="1:20" hidden="1">
      <c r="A43" s="62"/>
      <c r="B43" s="477">
        <v>11</v>
      </c>
      <c r="C43" s="6" t="s">
        <v>73</v>
      </c>
      <c r="D43" s="36" t="s">
        <v>85</v>
      </c>
      <c r="F43" s="63">
        <v>616</v>
      </c>
      <c r="O43" s="64"/>
      <c r="P43" s="36">
        <v>2</v>
      </c>
      <c r="R43" s="65">
        <f t="shared" si="2"/>
        <v>0</v>
      </c>
      <c r="S43" s="66"/>
      <c r="T43" s="65">
        <f t="shared" si="3"/>
        <v>0</v>
      </c>
    </row>
    <row r="44" spans="1:20" hidden="1">
      <c r="A44" s="62"/>
      <c r="B44" s="477">
        <v>12</v>
      </c>
      <c r="C44" s="6" t="s">
        <v>73</v>
      </c>
      <c r="D44" s="36" t="s">
        <v>86</v>
      </c>
      <c r="F44" s="63">
        <v>617</v>
      </c>
      <c r="O44" s="64"/>
      <c r="P44" s="36">
        <v>2</v>
      </c>
      <c r="R44" s="65">
        <f t="shared" si="2"/>
        <v>0</v>
      </c>
      <c r="S44" s="66"/>
      <c r="T44" s="65">
        <f t="shared" si="3"/>
        <v>0</v>
      </c>
    </row>
    <row r="45" spans="1:20" hidden="1">
      <c r="A45" s="62"/>
      <c r="B45" s="477">
        <v>13</v>
      </c>
      <c r="C45" s="6" t="s">
        <v>73</v>
      </c>
      <c r="D45" s="36" t="s">
        <v>151</v>
      </c>
      <c r="F45" s="63">
        <v>620</v>
      </c>
      <c r="O45" s="64"/>
      <c r="P45" s="36">
        <v>2</v>
      </c>
      <c r="R45" s="65">
        <f t="shared" si="2"/>
        <v>0</v>
      </c>
      <c r="S45" s="66"/>
      <c r="T45" s="65">
        <f t="shared" si="3"/>
        <v>0</v>
      </c>
    </row>
    <row r="46" spans="1:20" hidden="1">
      <c r="A46" s="62"/>
      <c r="B46" s="477">
        <v>14</v>
      </c>
      <c r="C46" s="6" t="s">
        <v>73</v>
      </c>
      <c r="D46" s="36" t="s">
        <v>88</v>
      </c>
      <c r="F46" s="63">
        <v>650</v>
      </c>
      <c r="O46" s="64"/>
      <c r="P46" s="36">
        <v>1</v>
      </c>
      <c r="R46" s="65">
        <f t="shared" si="2"/>
        <v>0</v>
      </c>
      <c r="S46" s="66"/>
      <c r="T46" s="65">
        <f t="shared" si="3"/>
        <v>0</v>
      </c>
    </row>
    <row r="47" spans="1:20" hidden="1">
      <c r="A47" s="62"/>
      <c r="B47" s="477">
        <v>15</v>
      </c>
      <c r="C47" s="6" t="s">
        <v>73</v>
      </c>
      <c r="D47" s="36" t="s">
        <v>89</v>
      </c>
      <c r="F47" s="63">
        <v>651</v>
      </c>
      <c r="O47" s="64"/>
      <c r="P47" s="36">
        <v>1</v>
      </c>
      <c r="R47" s="65">
        <f t="shared" si="2"/>
        <v>0</v>
      </c>
      <c r="S47" s="66"/>
      <c r="T47" s="65">
        <f t="shared" si="3"/>
        <v>0</v>
      </c>
    </row>
    <row r="48" spans="1:20" hidden="1">
      <c r="A48" s="62"/>
      <c r="B48" s="477">
        <v>16</v>
      </c>
      <c r="C48" s="6" t="s">
        <v>73</v>
      </c>
      <c r="D48" s="36" t="s">
        <v>90</v>
      </c>
      <c r="F48" s="63">
        <v>652</v>
      </c>
      <c r="O48" s="64"/>
      <c r="P48" s="36">
        <v>1</v>
      </c>
      <c r="R48" s="65">
        <f t="shared" si="2"/>
        <v>0</v>
      </c>
      <c r="S48" s="66"/>
      <c r="T48" s="65">
        <f t="shared" si="3"/>
        <v>0</v>
      </c>
    </row>
    <row r="49" spans="1:20" hidden="1">
      <c r="A49" s="62"/>
      <c r="B49" s="477">
        <v>17</v>
      </c>
      <c r="C49" s="6" t="s">
        <v>73</v>
      </c>
      <c r="D49" s="36" t="s">
        <v>91</v>
      </c>
      <c r="F49" s="63">
        <v>654</v>
      </c>
      <c r="O49" s="64"/>
      <c r="P49" s="36">
        <v>1</v>
      </c>
      <c r="R49" s="65">
        <f t="shared" si="2"/>
        <v>0</v>
      </c>
      <c r="S49" s="66"/>
      <c r="T49" s="65">
        <f t="shared" si="3"/>
        <v>0</v>
      </c>
    </row>
    <row r="50" spans="1:20" hidden="1">
      <c r="A50" s="62"/>
      <c r="B50" s="477">
        <v>18</v>
      </c>
      <c r="C50" s="6" t="s">
        <v>73</v>
      </c>
      <c r="D50" s="36" t="s">
        <v>92</v>
      </c>
      <c r="F50" s="63">
        <v>675</v>
      </c>
      <c r="O50" s="64"/>
      <c r="P50" s="36">
        <v>1</v>
      </c>
      <c r="R50" s="65">
        <f t="shared" si="2"/>
        <v>0</v>
      </c>
      <c r="S50" s="66"/>
      <c r="T50" s="65">
        <f t="shared" si="3"/>
        <v>0</v>
      </c>
    </row>
    <row r="51" spans="1:20" hidden="1">
      <c r="A51" s="62"/>
      <c r="B51" s="477">
        <v>19</v>
      </c>
      <c r="C51" s="6" t="s">
        <v>73</v>
      </c>
      <c r="D51" s="36" t="s">
        <v>93</v>
      </c>
      <c r="F51" s="63">
        <v>676</v>
      </c>
      <c r="O51" s="64"/>
      <c r="P51" s="36">
        <v>1</v>
      </c>
      <c r="R51" s="65">
        <f t="shared" si="2"/>
        <v>0</v>
      </c>
      <c r="S51" s="66"/>
      <c r="T51" s="65">
        <f t="shared" si="3"/>
        <v>0</v>
      </c>
    </row>
    <row r="52" spans="1:20" hidden="1">
      <c r="A52" s="62"/>
      <c r="B52" s="477">
        <v>20</v>
      </c>
      <c r="C52" s="6" t="s">
        <v>73</v>
      </c>
      <c r="D52" s="36" t="s">
        <v>94</v>
      </c>
      <c r="F52" s="63">
        <v>680</v>
      </c>
      <c r="O52" s="64"/>
      <c r="P52" s="36">
        <v>1</v>
      </c>
      <c r="R52" s="65">
        <f t="shared" si="2"/>
        <v>0</v>
      </c>
      <c r="S52" s="66"/>
      <c r="T52" s="65">
        <f t="shared" si="3"/>
        <v>0</v>
      </c>
    </row>
    <row r="53" spans="1:20" hidden="1">
      <c r="A53" s="62"/>
      <c r="B53" s="477">
        <v>21</v>
      </c>
      <c r="C53" s="6" t="s">
        <v>73</v>
      </c>
      <c r="D53" s="36" t="s">
        <v>96</v>
      </c>
      <c r="F53" s="63">
        <v>681</v>
      </c>
      <c r="O53" s="64"/>
      <c r="P53" s="36">
        <v>1</v>
      </c>
      <c r="R53" s="65">
        <f t="shared" si="2"/>
        <v>0</v>
      </c>
      <c r="S53" s="66"/>
      <c r="T53" s="65">
        <f t="shared" si="3"/>
        <v>0</v>
      </c>
    </row>
    <row r="54" spans="1:20" hidden="1">
      <c r="A54" s="62"/>
      <c r="B54" s="477">
        <v>22</v>
      </c>
      <c r="C54" s="6" t="s">
        <v>73</v>
      </c>
      <c r="D54" s="36" t="s">
        <v>97</v>
      </c>
      <c r="F54" s="63">
        <v>690</v>
      </c>
      <c r="O54" s="64"/>
      <c r="P54" s="36">
        <v>1</v>
      </c>
      <c r="R54" s="65">
        <f t="shared" si="2"/>
        <v>0</v>
      </c>
      <c r="S54" s="66"/>
      <c r="T54" s="65">
        <f t="shared" si="3"/>
        <v>0</v>
      </c>
    </row>
    <row r="55" spans="1:20">
      <c r="A55" s="62"/>
      <c r="B55" s="477">
        <v>23</v>
      </c>
      <c r="C55" s="6" t="s">
        <v>73</v>
      </c>
      <c r="D55" s="36" t="s">
        <v>98</v>
      </c>
      <c r="F55" s="63">
        <v>700</v>
      </c>
      <c r="O55" s="64"/>
      <c r="P55" s="36">
        <v>1</v>
      </c>
      <c r="R55" s="65">
        <f t="shared" si="2"/>
        <v>550.4</v>
      </c>
      <c r="S55" s="66"/>
      <c r="T55" s="65">
        <f t="shared" si="3"/>
        <v>57.599999999999994</v>
      </c>
    </row>
    <row r="56" spans="1:20" hidden="1">
      <c r="A56" s="62"/>
      <c r="B56" s="477">
        <v>24</v>
      </c>
      <c r="C56" s="6" t="s">
        <v>73</v>
      </c>
      <c r="D56" s="36" t="s">
        <v>99</v>
      </c>
      <c r="F56" s="63">
        <v>705</v>
      </c>
      <c r="O56" s="64"/>
      <c r="P56" s="36">
        <v>3</v>
      </c>
      <c r="R56" s="65">
        <f t="shared" si="2"/>
        <v>0</v>
      </c>
      <c r="S56" s="66"/>
      <c r="T56" s="65">
        <f t="shared" si="3"/>
        <v>0</v>
      </c>
    </row>
    <row r="57" spans="1:20" hidden="1">
      <c r="A57" s="62"/>
      <c r="B57" s="477">
        <v>25</v>
      </c>
      <c r="C57" s="6" t="s">
        <v>73</v>
      </c>
      <c r="D57" s="36" t="s">
        <v>100</v>
      </c>
      <c r="F57" s="63">
        <v>706</v>
      </c>
      <c r="O57" s="64"/>
      <c r="P57" s="36">
        <v>3</v>
      </c>
      <c r="R57" s="65">
        <f t="shared" si="2"/>
        <v>0</v>
      </c>
      <c r="S57" s="66"/>
      <c r="T57" s="65">
        <f t="shared" si="3"/>
        <v>0</v>
      </c>
    </row>
    <row r="58" spans="1:20" hidden="1">
      <c r="A58" s="62"/>
      <c r="B58" s="477">
        <v>26</v>
      </c>
      <c r="C58" s="6" t="s">
        <v>73</v>
      </c>
      <c r="D58" s="36" t="s">
        <v>101</v>
      </c>
      <c r="F58" s="63">
        <v>725</v>
      </c>
      <c r="O58" s="64"/>
      <c r="P58" s="36">
        <v>3</v>
      </c>
      <c r="R58" s="65">
        <f t="shared" si="2"/>
        <v>0</v>
      </c>
      <c r="S58" s="66"/>
      <c r="T58" s="65">
        <f t="shared" si="3"/>
        <v>0</v>
      </c>
    </row>
    <row r="59" spans="1:20" hidden="1">
      <c r="A59" s="62"/>
      <c r="B59" s="477">
        <v>27</v>
      </c>
      <c r="C59" s="6" t="s">
        <v>73</v>
      </c>
      <c r="D59" s="36" t="s">
        <v>102</v>
      </c>
      <c r="F59" s="63">
        <v>726</v>
      </c>
      <c r="O59" s="64"/>
      <c r="P59" s="36">
        <v>3</v>
      </c>
      <c r="R59" s="65">
        <f t="shared" si="2"/>
        <v>0</v>
      </c>
      <c r="S59" s="66"/>
      <c r="T59" s="65">
        <f t="shared" si="3"/>
        <v>0</v>
      </c>
    </row>
    <row r="60" spans="1:20" hidden="1">
      <c r="A60" s="62"/>
      <c r="B60" s="477">
        <v>28</v>
      </c>
      <c r="C60" s="6" t="s">
        <v>73</v>
      </c>
      <c r="D60" s="36" t="s">
        <v>103</v>
      </c>
      <c r="F60" s="63">
        <v>750</v>
      </c>
      <c r="O60" s="64"/>
      <c r="P60" s="36">
        <v>3</v>
      </c>
      <c r="R60" s="65">
        <f t="shared" si="2"/>
        <v>0</v>
      </c>
      <c r="S60" s="66"/>
      <c r="T60" s="65">
        <f t="shared" si="3"/>
        <v>0</v>
      </c>
    </row>
    <row r="61" spans="1:20" hidden="1">
      <c r="A61" s="62"/>
      <c r="B61" s="477">
        <v>29</v>
      </c>
      <c r="C61" s="6" t="s">
        <v>73</v>
      </c>
      <c r="D61" s="36" t="s">
        <v>104</v>
      </c>
      <c r="F61" s="63">
        <v>751</v>
      </c>
      <c r="O61" s="64"/>
      <c r="P61" s="36">
        <v>3</v>
      </c>
      <c r="R61" s="65">
        <f t="shared" si="2"/>
        <v>0</v>
      </c>
      <c r="S61" s="66"/>
      <c r="T61" s="65">
        <f t="shared" si="3"/>
        <v>0</v>
      </c>
    </row>
    <row r="62" spans="1:20" hidden="1">
      <c r="A62" s="62"/>
      <c r="B62" s="477">
        <v>30</v>
      </c>
      <c r="C62" s="6" t="s">
        <v>73</v>
      </c>
      <c r="D62" s="36" t="s">
        <v>105</v>
      </c>
      <c r="F62" s="63">
        <v>752</v>
      </c>
      <c r="O62" s="64"/>
      <c r="P62" s="36">
        <v>3</v>
      </c>
      <c r="R62" s="65">
        <f t="shared" si="2"/>
        <v>0</v>
      </c>
      <c r="S62" s="66"/>
      <c r="T62" s="65">
        <f t="shared" si="3"/>
        <v>0</v>
      </c>
    </row>
    <row r="63" spans="1:20" hidden="1">
      <c r="A63" s="62"/>
      <c r="B63" s="477">
        <v>31</v>
      </c>
      <c r="C63" s="6" t="s">
        <v>73</v>
      </c>
      <c r="D63" s="590" t="s">
        <v>263</v>
      </c>
      <c r="F63" s="63">
        <v>753</v>
      </c>
      <c r="O63" s="64"/>
      <c r="P63" s="36">
        <v>3</v>
      </c>
      <c r="R63" s="65">
        <f t="shared" si="2"/>
        <v>0</v>
      </c>
      <c r="S63" s="66"/>
      <c r="T63" s="65">
        <f t="shared" si="3"/>
        <v>0</v>
      </c>
    </row>
    <row r="64" spans="1:20" hidden="1">
      <c r="A64" s="62"/>
      <c r="B64" s="477">
        <v>32</v>
      </c>
      <c r="C64" s="6" t="s">
        <v>73</v>
      </c>
      <c r="D64" s="36" t="s">
        <v>107</v>
      </c>
      <c r="F64" s="63">
        <v>770</v>
      </c>
      <c r="O64" s="64"/>
      <c r="P64" s="36">
        <v>3</v>
      </c>
      <c r="R64" s="65">
        <f t="shared" si="2"/>
        <v>0</v>
      </c>
      <c r="S64" s="66"/>
      <c r="T64" s="65">
        <f t="shared" si="3"/>
        <v>0</v>
      </c>
    </row>
    <row r="65" spans="1:20" hidden="1">
      <c r="A65" s="62"/>
      <c r="B65" s="477">
        <v>33</v>
      </c>
      <c r="C65" s="6" t="s">
        <v>73</v>
      </c>
      <c r="D65" s="36" t="s">
        <v>108</v>
      </c>
      <c r="F65" s="63">
        <v>790</v>
      </c>
      <c r="O65" s="64"/>
      <c r="P65" s="36">
        <v>3</v>
      </c>
      <c r="R65" s="65">
        <f t="shared" ref="R65:R88" si="4">SUMIF($H$12:$H$26,$F65,R$12:R$26)</f>
        <v>0</v>
      </c>
      <c r="S65" s="66"/>
      <c r="T65" s="65">
        <f t="shared" ref="T65:T88" si="5">SUMIF($H$12:$H$26,$F65,T$12:T$26)</f>
        <v>0</v>
      </c>
    </row>
    <row r="66" spans="1:20" hidden="1">
      <c r="A66" s="62"/>
      <c r="B66" s="477">
        <v>34</v>
      </c>
      <c r="C66" s="6" t="s">
        <v>73</v>
      </c>
      <c r="D66" s="36" t="s">
        <v>109</v>
      </c>
      <c r="F66" s="63">
        <v>791</v>
      </c>
      <c r="O66" s="64"/>
      <c r="P66" s="36">
        <v>3</v>
      </c>
      <c r="R66" s="65">
        <f t="shared" si="4"/>
        <v>0</v>
      </c>
      <c r="S66" s="66"/>
      <c r="T66" s="65">
        <f t="shared" si="5"/>
        <v>0</v>
      </c>
    </row>
    <row r="67" spans="1:20" hidden="1">
      <c r="A67" s="62"/>
      <c r="B67" s="477">
        <v>35</v>
      </c>
      <c r="C67" s="6" t="s">
        <v>73</v>
      </c>
      <c r="D67" s="36" t="s">
        <v>110</v>
      </c>
      <c r="F67" s="63">
        <v>810</v>
      </c>
      <c r="O67" s="64"/>
      <c r="P67" s="36">
        <v>3</v>
      </c>
      <c r="R67" s="65">
        <f t="shared" si="4"/>
        <v>0</v>
      </c>
      <c r="S67" s="66"/>
      <c r="T67" s="65">
        <f t="shared" si="5"/>
        <v>0</v>
      </c>
    </row>
    <row r="68" spans="1:20" hidden="1">
      <c r="A68" s="62"/>
      <c r="B68" s="477">
        <v>36</v>
      </c>
      <c r="C68" s="6" t="s">
        <v>73</v>
      </c>
      <c r="D68" s="36" t="s">
        <v>111</v>
      </c>
      <c r="F68" s="63">
        <v>815</v>
      </c>
      <c r="O68" s="64"/>
      <c r="P68" s="36">
        <v>3</v>
      </c>
      <c r="R68" s="65">
        <f t="shared" si="4"/>
        <v>0</v>
      </c>
      <c r="S68" s="66"/>
      <c r="T68" s="65">
        <f t="shared" si="5"/>
        <v>0</v>
      </c>
    </row>
    <row r="69" spans="1:20" hidden="1">
      <c r="A69" s="62"/>
      <c r="B69" s="477">
        <v>37</v>
      </c>
      <c r="C69" s="6" t="s">
        <v>73</v>
      </c>
      <c r="D69" s="36" t="s">
        <v>112</v>
      </c>
      <c r="F69" s="63">
        <v>820</v>
      </c>
      <c r="O69" s="64"/>
      <c r="P69" s="36">
        <v>2</v>
      </c>
      <c r="R69" s="65">
        <f t="shared" si="4"/>
        <v>0</v>
      </c>
      <c r="S69" s="66"/>
      <c r="T69" s="65">
        <f t="shared" si="5"/>
        <v>0</v>
      </c>
    </row>
    <row r="70" spans="1:20" hidden="1">
      <c r="A70" s="62"/>
      <c r="B70" s="477">
        <v>38</v>
      </c>
      <c r="C70" s="6" t="s">
        <v>73</v>
      </c>
      <c r="D70" s="36" t="s">
        <v>113</v>
      </c>
      <c r="F70" s="63">
        <v>821</v>
      </c>
      <c r="O70" s="64"/>
      <c r="P70" s="36">
        <v>3</v>
      </c>
      <c r="R70" s="65">
        <f t="shared" si="4"/>
        <v>0</v>
      </c>
      <c r="S70" s="66"/>
      <c r="T70" s="65">
        <f t="shared" si="5"/>
        <v>0</v>
      </c>
    </row>
    <row r="71" spans="1:20" hidden="1">
      <c r="A71" s="62"/>
      <c r="B71" s="477">
        <v>39</v>
      </c>
      <c r="C71" s="6" t="s">
        <v>73</v>
      </c>
      <c r="D71" s="36" t="s">
        <v>114</v>
      </c>
      <c r="F71" s="63">
        <v>835</v>
      </c>
      <c r="O71" s="64"/>
      <c r="P71" s="36">
        <v>3</v>
      </c>
      <c r="R71" s="65">
        <f t="shared" si="4"/>
        <v>0</v>
      </c>
      <c r="S71" s="66"/>
      <c r="T71" s="65">
        <f t="shared" si="5"/>
        <v>0</v>
      </c>
    </row>
    <row r="72" spans="1:20" hidden="1">
      <c r="A72" s="62"/>
      <c r="B72" s="477">
        <v>40</v>
      </c>
      <c r="C72" s="6" t="s">
        <v>73</v>
      </c>
      <c r="D72" s="36" t="s">
        <v>115</v>
      </c>
      <c r="F72" s="63">
        <v>845</v>
      </c>
      <c r="O72" s="64"/>
      <c r="P72" s="36">
        <v>2</v>
      </c>
      <c r="R72" s="65">
        <f t="shared" si="4"/>
        <v>0</v>
      </c>
      <c r="S72" s="66"/>
      <c r="T72" s="65">
        <f t="shared" si="5"/>
        <v>0</v>
      </c>
    </row>
    <row r="73" spans="1:20" hidden="1">
      <c r="A73" s="62"/>
      <c r="B73" s="477">
        <v>41</v>
      </c>
      <c r="C73" s="6" t="s">
        <v>73</v>
      </c>
      <c r="D73" s="36" t="s">
        <v>117</v>
      </c>
      <c r="F73" s="63">
        <v>855</v>
      </c>
      <c r="O73" s="64"/>
      <c r="P73" s="36">
        <v>3</v>
      </c>
      <c r="R73" s="65">
        <f t="shared" si="4"/>
        <v>0</v>
      </c>
      <c r="S73" s="66"/>
      <c r="T73" s="65">
        <f t="shared" si="5"/>
        <v>0</v>
      </c>
    </row>
    <row r="74" spans="1:20" hidden="1">
      <c r="A74" s="62"/>
      <c r="B74" s="477">
        <v>42</v>
      </c>
      <c r="C74" s="6" t="s">
        <v>73</v>
      </c>
      <c r="D74" s="36" t="s">
        <v>118</v>
      </c>
      <c r="F74" s="63">
        <v>856</v>
      </c>
      <c r="O74" s="64"/>
      <c r="P74" s="36">
        <v>3</v>
      </c>
      <c r="R74" s="65">
        <f t="shared" si="4"/>
        <v>0</v>
      </c>
      <c r="S74" s="66"/>
      <c r="T74" s="65">
        <f t="shared" si="5"/>
        <v>0</v>
      </c>
    </row>
    <row r="75" spans="1:20" hidden="1">
      <c r="A75" s="62"/>
      <c r="B75" s="477">
        <v>43</v>
      </c>
      <c r="C75" s="6" t="s">
        <v>73</v>
      </c>
      <c r="D75" s="36" t="s">
        <v>244</v>
      </c>
      <c r="F75" s="63">
        <v>857</v>
      </c>
      <c r="O75" s="64"/>
      <c r="P75" s="36">
        <v>3</v>
      </c>
      <c r="R75" s="65">
        <f t="shared" si="4"/>
        <v>0</v>
      </c>
      <c r="S75" s="66"/>
      <c r="T75" s="65">
        <f t="shared" si="5"/>
        <v>0</v>
      </c>
    </row>
    <row r="76" spans="1:20" hidden="1">
      <c r="A76" s="62"/>
      <c r="B76" s="477">
        <v>44</v>
      </c>
      <c r="C76" s="6" t="s">
        <v>73</v>
      </c>
      <c r="D76" s="36" t="s">
        <v>119</v>
      </c>
      <c r="F76" s="63">
        <v>858</v>
      </c>
      <c r="O76" s="64"/>
      <c r="P76" s="36">
        <v>3</v>
      </c>
      <c r="R76" s="65">
        <f t="shared" si="4"/>
        <v>0</v>
      </c>
      <c r="S76" s="66"/>
      <c r="T76" s="65">
        <f t="shared" si="5"/>
        <v>0</v>
      </c>
    </row>
    <row r="77" spans="1:20" hidden="1">
      <c r="A77" s="62"/>
      <c r="B77" s="477">
        <v>45</v>
      </c>
      <c r="C77" s="6" t="s">
        <v>73</v>
      </c>
      <c r="D77" s="36" t="s">
        <v>120</v>
      </c>
      <c r="F77" s="63">
        <v>865</v>
      </c>
      <c r="O77" s="64"/>
      <c r="P77" s="36">
        <v>3</v>
      </c>
      <c r="R77" s="65">
        <f t="shared" si="4"/>
        <v>0</v>
      </c>
      <c r="S77" s="66"/>
      <c r="T77" s="65">
        <f t="shared" si="5"/>
        <v>0</v>
      </c>
    </row>
    <row r="78" spans="1:20" hidden="1">
      <c r="A78" s="62"/>
      <c r="B78" s="477">
        <v>46</v>
      </c>
      <c r="C78" s="6" t="s">
        <v>73</v>
      </c>
      <c r="D78" s="36" t="s">
        <v>121</v>
      </c>
      <c r="F78" s="63">
        <v>870</v>
      </c>
      <c r="O78" s="64"/>
      <c r="P78" s="36">
        <v>4</v>
      </c>
      <c r="R78" s="65">
        <f t="shared" si="4"/>
        <v>0</v>
      </c>
      <c r="S78" s="66"/>
      <c r="T78" s="65">
        <f t="shared" si="5"/>
        <v>0</v>
      </c>
    </row>
    <row r="79" spans="1:20" hidden="1">
      <c r="A79" s="62"/>
      <c r="B79" s="477">
        <v>47</v>
      </c>
      <c r="C79" s="6" t="s">
        <v>73</v>
      </c>
      <c r="D79" s="36" t="s">
        <v>122</v>
      </c>
      <c r="F79" s="63">
        <v>875</v>
      </c>
      <c r="O79" s="64"/>
      <c r="P79" s="36">
        <v>1</v>
      </c>
      <c r="R79" s="65">
        <f t="shared" si="4"/>
        <v>0</v>
      </c>
      <c r="S79" s="66"/>
      <c r="T79" s="65">
        <f t="shared" si="5"/>
        <v>0</v>
      </c>
    </row>
    <row r="80" spans="1:20" hidden="1">
      <c r="A80" s="62"/>
      <c r="B80" s="477">
        <v>48</v>
      </c>
      <c r="C80" s="6" t="s">
        <v>73</v>
      </c>
      <c r="D80" s="36" t="s">
        <v>123</v>
      </c>
      <c r="F80" s="63">
        <v>880</v>
      </c>
      <c r="O80" s="64"/>
      <c r="P80" s="36">
        <v>3</v>
      </c>
      <c r="R80" s="65">
        <f t="shared" si="4"/>
        <v>0</v>
      </c>
      <c r="S80" s="66"/>
      <c r="T80" s="65">
        <f t="shared" si="5"/>
        <v>0</v>
      </c>
    </row>
    <row r="81" spans="1:28" hidden="1">
      <c r="A81" s="62"/>
      <c r="B81" s="477">
        <v>49</v>
      </c>
      <c r="C81" s="6" t="s">
        <v>73</v>
      </c>
      <c r="D81" s="36" t="s">
        <v>124</v>
      </c>
      <c r="F81" s="63">
        <v>885</v>
      </c>
      <c r="O81" s="64"/>
      <c r="P81" s="36">
        <v>4</v>
      </c>
      <c r="R81" s="65">
        <f t="shared" si="4"/>
        <v>0</v>
      </c>
      <c r="S81" s="66"/>
      <c r="T81" s="65">
        <f t="shared" si="5"/>
        <v>0</v>
      </c>
    </row>
    <row r="82" spans="1:28" hidden="1">
      <c r="A82" s="62"/>
      <c r="B82" s="477">
        <v>50</v>
      </c>
      <c r="C82" s="6" t="s">
        <v>73</v>
      </c>
      <c r="D82" s="36" t="s">
        <v>68</v>
      </c>
      <c r="F82" s="63">
        <v>900</v>
      </c>
      <c r="O82" s="64"/>
      <c r="P82" s="36">
        <v>3</v>
      </c>
      <c r="R82" s="65">
        <f t="shared" si="4"/>
        <v>0</v>
      </c>
      <c r="S82" s="66"/>
      <c r="T82" s="65">
        <f t="shared" si="5"/>
        <v>0</v>
      </c>
    </row>
    <row r="83" spans="1:28" hidden="1">
      <c r="A83" s="62"/>
      <c r="B83" s="477">
        <v>51</v>
      </c>
      <c r="C83" s="6" t="s">
        <v>73</v>
      </c>
      <c r="D83" s="36" t="s">
        <v>126</v>
      </c>
      <c r="F83" s="63">
        <v>901</v>
      </c>
      <c r="O83" s="64"/>
      <c r="P83" s="36">
        <v>1</v>
      </c>
      <c r="R83" s="65">
        <f t="shared" si="4"/>
        <v>0</v>
      </c>
      <c r="S83" s="66"/>
      <c r="T83" s="65">
        <f t="shared" si="5"/>
        <v>0</v>
      </c>
    </row>
    <row r="84" spans="1:28" hidden="1">
      <c r="A84" s="62"/>
      <c r="B84" s="477">
        <v>52</v>
      </c>
      <c r="C84" s="6" t="s">
        <v>73</v>
      </c>
      <c r="D84" s="36" t="s">
        <v>127</v>
      </c>
      <c r="F84" s="63">
        <v>902</v>
      </c>
      <c r="O84" s="64"/>
      <c r="P84" s="36">
        <v>3</v>
      </c>
      <c r="R84" s="65">
        <f t="shared" si="4"/>
        <v>0</v>
      </c>
      <c r="S84" s="66"/>
      <c r="T84" s="65">
        <f t="shared" si="5"/>
        <v>0</v>
      </c>
    </row>
    <row r="85" spans="1:28" hidden="1">
      <c r="A85" s="62"/>
      <c r="B85" s="477">
        <v>53</v>
      </c>
      <c r="C85" s="6" t="s">
        <v>73</v>
      </c>
      <c r="D85" s="67" t="s">
        <v>128</v>
      </c>
      <c r="F85" s="63">
        <v>960</v>
      </c>
      <c r="O85" s="64"/>
      <c r="P85" s="36">
        <v>4</v>
      </c>
      <c r="R85" s="65">
        <f t="shared" si="4"/>
        <v>0</v>
      </c>
      <c r="S85" s="66"/>
      <c r="T85" s="65">
        <f t="shared" si="5"/>
        <v>0</v>
      </c>
    </row>
    <row r="86" spans="1:28" hidden="1">
      <c r="A86" s="62"/>
      <c r="B86" s="477">
        <v>54</v>
      </c>
      <c r="C86" s="6" t="s">
        <v>73</v>
      </c>
      <c r="D86" s="67" t="s">
        <v>129</v>
      </c>
      <c r="F86" s="63">
        <v>961</v>
      </c>
      <c r="O86" s="64"/>
      <c r="P86" s="36">
        <v>3</v>
      </c>
      <c r="R86" s="65">
        <f t="shared" si="4"/>
        <v>0</v>
      </c>
      <c r="S86" s="66"/>
      <c r="T86" s="65">
        <f t="shared" si="5"/>
        <v>0</v>
      </c>
    </row>
    <row r="87" spans="1:28" hidden="1">
      <c r="A87" s="62"/>
      <c r="B87" s="477">
        <v>55</v>
      </c>
      <c r="C87" s="6" t="s">
        <v>73</v>
      </c>
      <c r="D87" s="67" t="s">
        <v>130</v>
      </c>
      <c r="F87" s="63">
        <v>962</v>
      </c>
      <c r="O87" s="64"/>
      <c r="P87" s="36">
        <v>1</v>
      </c>
      <c r="R87" s="65">
        <f t="shared" si="4"/>
        <v>0</v>
      </c>
      <c r="S87" s="66"/>
      <c r="T87" s="65">
        <f t="shared" si="5"/>
        <v>0</v>
      </c>
    </row>
    <row r="88" spans="1:28" hidden="1">
      <c r="A88" s="62"/>
      <c r="B88" s="477">
        <v>56</v>
      </c>
      <c r="C88" s="6" t="s">
        <v>73</v>
      </c>
      <c r="D88" s="67" t="s">
        <v>131</v>
      </c>
      <c r="F88" s="63">
        <v>970</v>
      </c>
      <c r="O88" s="64"/>
      <c r="P88" s="36">
        <v>4</v>
      </c>
      <c r="R88" s="65">
        <f t="shared" si="4"/>
        <v>0</v>
      </c>
      <c r="S88" s="66"/>
      <c r="T88" s="65">
        <f t="shared" si="5"/>
        <v>0</v>
      </c>
    </row>
    <row r="89" spans="1:28" ht="13.8" thickBot="1">
      <c r="A89" s="68"/>
      <c r="B89" s="69"/>
      <c r="C89" s="70"/>
      <c r="D89" s="71"/>
      <c r="E89" s="72"/>
      <c r="F89" s="73"/>
      <c r="G89" s="72"/>
      <c r="H89" s="72"/>
      <c r="I89" s="72"/>
      <c r="J89" s="72"/>
      <c r="K89" s="72"/>
      <c r="L89" s="72"/>
      <c r="M89" s="72"/>
      <c r="N89" s="72"/>
      <c r="O89" s="74"/>
      <c r="P89" s="72"/>
      <c r="Q89" s="72"/>
      <c r="R89" s="75"/>
      <c r="S89" s="76"/>
      <c r="T89" s="75"/>
      <c r="U89" s="72"/>
      <c r="V89" s="72"/>
      <c r="W89" s="72"/>
      <c r="X89" s="72"/>
      <c r="Y89" s="72"/>
      <c r="Z89" s="72"/>
      <c r="AA89" s="72"/>
      <c r="AB89" s="72"/>
    </row>
    <row r="90" spans="1:28" ht="13.8" thickTop="1">
      <c r="A90" s="62"/>
      <c r="B90" s="77"/>
      <c r="C90" s="6" t="s">
        <v>73</v>
      </c>
      <c r="D90" s="78"/>
      <c r="F90" s="79" t="s">
        <v>152</v>
      </c>
      <c r="G90" s="80"/>
      <c r="H90" s="36">
        <v>1</v>
      </c>
      <c r="O90" s="64"/>
      <c r="R90" s="65">
        <f>SUMIF($P33:$P88,1,R33:R88)</f>
        <v>550.4</v>
      </c>
      <c r="T90" s="65">
        <f>SUMIF($P33:$P88,1,T33:T88)</f>
        <v>57.599999999999994</v>
      </c>
    </row>
    <row r="91" spans="1:28">
      <c r="A91" s="62"/>
      <c r="B91" s="77"/>
      <c r="C91" s="6" t="s">
        <v>73</v>
      </c>
      <c r="D91" s="78"/>
      <c r="F91" s="79" t="s">
        <v>153</v>
      </c>
      <c r="G91" s="80"/>
      <c r="H91" s="36">
        <v>2</v>
      </c>
      <c r="O91" s="64"/>
      <c r="R91" s="65">
        <f>SUMIF($P33:$P88,2,R33:R88)</f>
        <v>471</v>
      </c>
      <c r="T91" s="65">
        <f>SUMIF($P33:$P88,2,T33:T88)</f>
        <v>13.5</v>
      </c>
    </row>
    <row r="92" spans="1:28" hidden="1">
      <c r="A92" s="62"/>
      <c r="B92" s="77"/>
      <c r="C92" s="6" t="s">
        <v>73</v>
      </c>
      <c r="D92" s="78"/>
      <c r="F92" s="79" t="s">
        <v>154</v>
      </c>
      <c r="G92" s="80"/>
      <c r="H92" s="36">
        <v>2</v>
      </c>
      <c r="O92" s="64"/>
      <c r="R92" s="65">
        <f>SUMIF($P33:$P88,3,R33:R88)</f>
        <v>0</v>
      </c>
      <c r="T92" s="65">
        <f>SUMIF($P33:$P88,3,T33:T88)</f>
        <v>0</v>
      </c>
    </row>
    <row r="93" spans="1:28" hidden="1">
      <c r="A93" s="62"/>
      <c r="B93" s="77"/>
      <c r="C93" s="6" t="s">
        <v>73</v>
      </c>
      <c r="D93" s="78"/>
      <c r="F93" s="79" t="s">
        <v>155</v>
      </c>
      <c r="G93" s="80"/>
      <c r="H93" s="36">
        <v>3</v>
      </c>
      <c r="O93" s="64"/>
      <c r="R93" s="65">
        <f>SUMIF($P33:$P88,4,R33:R88)</f>
        <v>0</v>
      </c>
      <c r="T93" s="65">
        <f>SUMIF($P33:$P88,4,T33:T88)</f>
        <v>0</v>
      </c>
    </row>
    <row r="94" spans="1:28" ht="13.8" thickBot="1">
      <c r="A94" s="68"/>
      <c r="B94" s="81"/>
      <c r="C94" s="70" t="s">
        <v>73</v>
      </c>
      <c r="D94" s="82"/>
      <c r="E94" s="72"/>
      <c r="F94" s="83" t="s">
        <v>156</v>
      </c>
      <c r="G94" s="84"/>
      <c r="H94" s="85"/>
      <c r="I94" s="85"/>
      <c r="J94" s="85"/>
      <c r="K94" s="85"/>
      <c r="L94" s="85"/>
      <c r="M94" s="85"/>
      <c r="N94" s="85"/>
      <c r="O94" s="86"/>
      <c r="P94" s="85"/>
      <c r="Q94" s="85"/>
      <c r="R94" s="87">
        <f>SUM(R90:R93)</f>
        <v>1021.4</v>
      </c>
      <c r="S94" s="88"/>
      <c r="T94" s="87">
        <f>SUM(T90:T93)</f>
        <v>71.099999999999994</v>
      </c>
      <c r="U94" s="72"/>
      <c r="V94" s="72"/>
      <c r="W94" s="72"/>
      <c r="X94" s="72"/>
      <c r="Y94" s="72"/>
      <c r="Z94" s="72"/>
      <c r="AA94" s="72"/>
      <c r="AB94" s="72"/>
    </row>
    <row r="95" spans="1:28" ht="13.8" thickTop="1"/>
  </sheetData>
  <sheetProtection formatCells="0" formatColumns="0" formatRows="0" insertColumns="0" insertRows="0" insertHyperlinks="0" deleteColumns="0" deleteRows="0" sort="0" autoFilter="0" pivotTables="0"/>
  <phoneticPr fontId="27"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457"/>
  <sheetViews>
    <sheetView tabSelected="1" topLeftCell="A222" workbookViewId="0">
      <selection activeCell="G251" sqref="G251:H251"/>
    </sheetView>
  </sheetViews>
  <sheetFormatPr defaultColWidth="9.109375" defaultRowHeight="13.8"/>
  <cols>
    <col min="1" max="1" width="5.88671875" style="36" customWidth="1"/>
    <col min="2" max="2" width="6.44140625" style="36" customWidth="1"/>
    <col min="3" max="3" width="3.88671875" style="36" hidden="1" customWidth="1"/>
    <col min="4" max="4" width="20.88671875" style="36" customWidth="1"/>
    <col min="5" max="5" width="13.44140625" style="36" customWidth="1"/>
    <col min="6" max="6" width="13.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9.88671875" style="36" customWidth="1"/>
    <col min="18" max="18" width="10" style="36" customWidth="1"/>
    <col min="19" max="19" width="8.6640625" style="36" customWidth="1"/>
    <col min="20" max="20" width="9.33203125" style="36" customWidth="1"/>
    <col min="21" max="21" width="6.33203125" style="36" customWidth="1"/>
    <col min="22" max="22" width="4.6640625" style="317" customWidth="1"/>
    <col min="23" max="23" width="5" style="317" bestFit="1" customWidth="1"/>
    <col min="24" max="24" width="4.88671875" style="317" bestFit="1" customWidth="1"/>
    <col min="25" max="25" width="4.33203125" style="317" bestFit="1" customWidth="1"/>
    <col min="26" max="26" width="5.33203125" style="317" customWidth="1"/>
    <col min="27" max="27" width="4" style="317" customWidth="1"/>
    <col min="28" max="28" width="4.109375" style="317" customWidth="1"/>
    <col min="29" max="32" width="9.109375" style="36" customWidth="1"/>
    <col min="33" max="33" width="12.88671875" style="36" hidden="1" customWidth="1"/>
    <col min="34" max="34" width="10.6640625" style="36" hidden="1" customWidth="1"/>
    <col min="35" max="35" width="11.44140625" style="36" hidden="1" customWidth="1"/>
    <col min="36" max="36" width="9.109375" style="36" hidden="1" customWidth="1"/>
    <col min="37" max="37" width="13.6640625" style="36" hidden="1" customWidth="1"/>
    <col min="38" max="38" width="9.109375" style="36" hidden="1" customWidth="1"/>
    <col min="39" max="40" width="12" style="36" hidden="1" customWidth="1"/>
    <col min="41" max="41" width="11.109375" style="36" hidden="1" customWidth="1"/>
    <col min="42" max="42" width="9.109375" style="36" hidden="1" customWidth="1"/>
    <col min="43" max="16384" width="9.109375" style="36"/>
  </cols>
  <sheetData>
    <row r="1" spans="1:42" s="32" customFormat="1" ht="15.6">
      <c r="A1" s="504"/>
      <c r="B1" s="481" t="s">
        <v>0</v>
      </c>
      <c r="C1" s="482">
        <f>ML_Sum!$C1</f>
        <v>1</v>
      </c>
      <c r="D1" s="483" t="str">
        <f>ML_Sum!$D1</f>
        <v>Panta</v>
      </c>
      <c r="E1" s="484"/>
      <c r="F1" s="485">
        <f>ML_Sum!$F1</f>
        <v>0</v>
      </c>
      <c r="G1" s="512"/>
      <c r="H1"/>
      <c r="I1" s="269">
        <v>1</v>
      </c>
      <c r="J1" s="270">
        <f>ML_Sum!$J1</f>
        <v>1</v>
      </c>
      <c r="K1" s="270">
        <f>ML_Sum!$K1</f>
        <v>1</v>
      </c>
      <c r="L1" s="270">
        <f>ML_Sum!$L1</f>
        <v>1</v>
      </c>
      <c r="M1" s="270">
        <f>ML_Sum!$M1</f>
        <v>1</v>
      </c>
      <c r="N1" s="270">
        <f>ML_Sum!$N1</f>
        <v>1</v>
      </c>
      <c r="O1" s="270">
        <f>ML_Sum!$O1</f>
        <v>1</v>
      </c>
      <c r="P1"/>
      <c r="Q1" s="337" t="str">
        <f>ML_Sum!$Q1</f>
        <v>€</v>
      </c>
      <c r="R1" s="273" t="s">
        <v>1</v>
      </c>
      <c r="S1" s="336" t="str">
        <f>ML_Sum!$S1</f>
        <v>R</v>
      </c>
      <c r="T1" s="443">
        <f>ML_Sum!$T1</f>
        <v>1</v>
      </c>
      <c r="U1" s="444" t="str">
        <f>ML_Sum!W1</f>
        <v>BOQ</v>
      </c>
      <c r="V1" s="445" t="s">
        <v>183</v>
      </c>
      <c r="W1" s="505" t="s">
        <v>173</v>
      </c>
      <c r="X1" s="446" t="s">
        <v>174</v>
      </c>
      <c r="Y1" s="506" t="s">
        <v>175</v>
      </c>
      <c r="Z1" s="447" t="s">
        <v>171</v>
      </c>
      <c r="AA1" s="447" t="s">
        <v>176</v>
      </c>
      <c r="AB1" s="505" t="s">
        <v>177</v>
      </c>
      <c r="AG1" s="510"/>
      <c r="AH1" s="510"/>
      <c r="AI1" s="510"/>
      <c r="AJ1" s="510"/>
      <c r="AK1" s="511"/>
    </row>
    <row r="2" spans="1:42" s="32" customFormat="1">
      <c r="A2" s="480"/>
      <c r="B2" s="481" t="s">
        <v>2</v>
      </c>
      <c r="C2" s="482">
        <f>ML_Sum!$C2</f>
        <v>1</v>
      </c>
      <c r="D2" s="483" t="str">
        <f>ML_Sum!$D2</f>
        <v>Panta Showroom Phase 2</v>
      </c>
      <c r="E2" s="487"/>
      <c r="F2" s="485" t="str">
        <f>ML_Sum!$F2</f>
        <v>Electrical</v>
      </c>
      <c r="G2" s="486"/>
      <c r="H2"/>
      <c r="I2" s="269">
        <v>2</v>
      </c>
      <c r="J2" s="270">
        <f>ML_Sum!$J2</f>
        <v>1</v>
      </c>
      <c r="K2" s="270">
        <f>ML_Sum!$K2</f>
        <v>1</v>
      </c>
      <c r="L2" s="270">
        <f>ML_Sum!$L2</f>
        <v>1</v>
      </c>
      <c r="M2" s="270">
        <f>ML_Sum!$M2</f>
        <v>1</v>
      </c>
      <c r="N2" s="270">
        <f>ML_Sum!$N2</f>
        <v>1</v>
      </c>
      <c r="O2" s="270">
        <f>ML_Sum!$O2</f>
        <v>1</v>
      </c>
      <c r="P2"/>
      <c r="Q2" s="343">
        <f>ML_Sum!$Q2</f>
        <v>0</v>
      </c>
      <c r="R2" s="18" t="s">
        <v>3</v>
      </c>
      <c r="S2" s="344">
        <f>ML_Sum!$S2</f>
        <v>1.1000000000000001</v>
      </c>
      <c r="T2" s="345">
        <f>ML_Sum!$T2</f>
        <v>30.206000000000003</v>
      </c>
      <c r="V2" s="317"/>
      <c r="W2" s="317"/>
      <c r="X2" s="317"/>
      <c r="Y2" s="317"/>
      <c r="Z2" s="317"/>
      <c r="AA2" s="317"/>
      <c r="AB2" s="317"/>
    </row>
    <row r="3" spans="1:42" s="32" customFormat="1">
      <c r="A3" s="488"/>
      <c r="B3" s="489" t="s">
        <v>4</v>
      </c>
      <c r="C3" s="482">
        <f>ML_Sum!$C3</f>
        <v>1</v>
      </c>
      <c r="D3" s="483" t="str">
        <f>ML_Sum!$D3</f>
        <v>Supply and Install Electrical requirements for Panta Showroom Phase 2</v>
      </c>
      <c r="E3" s="488"/>
      <c r="F3" s="485">
        <f>ML_Sum!$F3</f>
        <v>0</v>
      </c>
      <c r="G3" s="490"/>
      <c r="H3"/>
      <c r="I3" s="269">
        <v>3</v>
      </c>
      <c r="J3" s="270">
        <f>ML_Sum!$J3</f>
        <v>1</v>
      </c>
      <c r="K3" s="270">
        <f>ML_Sum!$K3</f>
        <v>1</v>
      </c>
      <c r="L3" s="270">
        <f>ML_Sum!$L3</f>
        <v>1</v>
      </c>
      <c r="M3" s="270">
        <f>ML_Sum!$M3</f>
        <v>1</v>
      </c>
      <c r="N3" s="270">
        <f>ML_Sum!$N3</f>
        <v>1</v>
      </c>
      <c r="O3" s="270">
        <f>ML_Sum!$O3</f>
        <v>1</v>
      </c>
      <c r="P3"/>
      <c r="Q3" s="343">
        <f>ML_Sum!$Q3</f>
        <v>0</v>
      </c>
      <c r="R3" s="19" t="s">
        <v>5</v>
      </c>
      <c r="S3" s="344">
        <f>ML_Sum!$S3</f>
        <v>0</v>
      </c>
      <c r="T3" s="345">
        <f>ML_Sum!$T3</f>
        <v>0</v>
      </c>
      <c r="V3" s="317"/>
      <c r="W3" s="317"/>
      <c r="X3" s="317"/>
      <c r="Y3" s="317"/>
      <c r="Z3" s="317"/>
      <c r="AA3" s="317"/>
      <c r="AB3" s="317"/>
    </row>
    <row r="4" spans="1:42" s="32" customFormat="1">
      <c r="A4" s="491"/>
      <c r="B4" s="481" t="s">
        <v>6</v>
      </c>
      <c r="C4" s="482">
        <f>ML_Sum!$C4</f>
        <v>1</v>
      </c>
      <c r="D4" s="483" t="str">
        <f>ML_Sum!$D4</f>
        <v>EL25_XXXX</v>
      </c>
      <c r="E4" s="488"/>
      <c r="F4" s="485">
        <f>ML_Sum!$F4</f>
        <v>0</v>
      </c>
      <c r="G4" s="490"/>
      <c r="H4"/>
      <c r="I4" s="269">
        <v>4</v>
      </c>
      <c r="J4" s="270">
        <f>ML_Sum!$J4</f>
        <v>1</v>
      </c>
      <c r="K4" s="270">
        <f>ML_Sum!$K4</f>
        <v>1</v>
      </c>
      <c r="L4" s="270">
        <f>ML_Sum!$L4</f>
        <v>1</v>
      </c>
      <c r="M4" s="270">
        <f>ML_Sum!$M4</f>
        <v>1</v>
      </c>
      <c r="N4" s="270">
        <f>ML_Sum!$N4</f>
        <v>1</v>
      </c>
      <c r="O4" s="270">
        <f>ML_Sum!$O4</f>
        <v>1</v>
      </c>
      <c r="P4"/>
      <c r="Q4" s="343">
        <f>ML_Sum!$Q4</f>
        <v>0</v>
      </c>
      <c r="R4" s="20" t="s">
        <v>8</v>
      </c>
      <c r="S4" s="344">
        <f>ML_Sum!$S4</f>
        <v>0</v>
      </c>
      <c r="T4" s="345">
        <f>ML_Sum!$T4</f>
        <v>0</v>
      </c>
      <c r="V4" s="317"/>
      <c r="W4" s="317"/>
      <c r="X4" s="317"/>
      <c r="Y4" s="317"/>
      <c r="Z4" s="317"/>
      <c r="AA4" s="317"/>
      <c r="AB4" s="317"/>
    </row>
    <row r="5" spans="1:42" s="32" customFormat="1">
      <c r="A5" s="491"/>
      <c r="B5" s="481" t="s">
        <v>185</v>
      </c>
      <c r="C5" s="482">
        <f>ML_Sum!$C5</f>
        <v>1</v>
      </c>
      <c r="D5" s="483">
        <f>ML_Sum!$D5</f>
        <v>0</v>
      </c>
      <c r="E5" s="488"/>
      <c r="F5" s="485">
        <f>ML_Sum!$F5</f>
        <v>0</v>
      </c>
      <c r="G5" s="492"/>
      <c r="H5"/>
      <c r="I5" s="269">
        <v>5</v>
      </c>
      <c r="J5" s="270">
        <f>ML_Sum!$J5</f>
        <v>1</v>
      </c>
      <c r="K5" s="270">
        <f>ML_Sum!$K5</f>
        <v>1</v>
      </c>
      <c r="L5" s="270">
        <f>ML_Sum!$L5</f>
        <v>1</v>
      </c>
      <c r="M5" s="270">
        <f>ML_Sum!$M5</f>
        <v>1</v>
      </c>
      <c r="N5" s="270">
        <f>ML_Sum!$N5</f>
        <v>1</v>
      </c>
      <c r="O5" s="270">
        <f>ML_Sum!$O5</f>
        <v>1</v>
      </c>
      <c r="P5"/>
      <c r="Q5" s="343">
        <f>ML_Sum!$Q5</f>
        <v>0</v>
      </c>
      <c r="R5" s="21" t="s">
        <v>10</v>
      </c>
      <c r="S5" s="344">
        <f>ML_Sum!$S5</f>
        <v>0</v>
      </c>
      <c r="T5" s="345">
        <f>ML_Sum!$T5</f>
        <v>0</v>
      </c>
      <c r="V5" s="317"/>
      <c r="W5" s="317"/>
      <c r="X5" s="317"/>
      <c r="Y5" s="317"/>
      <c r="Z5" s="317"/>
      <c r="AA5" s="317"/>
      <c r="AB5" s="317"/>
    </row>
    <row r="6" spans="1:42" s="32" customFormat="1">
      <c r="A6"/>
      <c r="B6" s="489" t="s">
        <v>9</v>
      </c>
      <c r="C6" s="482">
        <f>ML_Sum!$C6</f>
        <v>1</v>
      </c>
      <c r="D6" s="483" t="str">
        <f>ML_Sum!$D6</f>
        <v>VAT EXCL.</v>
      </c>
      <c r="E6"/>
      <c r="F6" s="485">
        <f>ML_Sum!$F6</f>
        <v>0</v>
      </c>
      <c r="G6" s="492"/>
      <c r="H6"/>
      <c r="I6" s="269">
        <v>6</v>
      </c>
      <c r="J6" s="270">
        <f>ML_Sum!$J6</f>
        <v>1</v>
      </c>
      <c r="K6" s="270">
        <f>ML_Sum!$K6</f>
        <v>1</v>
      </c>
      <c r="L6" s="270">
        <f>ML_Sum!$L6</f>
        <v>1</v>
      </c>
      <c r="M6" s="270">
        <f>ML_Sum!$M6</f>
        <v>1</v>
      </c>
      <c r="N6" s="270">
        <f>ML_Sum!$N6</f>
        <v>1</v>
      </c>
      <c r="O6" s="270">
        <f>ML_Sum!$O6</f>
        <v>1</v>
      </c>
      <c r="P6"/>
      <c r="Q6" s="343">
        <f>ML_Sum!$Q6</f>
        <v>0</v>
      </c>
      <c r="R6" s="22" t="s">
        <v>11</v>
      </c>
      <c r="S6" s="344">
        <f>ML_Sum!$S6</f>
        <v>0</v>
      </c>
      <c r="T6" s="345">
        <f>ML_Sum!$T6</f>
        <v>0</v>
      </c>
      <c r="V6" s="317"/>
      <c r="W6" s="317"/>
      <c r="X6" s="317"/>
      <c r="Y6" s="317"/>
      <c r="Z6" s="317"/>
      <c r="AA6" s="317"/>
      <c r="AB6" s="317"/>
    </row>
    <row r="7" spans="1:42" s="32" customFormat="1">
      <c r="A7" s="480"/>
      <c r="B7" s="489" t="s">
        <v>12</v>
      </c>
      <c r="C7" s="482">
        <f>ML_Sum!$C7</f>
        <v>1</v>
      </c>
      <c r="D7" s="493">
        <v>39364</v>
      </c>
      <c r="E7" s="494"/>
      <c r="F7" s="485">
        <f>ML_Sum!$F7</f>
        <v>0</v>
      </c>
      <c r="G7" s="495"/>
      <c r="H7"/>
      <c r="I7" s="269">
        <v>7</v>
      </c>
      <c r="J7" s="270">
        <f>ML_Sum!$J7</f>
        <v>1</v>
      </c>
      <c r="K7" s="270">
        <f>ML_Sum!$K7</f>
        <v>1</v>
      </c>
      <c r="L7" s="270">
        <f>ML_Sum!$L7</f>
        <v>1</v>
      </c>
      <c r="M7" s="270">
        <f>ML_Sum!$M7</f>
        <v>1</v>
      </c>
      <c r="N7" s="270">
        <f>ML_Sum!$N7</f>
        <v>1</v>
      </c>
      <c r="O7" s="270">
        <f>ML_Sum!$O7</f>
        <v>0</v>
      </c>
      <c r="P7"/>
      <c r="Q7" s="343">
        <f>ML_Sum!$Q7</f>
        <v>0</v>
      </c>
      <c r="R7" s="23" t="s">
        <v>13</v>
      </c>
      <c r="S7" s="344">
        <f>ML_Sum!$S7</f>
        <v>0</v>
      </c>
      <c r="T7" s="345">
        <f>ML_Sum!$T7</f>
        <v>0</v>
      </c>
      <c r="V7" s="317"/>
      <c r="W7" s="317"/>
      <c r="X7" s="317"/>
      <c r="Y7" s="317"/>
      <c r="Z7" s="317"/>
      <c r="AA7" s="317"/>
      <c r="AB7" s="317"/>
    </row>
    <row r="8" spans="1:42" s="32" customFormat="1">
      <c r="A8" s="491"/>
      <c r="B8" s="489" t="s">
        <v>14</v>
      </c>
      <c r="C8" s="482">
        <f>ML_Sum!$C8</f>
        <v>1</v>
      </c>
      <c r="D8" s="483" t="str">
        <f>ML_Sum!$D8</f>
        <v>Umut Kaymak</v>
      </c>
      <c r="E8" s="488"/>
      <c r="F8" s="485">
        <f>ML_Sum!$F8</f>
        <v>0</v>
      </c>
      <c r="G8" s="496"/>
      <c r="H8"/>
      <c r="I8" s="269">
        <v>8</v>
      </c>
      <c r="J8" s="270">
        <f>ML_Sum!$J8</f>
        <v>1</v>
      </c>
      <c r="K8" s="270">
        <f>ML_Sum!$K8</f>
        <v>1</v>
      </c>
      <c r="L8" s="270">
        <f>ML_Sum!$L8</f>
        <v>1</v>
      </c>
      <c r="M8" s="270">
        <f>ML_Sum!$M8</f>
        <v>1</v>
      </c>
      <c r="N8" s="270">
        <f>ML_Sum!$N8</f>
        <v>1</v>
      </c>
      <c r="O8" s="270">
        <f>ML_Sum!$O8</f>
        <v>0</v>
      </c>
      <c r="P8"/>
      <c r="Q8" s="343">
        <f>ML_Sum!$Q8</f>
        <v>0</v>
      </c>
      <c r="R8" s="24" t="s">
        <v>15</v>
      </c>
      <c r="S8" s="344">
        <f>ML_Sum!$S8</f>
        <v>0</v>
      </c>
      <c r="T8" s="345">
        <f>ML_Sum!$T8</f>
        <v>0</v>
      </c>
      <c r="V8" s="317"/>
      <c r="W8" s="317"/>
      <c r="X8" s="317"/>
      <c r="Y8" s="317"/>
      <c r="Z8" s="317"/>
      <c r="AA8" s="317"/>
      <c r="AB8" s="317"/>
    </row>
    <row r="9" spans="1:42" s="32" customFormat="1">
      <c r="A9" s="491"/>
      <c r="B9" s="489" t="s">
        <v>262</v>
      </c>
      <c r="C9" s="482">
        <f>ML_Sum!$C9</f>
        <v>1</v>
      </c>
      <c r="D9" s="483">
        <f>ML_Sum!$D9</f>
        <v>27.46</v>
      </c>
      <c r="E9" s="488"/>
      <c r="F9" s="485">
        <f>ML_Sum!$F9</f>
        <v>0</v>
      </c>
      <c r="G9" s="496"/>
      <c r="H9"/>
      <c r="I9" s="269">
        <v>9</v>
      </c>
      <c r="J9" s="270">
        <f>ML_Sum!$J9</f>
        <v>1</v>
      </c>
      <c r="K9" s="270">
        <f>ML_Sum!$K9</f>
        <v>1</v>
      </c>
      <c r="L9" s="270">
        <f>ML_Sum!$L9</f>
        <v>1</v>
      </c>
      <c r="M9" s="270">
        <f>ML_Sum!$M9</f>
        <v>1</v>
      </c>
      <c r="N9" s="270">
        <f>ML_Sum!$N9</f>
        <v>1</v>
      </c>
      <c r="O9" s="270">
        <f>ML_Sum!$O9</f>
        <v>0</v>
      </c>
      <c r="P9"/>
      <c r="Q9" s="343">
        <f>ML_Sum!$Q9</f>
        <v>0</v>
      </c>
      <c r="R9" s="25" t="s">
        <v>16</v>
      </c>
      <c r="S9" s="344">
        <f>ML_Sum!$S9</f>
        <v>0</v>
      </c>
      <c r="T9" s="345">
        <f>ML_Sum!$T9</f>
        <v>0</v>
      </c>
      <c r="V9" s="317"/>
      <c r="W9" s="317"/>
      <c r="X9" s="317"/>
      <c r="Y9" s="317"/>
      <c r="Z9" s="317"/>
      <c r="AA9" s="317"/>
      <c r="AB9" s="317"/>
    </row>
    <row r="10" spans="1:42" s="32" customFormat="1">
      <c r="A10" s="491"/>
      <c r="B10" s="480"/>
      <c r="C10" s="482">
        <f>ML_Sum!$C10</f>
        <v>1</v>
      </c>
      <c r="D10" s="480"/>
      <c r="E10" s="488"/>
      <c r="F10" s="485">
        <f>ML_Sum!$F10</f>
        <v>0</v>
      </c>
      <c r="G10" s="496"/>
      <c r="H10"/>
      <c r="I10" s="269">
        <v>10</v>
      </c>
      <c r="J10" s="270">
        <f>ML_Sum!$J10</f>
        <v>1</v>
      </c>
      <c r="K10" s="270">
        <f>ML_Sum!$K10</f>
        <v>1</v>
      </c>
      <c r="L10" s="270">
        <f>ML_Sum!$L10</f>
        <v>1</v>
      </c>
      <c r="M10" s="270">
        <f>ML_Sum!$M10</f>
        <v>1</v>
      </c>
      <c r="N10" s="270">
        <f>ML_Sum!$N10</f>
        <v>1</v>
      </c>
      <c r="O10" s="270">
        <f>ML_Sum!$O10</f>
        <v>1</v>
      </c>
      <c r="P10"/>
      <c r="Q10" s="343">
        <f>ML_Sum!$Q10</f>
        <v>0</v>
      </c>
      <c r="R10" s="26" t="s">
        <v>17</v>
      </c>
      <c r="S10" s="344">
        <f>ML_Sum!$S10</f>
        <v>0</v>
      </c>
      <c r="T10" s="345">
        <f>ML_Sum!$T10</f>
        <v>0</v>
      </c>
      <c r="V10" s="317"/>
      <c r="W10" s="317"/>
      <c r="X10" s="317"/>
      <c r="Y10" s="317"/>
      <c r="Z10" s="317"/>
      <c r="AA10" s="317"/>
      <c r="AB10" s="317"/>
    </row>
    <row r="11" spans="1:42" s="32" customFormat="1">
      <c r="A11" s="491"/>
      <c r="B11" s="480"/>
      <c r="C11" s="482">
        <f>ML_Sum!$C11</f>
        <v>1</v>
      </c>
      <c r="D11" s="480"/>
      <c r="E11" s="488"/>
      <c r="F11" s="485">
        <f>ML_Sum!$F11</f>
        <v>0</v>
      </c>
      <c r="G11" s="496"/>
      <c r="H11" s="496"/>
      <c r="I11" s="480"/>
      <c r="J11" s="480"/>
      <c r="K11" s="480"/>
      <c r="L11" s="480"/>
      <c r="M11" s="480"/>
      <c r="N11" s="480"/>
      <c r="O11" s="480"/>
      <c r="P11" s="496"/>
      <c r="Q11" s="343">
        <f>ML_Sum!$Q11</f>
        <v>0</v>
      </c>
      <c r="R11" s="27" t="s">
        <v>18</v>
      </c>
      <c r="S11" s="344">
        <f>ML_Sum!$S11</f>
        <v>0</v>
      </c>
      <c r="T11" s="345">
        <f>ML_Sum!$T11</f>
        <v>0</v>
      </c>
      <c r="V11" s="317"/>
      <c r="W11" s="317"/>
      <c r="X11" s="317"/>
      <c r="Y11" s="317"/>
      <c r="Z11" s="317"/>
      <c r="AA11" s="317"/>
      <c r="AB11" s="317"/>
    </row>
    <row r="12" spans="1:42" s="32" customFormat="1" ht="14.4" thickBot="1">
      <c r="A12" s="491"/>
      <c r="B12" s="480"/>
      <c r="C12" s="482">
        <f>ML_Sum!$C12</f>
        <v>1</v>
      </c>
      <c r="D12" s="480"/>
      <c r="E12" s="488"/>
      <c r="F12" s="485">
        <f>ML_Sum!$F12</f>
        <v>0</v>
      </c>
      <c r="G12" s="496"/>
      <c r="H12" s="496"/>
      <c r="I12" s="480"/>
      <c r="J12" s="480"/>
      <c r="K12" s="480"/>
      <c r="L12" s="480"/>
      <c r="M12" s="480"/>
      <c r="N12" s="480"/>
      <c r="O12" s="480"/>
      <c r="P12" s="496"/>
      <c r="Q12" s="343">
        <f>ML_Sum!$Q12</f>
        <v>0</v>
      </c>
      <c r="R12" s="393" t="s">
        <v>203</v>
      </c>
      <c r="S12" s="344" t="str">
        <f>ML_Sum!$S12</f>
        <v>MAT MU</v>
      </c>
      <c r="T12" s="345" t="str">
        <f>ML_Sum!$T12</f>
        <v>LAB RATE</v>
      </c>
      <c r="V12" s="317"/>
      <c r="W12" s="317"/>
      <c r="X12" s="317"/>
      <c r="Y12" s="317"/>
      <c r="Z12" s="317"/>
      <c r="AA12" s="317"/>
      <c r="AB12" s="317"/>
    </row>
    <row r="13" spans="1:42" s="32" customFormat="1" ht="14.4" thickBot="1">
      <c r="A13" s="497"/>
      <c r="B13" s="498"/>
      <c r="C13" s="499"/>
      <c r="D13" s="500"/>
      <c r="E13" s="501"/>
      <c r="F13" s="502"/>
      <c r="G13" s="503" t="s">
        <v>142</v>
      </c>
      <c r="H13" s="503" t="s">
        <v>20</v>
      </c>
      <c r="I13" s="503" t="s">
        <v>21</v>
      </c>
      <c r="J13" s="503" t="s">
        <v>22</v>
      </c>
      <c r="K13" s="503" t="s">
        <v>23</v>
      </c>
      <c r="L13" s="503" t="s">
        <v>24</v>
      </c>
      <c r="M13" s="503" t="s">
        <v>25</v>
      </c>
      <c r="N13" s="503" t="s">
        <v>26</v>
      </c>
      <c r="O13" s="503" t="s">
        <v>27</v>
      </c>
      <c r="P13" s="503" t="s">
        <v>28</v>
      </c>
      <c r="Q13" s="28" t="s">
        <v>198</v>
      </c>
      <c r="R13" s="29" t="s">
        <v>30</v>
      </c>
      <c r="S13" s="30" t="s">
        <v>31</v>
      </c>
      <c r="T13" s="31" t="s">
        <v>32</v>
      </c>
      <c r="V13" s="317"/>
      <c r="W13" s="317"/>
      <c r="X13" s="317"/>
      <c r="Y13" s="317"/>
      <c r="Z13" s="317"/>
      <c r="AA13" s="317"/>
      <c r="AB13" s="317"/>
      <c r="AG13"/>
      <c r="AH13"/>
      <c r="AI13"/>
      <c r="AJ13"/>
      <c r="AK13"/>
      <c r="AM13" s="513" t="s">
        <v>258</v>
      </c>
      <c r="AN13" s="515" t="s">
        <v>268</v>
      </c>
      <c r="AO13" s="515" t="s">
        <v>259</v>
      </c>
      <c r="AP13" s="514" t="s">
        <v>256</v>
      </c>
    </row>
    <row r="14" spans="1:42" s="518" customFormat="1" ht="13.2">
      <c r="A14" s="50"/>
      <c r="B14" s="50"/>
      <c r="C14" s="3"/>
      <c r="D14" s="3"/>
      <c r="E14" s="50"/>
      <c r="F14" s="50"/>
      <c r="G14" s="50"/>
      <c r="H14" s="50"/>
      <c r="I14" s="50"/>
      <c r="J14" s="50"/>
      <c r="K14" s="50" t="s">
        <v>134</v>
      </c>
      <c r="L14" s="50"/>
      <c r="M14" s="50"/>
      <c r="N14" s="50"/>
      <c r="O14" s="51"/>
      <c r="P14" s="50"/>
      <c r="Q14" s="50"/>
      <c r="R14" s="50"/>
      <c r="S14" s="50"/>
      <c r="T14" s="50"/>
    </row>
    <row r="15" spans="1:42" s="518" customFormat="1" ht="12">
      <c r="A15" s="50"/>
      <c r="B15" s="50"/>
      <c r="C15" s="50" t="s">
        <v>135</v>
      </c>
      <c r="D15" s="37" t="s">
        <v>278</v>
      </c>
      <c r="E15" s="50"/>
      <c r="F15" s="50"/>
      <c r="G15" s="50"/>
      <c r="H15" s="50"/>
      <c r="I15" s="50"/>
      <c r="J15" s="50"/>
      <c r="K15" s="50"/>
      <c r="L15" s="50"/>
      <c r="M15" s="50"/>
      <c r="N15" s="50"/>
      <c r="O15" s="51"/>
      <c r="P15" s="50"/>
      <c r="Q15" s="50"/>
      <c r="R15" s="50"/>
      <c r="S15" s="50"/>
      <c r="T15" s="50"/>
    </row>
    <row r="16" spans="1:42" s="518" customFormat="1" ht="12">
      <c r="A16" s="50"/>
      <c r="B16" s="50"/>
      <c r="C16" s="50"/>
      <c r="D16" s="37" t="s">
        <v>279</v>
      </c>
      <c r="E16" s="50"/>
      <c r="F16" s="50"/>
      <c r="G16" s="50"/>
      <c r="H16" s="50"/>
      <c r="I16" s="50"/>
      <c r="J16" s="50"/>
      <c r="K16" s="50"/>
      <c r="L16" s="50"/>
      <c r="M16" s="50"/>
      <c r="N16" s="50"/>
      <c r="O16" s="51"/>
      <c r="P16" s="50"/>
      <c r="Q16" s="50"/>
      <c r="R16" s="50"/>
      <c r="S16" s="38"/>
      <c r="T16" s="38"/>
    </row>
    <row r="17" spans="1:41" s="3" customFormat="1" thickBot="1">
      <c r="A17" s="528"/>
      <c r="O17" s="103"/>
    </row>
    <row r="18" spans="1:41" s="518" customFormat="1" ht="12" thickTop="1">
      <c r="A18" s="50"/>
      <c r="B18" s="41"/>
      <c r="C18" s="50"/>
      <c r="E18" s="42" t="s">
        <v>138</v>
      </c>
      <c r="F18" s="42" t="s">
        <v>139</v>
      </c>
      <c r="G18" s="50"/>
      <c r="H18" s="50"/>
      <c r="I18" s="50"/>
      <c r="J18" s="50"/>
      <c r="K18" s="50" t="s">
        <v>140</v>
      </c>
      <c r="L18" s="50"/>
      <c r="M18" s="50"/>
      <c r="N18" s="50"/>
      <c r="O18" s="51"/>
      <c r="P18" s="50"/>
      <c r="Q18" s="50"/>
      <c r="R18" s="50"/>
      <c r="S18" s="50"/>
      <c r="T18" s="41"/>
      <c r="AG18" s="625" t="s">
        <v>247</v>
      </c>
      <c r="AH18" s="625" t="s">
        <v>248</v>
      </c>
      <c r="AI18" s="625" t="s">
        <v>249</v>
      </c>
      <c r="AJ18" s="625" t="s">
        <v>250</v>
      </c>
      <c r="AK18" s="625" t="s">
        <v>251</v>
      </c>
      <c r="AM18" s="626" t="s">
        <v>260</v>
      </c>
      <c r="AN18" s="627" t="s">
        <v>261</v>
      </c>
      <c r="AO18" s="519" t="s">
        <v>257</v>
      </c>
    </row>
    <row r="19" spans="1:41" s="518" customFormat="1" ht="12" customHeight="1">
      <c r="A19" s="657">
        <v>35</v>
      </c>
      <c r="B19" s="520" t="s">
        <v>280</v>
      </c>
      <c r="C19" s="628"/>
      <c r="D19" s="629" t="s">
        <v>281</v>
      </c>
      <c r="E19" s="630">
        <f>IF(AND($A19=0,$A$1="DIF"),0, ROUND(ROUND(($R26*$S$2+($T26*$T$2))/A19,2)*$C$2,2))</f>
        <v>34.29</v>
      </c>
      <c r="F19" s="631">
        <f>ROUND($A19*$E19,2)</f>
        <v>1200.1500000000001</v>
      </c>
      <c r="G19" s="632" t="s">
        <v>142</v>
      </c>
      <c r="H19" s="633"/>
      <c r="I19" s="634"/>
      <c r="J19" s="633"/>
      <c r="K19" s="633" t="s">
        <v>3</v>
      </c>
      <c r="L19" s="635" t="s">
        <v>143</v>
      </c>
      <c r="M19" s="635"/>
      <c r="N19" s="635"/>
      <c r="O19" s="635"/>
      <c r="P19" s="635"/>
      <c r="Q19" s="50"/>
      <c r="T19" s="636" t="str">
        <f>IF(AND($R26=0,$T26=0),"0.00","mu :" &amp; ROUND($F19/$C$2/($R26+$T26*$D$9),2))</f>
        <v>mu :1.1</v>
      </c>
      <c r="W19" s="521"/>
      <c r="AG19" s="478">
        <f>IF($E19=0,0,ROUND($R26*$S$2*$C$2/$A19,2))</f>
        <v>28.29</v>
      </c>
      <c r="AH19" s="478">
        <f>$AG19*$A19</f>
        <v>990.15</v>
      </c>
      <c r="AI19" s="522">
        <f>$E19-$AG19</f>
        <v>6</v>
      </c>
      <c r="AJ19" s="522">
        <f>$A19*$AI19</f>
        <v>210</v>
      </c>
      <c r="AK19" s="523">
        <f>ROUND(($AG19+$AI19)*$A19,2)</f>
        <v>1200.1500000000001</v>
      </c>
      <c r="AM19" s="524">
        <f>ROUND(R26,2)</f>
        <v>900.24</v>
      </c>
      <c r="AN19" s="525">
        <f>ROUND(T26,2)</f>
        <v>6.95</v>
      </c>
      <c r="AO19" s="526">
        <f>ROUND(AM19+AN19,2)*A19</f>
        <v>31751.65</v>
      </c>
    </row>
    <row r="20" spans="1:41" s="518" customFormat="1" ht="13.2">
      <c r="A20" s="628"/>
      <c r="B20"/>
      <c r="C20" s="628"/>
      <c r="D20" s="629" t="s">
        <v>419</v>
      </c>
      <c r="F20" s="633"/>
      <c r="G20" s="3"/>
      <c r="H20" s="633"/>
      <c r="I20" s="634"/>
      <c r="J20" s="633"/>
      <c r="K20" s="633" t="s">
        <v>144</v>
      </c>
      <c r="L20" s="633"/>
      <c r="M20" s="633"/>
      <c r="N20" s="633"/>
      <c r="O20" s="633"/>
      <c r="P20" s="633"/>
      <c r="Q20" s="50"/>
      <c r="R20" s="527"/>
      <c r="S20" s="637"/>
      <c r="T20" s="633"/>
    </row>
    <row r="21" spans="1:41" s="649" customFormat="1" ht="13.2">
      <c r="A21">
        <v>35</v>
      </c>
      <c r="B21" s="649" t="s">
        <v>387</v>
      </c>
      <c r="D21" s="649" t="s">
        <v>420</v>
      </c>
      <c r="G21" s="650" t="s">
        <v>421</v>
      </c>
      <c r="H21" s="651">
        <v>616</v>
      </c>
      <c r="I21" s="649" t="s">
        <v>364</v>
      </c>
      <c r="J21" s="649" t="s">
        <v>422</v>
      </c>
      <c r="O21" s="652">
        <v>2</v>
      </c>
      <c r="P21" s="653">
        <v>40767</v>
      </c>
      <c r="Q21" s="654">
        <v>25</v>
      </c>
      <c r="R21" s="655">
        <f>$A21*Q21</f>
        <v>875</v>
      </c>
      <c r="S21" s="654">
        <v>0.15</v>
      </c>
      <c r="T21" s="656">
        <f>$A21*S21*$T$1</f>
        <v>5.25</v>
      </c>
    </row>
    <row r="22" spans="1:41" s="649" customFormat="1" ht="13.2">
      <c r="A22">
        <v>2</v>
      </c>
      <c r="B22" s="649" t="s">
        <v>141</v>
      </c>
      <c r="D22" s="649" t="s">
        <v>423</v>
      </c>
      <c r="G22" s="650" t="s">
        <v>424</v>
      </c>
      <c r="H22" s="651">
        <v>620</v>
      </c>
      <c r="I22" s="649" t="s">
        <v>364</v>
      </c>
      <c r="O22" s="652">
        <v>2</v>
      </c>
      <c r="P22" s="653"/>
      <c r="Q22" s="654">
        <v>0.5</v>
      </c>
      <c r="R22" s="655">
        <f>$A22*Q22</f>
        <v>1</v>
      </c>
      <c r="S22" s="654"/>
      <c r="T22" s="656">
        <f>$A22*S22*$T$1</f>
        <v>0</v>
      </c>
    </row>
    <row r="23" spans="1:41" s="649" customFormat="1" ht="13.2">
      <c r="A23">
        <v>2</v>
      </c>
      <c r="B23" s="649" t="s">
        <v>141</v>
      </c>
      <c r="D23" s="649" t="s">
        <v>425</v>
      </c>
      <c r="G23" s="650" t="s">
        <v>426</v>
      </c>
      <c r="H23" s="651">
        <v>620</v>
      </c>
      <c r="I23" s="649" t="s">
        <v>427</v>
      </c>
      <c r="O23" s="652">
        <v>2</v>
      </c>
      <c r="P23" s="653">
        <v>35431</v>
      </c>
      <c r="Q23" s="654">
        <v>11.32</v>
      </c>
      <c r="R23" s="655">
        <f>$A23*Q23</f>
        <v>22.64</v>
      </c>
      <c r="S23" s="654">
        <v>0.5</v>
      </c>
      <c r="T23" s="656">
        <f>$A23*S23*$T$1</f>
        <v>1</v>
      </c>
    </row>
    <row r="24" spans="1:41" s="649" customFormat="1" ht="13.2">
      <c r="A24">
        <v>10</v>
      </c>
      <c r="B24" s="649" t="s">
        <v>141</v>
      </c>
      <c r="D24" s="649" t="s">
        <v>428</v>
      </c>
      <c r="G24" s="650" t="s">
        <v>429</v>
      </c>
      <c r="H24" s="651">
        <v>620</v>
      </c>
      <c r="I24" s="649" t="s">
        <v>430</v>
      </c>
      <c r="O24" s="652">
        <v>2</v>
      </c>
      <c r="P24" s="653">
        <v>34669</v>
      </c>
      <c r="Q24" s="654">
        <v>0.16</v>
      </c>
      <c r="R24" s="655">
        <f>$A24*Q24</f>
        <v>1.6</v>
      </c>
      <c r="S24" s="654">
        <v>7.0000000000000007E-2</v>
      </c>
      <c r="T24" s="656">
        <f>$A24*S24*$T$1</f>
        <v>0.70000000000000007</v>
      </c>
    </row>
    <row r="25" spans="1:41" s="518" customFormat="1" ht="12">
      <c r="A25" s="638"/>
      <c r="B25" s="638"/>
      <c r="C25" s="638"/>
      <c r="D25" s="638"/>
      <c r="E25" s="638"/>
      <c r="F25" s="633"/>
      <c r="G25" s="638"/>
      <c r="H25" s="638"/>
      <c r="I25" s="517"/>
      <c r="J25" s="638"/>
      <c r="K25" s="638"/>
      <c r="L25" s="638"/>
      <c r="M25" s="638"/>
      <c r="N25" s="638"/>
      <c r="O25" s="638"/>
      <c r="P25" s="638"/>
      <c r="Q25" s="517"/>
      <c r="R25" s="639">
        <f t="shared" ref="R25" si="0">$A25*Q25</f>
        <v>0</v>
      </c>
      <c r="S25" s="517"/>
      <c r="T25" s="640">
        <f t="shared" ref="T25" si="1">$A25*S25*$T$1</f>
        <v>0</v>
      </c>
    </row>
    <row r="26" spans="1:41" s="518" customFormat="1" ht="12.6" thickBot="1">
      <c r="A26" s="641" t="s">
        <v>145</v>
      </c>
      <c r="B26" s="642">
        <f>(R25+T25)</f>
        <v>0</v>
      </c>
      <c r="C26" s="643"/>
      <c r="D26" s="643"/>
      <c r="E26" s="643"/>
      <c r="F26" s="644"/>
      <c r="G26" s="643" t="s">
        <v>146</v>
      </c>
      <c r="H26" s="643"/>
      <c r="I26" s="645"/>
      <c r="J26" s="643"/>
      <c r="K26" s="643" t="s">
        <v>3</v>
      </c>
      <c r="L26" s="646" t="s">
        <v>143</v>
      </c>
      <c r="M26" s="646"/>
      <c r="N26" s="646"/>
      <c r="O26" s="646"/>
      <c r="P26" s="646"/>
      <c r="Q26" s="647"/>
      <c r="R26" s="648">
        <f>SUM(R20:R25)</f>
        <v>900.24</v>
      </c>
      <c r="S26" s="643"/>
      <c r="T26" s="648">
        <f>SUM(T20:T25)</f>
        <v>6.95</v>
      </c>
      <c r="U26" s="528"/>
      <c r="V26" s="528"/>
      <c r="W26" s="528"/>
      <c r="X26" s="528"/>
      <c r="Y26" s="528"/>
      <c r="Z26" s="528"/>
      <c r="AA26" s="528"/>
      <c r="AB26" s="528"/>
      <c r="AC26" s="528"/>
      <c r="AD26" s="528"/>
      <c r="AE26" s="528"/>
      <c r="AF26" s="528"/>
      <c r="AG26" s="528"/>
      <c r="AH26" s="528"/>
      <c r="AI26" s="528"/>
      <c r="AJ26" s="528"/>
      <c r="AK26" s="528"/>
      <c r="AL26" s="528"/>
      <c r="AM26" s="528"/>
      <c r="AN26" s="528"/>
      <c r="AO26" s="528"/>
    </row>
    <row r="27" spans="1:41" s="518" customFormat="1" ht="12" thickTop="1">
      <c r="A27" s="50"/>
      <c r="B27" s="41"/>
      <c r="C27" s="50"/>
      <c r="E27" s="42" t="s">
        <v>138</v>
      </c>
      <c r="F27" s="42" t="s">
        <v>139</v>
      </c>
      <c r="G27" s="50"/>
      <c r="H27" s="50"/>
      <c r="I27" s="50"/>
      <c r="J27" s="50"/>
      <c r="K27" s="50" t="s">
        <v>140</v>
      </c>
      <c r="L27" s="50"/>
      <c r="M27" s="50"/>
      <c r="N27" s="50"/>
      <c r="O27" s="51"/>
      <c r="P27" s="50"/>
      <c r="Q27" s="50"/>
      <c r="R27" s="50"/>
      <c r="S27" s="50"/>
      <c r="T27" s="41"/>
      <c r="AG27" s="625" t="s">
        <v>247</v>
      </c>
      <c r="AH27" s="625" t="s">
        <v>248</v>
      </c>
      <c r="AI27" s="625" t="s">
        <v>249</v>
      </c>
      <c r="AJ27" s="625" t="s">
        <v>250</v>
      </c>
      <c r="AK27" s="625" t="s">
        <v>251</v>
      </c>
      <c r="AM27" s="626" t="s">
        <v>260</v>
      </c>
      <c r="AN27" s="627" t="s">
        <v>261</v>
      </c>
      <c r="AO27" s="519" t="s">
        <v>257</v>
      </c>
    </row>
    <row r="28" spans="1:41" s="518" customFormat="1" ht="12" customHeight="1">
      <c r="A28" s="657">
        <v>50</v>
      </c>
      <c r="B28" s="520" t="s">
        <v>280</v>
      </c>
      <c r="C28" s="628"/>
      <c r="D28" s="629" t="s">
        <v>282</v>
      </c>
      <c r="E28" s="630">
        <f>IF(AND($A28=0,$A$1="DIF"),0, ROUND(ROUND(($R36*$S$2+($T36*$T$2))/A28,2)*$C$2,2))</f>
        <v>10.07</v>
      </c>
      <c r="F28" s="631">
        <f>ROUND($A28*$E28,2)</f>
        <v>503.5</v>
      </c>
      <c r="G28" s="632" t="s">
        <v>142</v>
      </c>
      <c r="H28" s="633"/>
      <c r="I28" s="634"/>
      <c r="J28" s="633"/>
      <c r="K28" s="633" t="s">
        <v>3</v>
      </c>
      <c r="L28" s="635" t="s">
        <v>143</v>
      </c>
      <c r="M28" s="635"/>
      <c r="N28" s="635"/>
      <c r="O28" s="635"/>
      <c r="P28" s="635"/>
      <c r="Q28" s="50"/>
      <c r="T28" s="636" t="str">
        <f>IF(AND($R36=0,$T36=0),"0.00","mu :" &amp; ROUND($F28/$C$2/($R36+$T36*$D$9),2))</f>
        <v>mu :1.1</v>
      </c>
      <c r="W28" s="521"/>
      <c r="AG28" s="478">
        <f>IF($E28=0,0,ROUND($R36*$S$2*$C$2/$A28,2))</f>
        <v>7.17</v>
      </c>
      <c r="AH28" s="478">
        <f>$AG28*$A28</f>
        <v>358.5</v>
      </c>
      <c r="AI28" s="522">
        <f>$E28-$AG28</f>
        <v>2.9000000000000004</v>
      </c>
      <c r="AJ28" s="522">
        <f>$A28*$AI28</f>
        <v>145.00000000000003</v>
      </c>
      <c r="AK28" s="523">
        <f>ROUND(($AG28+$AI28)*$A28,2)</f>
        <v>503.5</v>
      </c>
      <c r="AM28" s="524">
        <f>ROUND(R36,2)</f>
        <v>325.85000000000002</v>
      </c>
      <c r="AN28" s="525">
        <f>ROUND(T36,2)</f>
        <v>4.8</v>
      </c>
      <c r="AO28" s="526">
        <f>ROUND(AM28+AN28,2)*A28</f>
        <v>16532.5</v>
      </c>
    </row>
    <row r="29" spans="1:41" s="518" customFormat="1" ht="13.2">
      <c r="A29" s="628"/>
      <c r="B29"/>
      <c r="C29" s="628"/>
      <c r="D29" s="629" t="s">
        <v>431</v>
      </c>
      <c r="F29" s="633"/>
      <c r="G29" s="3"/>
      <c r="H29" s="633"/>
      <c r="I29" s="634"/>
      <c r="J29" s="633"/>
      <c r="K29" s="633" t="s">
        <v>144</v>
      </c>
      <c r="L29" s="633"/>
      <c r="M29" s="633"/>
      <c r="N29" s="633"/>
      <c r="O29" s="633"/>
      <c r="P29" s="633"/>
      <c r="Q29" s="50"/>
      <c r="R29" s="527"/>
      <c r="S29" s="637"/>
      <c r="T29" s="633"/>
    </row>
    <row r="30" spans="1:41" s="649" customFormat="1" ht="13.2">
      <c r="A30">
        <v>50</v>
      </c>
      <c r="B30" s="649" t="s">
        <v>387</v>
      </c>
      <c r="D30" s="649" t="s">
        <v>432</v>
      </c>
      <c r="G30" s="650" t="s">
        <v>433</v>
      </c>
      <c r="H30" s="651">
        <v>616</v>
      </c>
      <c r="I30" s="649" t="s">
        <v>364</v>
      </c>
      <c r="J30" s="649" t="s">
        <v>434</v>
      </c>
      <c r="O30" s="652">
        <v>2</v>
      </c>
      <c r="P30" s="653">
        <v>38371</v>
      </c>
      <c r="Q30" s="654">
        <v>6</v>
      </c>
      <c r="R30" s="655">
        <f>$A30*Q30</f>
        <v>300</v>
      </c>
      <c r="S30" s="654">
        <v>0.06</v>
      </c>
      <c r="T30" s="656">
        <f>$A30*S30*$T$1</f>
        <v>3</v>
      </c>
    </row>
    <row r="31" spans="1:41" s="649" customFormat="1" ht="13.2">
      <c r="A31">
        <v>2</v>
      </c>
      <c r="B31" s="649" t="s">
        <v>141</v>
      </c>
      <c r="D31" s="649" t="s">
        <v>423</v>
      </c>
      <c r="G31" s="650" t="s">
        <v>424</v>
      </c>
      <c r="H31" s="651">
        <v>620</v>
      </c>
      <c r="I31" s="649" t="s">
        <v>364</v>
      </c>
      <c r="O31" s="652">
        <v>2</v>
      </c>
      <c r="P31" s="653"/>
      <c r="Q31" s="654">
        <v>0.5</v>
      </c>
      <c r="R31" s="655">
        <f>$A31*Q31</f>
        <v>1</v>
      </c>
      <c r="S31" s="654"/>
      <c r="T31" s="656">
        <f>$A31*S31*$T$1</f>
        <v>0</v>
      </c>
    </row>
    <row r="32" spans="1:41" s="649" customFormat="1" ht="13.2">
      <c r="A32">
        <v>1</v>
      </c>
      <c r="B32" s="649" t="s">
        <v>141</v>
      </c>
      <c r="D32" s="649" t="s">
        <v>435</v>
      </c>
      <c r="G32" s="650" t="s">
        <v>436</v>
      </c>
      <c r="H32" s="651">
        <v>620</v>
      </c>
      <c r="I32" s="649" t="s">
        <v>427</v>
      </c>
      <c r="O32" s="652">
        <v>2</v>
      </c>
      <c r="P32" s="653">
        <v>35431</v>
      </c>
      <c r="Q32" s="654">
        <v>4.71</v>
      </c>
      <c r="R32" s="655">
        <f>$A32*Q32</f>
        <v>4.71</v>
      </c>
      <c r="S32" s="654">
        <v>0.35000000000000003</v>
      </c>
      <c r="T32" s="656">
        <f>$A32*S32*$T$1</f>
        <v>0.35000000000000003</v>
      </c>
    </row>
    <row r="33" spans="1:41" s="649" customFormat="1" ht="13.2">
      <c r="A33">
        <v>3</v>
      </c>
      <c r="B33" s="649" t="s">
        <v>141</v>
      </c>
      <c r="D33" s="649" t="s">
        <v>437</v>
      </c>
      <c r="G33" s="650" t="s">
        <v>438</v>
      </c>
      <c r="H33" s="651">
        <v>620</v>
      </c>
      <c r="I33" s="649" t="s">
        <v>427</v>
      </c>
      <c r="O33" s="652">
        <v>2</v>
      </c>
      <c r="P33" s="653">
        <v>35431</v>
      </c>
      <c r="Q33" s="654">
        <v>6.38</v>
      </c>
      <c r="R33" s="655">
        <f>$A33*Q33</f>
        <v>19.14</v>
      </c>
      <c r="S33" s="654">
        <v>0.35000000000000003</v>
      </c>
      <c r="T33" s="656">
        <f>$A33*S33*$T$1</f>
        <v>1.05</v>
      </c>
    </row>
    <row r="34" spans="1:41" s="649" customFormat="1" ht="13.2">
      <c r="A34">
        <v>20</v>
      </c>
      <c r="B34" s="649" t="s">
        <v>141</v>
      </c>
      <c r="D34" s="649" t="s">
        <v>439</v>
      </c>
      <c r="G34" s="650" t="s">
        <v>440</v>
      </c>
      <c r="H34" s="651">
        <v>620</v>
      </c>
      <c r="I34" s="649" t="s">
        <v>430</v>
      </c>
      <c r="O34" s="652">
        <v>2</v>
      </c>
      <c r="P34" s="653">
        <v>34669</v>
      </c>
      <c r="Q34" s="654">
        <v>0.05</v>
      </c>
      <c r="R34" s="655">
        <f>$A34*Q34</f>
        <v>1</v>
      </c>
      <c r="S34" s="654">
        <v>0.02</v>
      </c>
      <c r="T34" s="656">
        <f>$A34*S34*$T$1</f>
        <v>0.4</v>
      </c>
    </row>
    <row r="35" spans="1:41" s="518" customFormat="1" ht="12">
      <c r="A35" s="638"/>
      <c r="B35" s="638"/>
      <c r="C35" s="638"/>
      <c r="D35" s="638"/>
      <c r="E35" s="638"/>
      <c r="F35" s="633"/>
      <c r="G35" s="638"/>
      <c r="H35" s="638"/>
      <c r="I35" s="517"/>
      <c r="J35" s="638"/>
      <c r="K35" s="638"/>
      <c r="L35" s="638"/>
      <c r="M35" s="638"/>
      <c r="N35" s="638"/>
      <c r="O35" s="638"/>
      <c r="P35" s="638"/>
      <c r="Q35" s="517"/>
      <c r="R35" s="639">
        <f t="shared" ref="R35" si="2">$A35*Q35</f>
        <v>0</v>
      </c>
      <c r="S35" s="517"/>
      <c r="T35" s="640">
        <f t="shared" ref="T35" si="3">$A35*S35*$T$1</f>
        <v>0</v>
      </c>
    </row>
    <row r="36" spans="1:41" s="518" customFormat="1" ht="12.6" thickBot="1">
      <c r="A36" s="641" t="s">
        <v>145</v>
      </c>
      <c r="B36" s="642">
        <f>(R35+T35)</f>
        <v>0</v>
      </c>
      <c r="C36" s="643"/>
      <c r="D36" s="643"/>
      <c r="E36" s="643"/>
      <c r="F36" s="644"/>
      <c r="G36" s="643" t="s">
        <v>146</v>
      </c>
      <c r="H36" s="643"/>
      <c r="I36" s="645"/>
      <c r="J36" s="643"/>
      <c r="K36" s="643" t="s">
        <v>3</v>
      </c>
      <c r="L36" s="646" t="s">
        <v>143</v>
      </c>
      <c r="M36" s="646"/>
      <c r="N36" s="646"/>
      <c r="O36" s="646"/>
      <c r="P36" s="646"/>
      <c r="Q36" s="647"/>
      <c r="R36" s="648">
        <f>SUM(R29:R35)</f>
        <v>325.84999999999997</v>
      </c>
      <c r="S36" s="643"/>
      <c r="T36" s="648">
        <f>SUM(T29:T35)</f>
        <v>4.8000000000000007</v>
      </c>
      <c r="U36" s="528"/>
      <c r="V36" s="528"/>
      <c r="W36" s="528"/>
      <c r="X36" s="528"/>
      <c r="Y36" s="528"/>
      <c r="Z36" s="528"/>
      <c r="AA36" s="528"/>
      <c r="AB36" s="528"/>
      <c r="AC36" s="528"/>
      <c r="AD36" s="528"/>
      <c r="AE36" s="528"/>
      <c r="AF36" s="528"/>
      <c r="AG36" s="528"/>
      <c r="AH36" s="528"/>
      <c r="AI36" s="528"/>
      <c r="AJ36" s="528"/>
      <c r="AK36" s="528"/>
      <c r="AL36" s="528"/>
      <c r="AM36" s="528"/>
      <c r="AN36" s="528"/>
      <c r="AO36" s="528"/>
    </row>
    <row r="37" spans="1:41" s="518" customFormat="1" thickTop="1">
      <c r="A37" s="50"/>
      <c r="B37" s="50"/>
      <c r="C37" s="3"/>
      <c r="D37" s="3"/>
      <c r="E37" s="50"/>
      <c r="F37" s="50"/>
      <c r="G37" s="50"/>
      <c r="H37" s="50"/>
      <c r="I37" s="50"/>
      <c r="J37" s="50"/>
      <c r="K37" s="50" t="s">
        <v>134</v>
      </c>
      <c r="L37" s="50"/>
      <c r="M37" s="50"/>
      <c r="N37" s="50"/>
      <c r="O37" s="51"/>
      <c r="P37" s="50"/>
      <c r="Q37" s="50"/>
      <c r="R37" s="50"/>
      <c r="S37" s="50"/>
      <c r="T37" s="50"/>
    </row>
    <row r="38" spans="1:41" s="518" customFormat="1" ht="12">
      <c r="A38" s="50"/>
      <c r="B38" s="50"/>
      <c r="C38" s="50" t="s">
        <v>135</v>
      </c>
      <c r="D38" s="37" t="s">
        <v>283</v>
      </c>
      <c r="E38" s="50"/>
      <c r="F38" s="50"/>
      <c r="G38" s="50"/>
      <c r="H38" s="50"/>
      <c r="I38" s="50"/>
      <c r="J38" s="50"/>
      <c r="K38" s="50"/>
      <c r="L38" s="50"/>
      <c r="M38" s="50"/>
      <c r="N38" s="50"/>
      <c r="O38" s="51"/>
      <c r="P38" s="50"/>
      <c r="Q38" s="50"/>
      <c r="R38" s="50"/>
      <c r="S38" s="50"/>
      <c r="T38" s="50"/>
    </row>
    <row r="39" spans="1:41" s="518" customFormat="1" ht="12">
      <c r="A39" s="50"/>
      <c r="B39" s="50"/>
      <c r="C39" s="50"/>
      <c r="D39" s="37" t="s">
        <v>284</v>
      </c>
      <c r="E39" s="50"/>
      <c r="F39" s="50"/>
      <c r="G39" s="50"/>
      <c r="H39" s="50"/>
      <c r="I39" s="50"/>
      <c r="J39" s="50"/>
      <c r="K39" s="50"/>
      <c r="L39" s="50"/>
      <c r="M39" s="50"/>
      <c r="N39" s="50"/>
      <c r="O39" s="51"/>
      <c r="P39" s="50"/>
      <c r="Q39" s="50"/>
      <c r="R39" s="50"/>
      <c r="S39" s="38"/>
      <c r="T39" s="38"/>
    </row>
    <row r="40" spans="1:41" s="3" customFormat="1" thickBot="1">
      <c r="A40" s="528"/>
      <c r="O40" s="103"/>
    </row>
    <row r="41" spans="1:41" s="518" customFormat="1" ht="12" thickTop="1">
      <c r="A41" s="50"/>
      <c r="B41" s="41"/>
      <c r="C41" s="50"/>
      <c r="E41" s="42" t="s">
        <v>138</v>
      </c>
      <c r="F41" s="42" t="s">
        <v>139</v>
      </c>
      <c r="G41" s="50"/>
      <c r="H41" s="50"/>
      <c r="I41" s="50"/>
      <c r="J41" s="50"/>
      <c r="K41" s="50" t="s">
        <v>140</v>
      </c>
      <c r="L41" s="50"/>
      <c r="M41" s="50"/>
      <c r="N41" s="50"/>
      <c r="O41" s="51"/>
      <c r="P41" s="50"/>
      <c r="Q41" s="50"/>
      <c r="R41" s="50"/>
      <c r="S41" s="50"/>
      <c r="T41" s="41"/>
      <c r="AG41" s="625" t="s">
        <v>247</v>
      </c>
      <c r="AH41" s="625" t="s">
        <v>248</v>
      </c>
      <c r="AI41" s="625" t="s">
        <v>249</v>
      </c>
      <c r="AJ41" s="625" t="s">
        <v>250</v>
      </c>
      <c r="AK41" s="625" t="s">
        <v>251</v>
      </c>
      <c r="AM41" s="626" t="s">
        <v>260</v>
      </c>
      <c r="AN41" s="627" t="s">
        <v>261</v>
      </c>
      <c r="AO41" s="519" t="s">
        <v>257</v>
      </c>
    </row>
    <row r="42" spans="1:41" s="518" customFormat="1" ht="12" customHeight="1">
      <c r="A42" s="657">
        <v>1</v>
      </c>
      <c r="B42" s="520" t="s">
        <v>285</v>
      </c>
      <c r="C42" s="628"/>
      <c r="D42" s="629" t="s">
        <v>286</v>
      </c>
      <c r="E42" s="630">
        <f>IF(AND($A42=0,$A$1="DIF"),0, ROUND(ROUND(($R46*$S$2+($T46*$T$2))/A42,2)*$C$2,2))</f>
        <v>839.15</v>
      </c>
      <c r="F42" s="631">
        <f>ROUND($A42*$E42,2)</f>
        <v>839.15</v>
      </c>
      <c r="G42" s="632" t="s">
        <v>142</v>
      </c>
      <c r="H42" s="633"/>
      <c r="I42" s="634"/>
      <c r="J42" s="633"/>
      <c r="K42" s="633" t="s">
        <v>3</v>
      </c>
      <c r="L42" s="635" t="s">
        <v>143</v>
      </c>
      <c r="M42" s="635"/>
      <c r="N42" s="635"/>
      <c r="O42" s="635"/>
      <c r="P42" s="635"/>
      <c r="Q42" s="50"/>
      <c r="T42" s="636" t="str">
        <f>IF(AND($R46=0,$T46=0),"0.00","mu :" &amp; ROUND($F42/$C$2/($R46+$T46*$D$9),2))</f>
        <v>mu :1.1</v>
      </c>
      <c r="W42" s="521"/>
      <c r="AG42" s="478">
        <f>IF($E42=0,0,ROUND($R46*$S$2*$C$2/$A42,2))</f>
        <v>597.5</v>
      </c>
      <c r="AH42" s="478">
        <f>$AG42*$A42</f>
        <v>597.5</v>
      </c>
      <c r="AI42" s="522">
        <f>$E42-$AG42</f>
        <v>241.64999999999998</v>
      </c>
      <c r="AJ42" s="522">
        <f>$A42*$AI42</f>
        <v>241.64999999999998</v>
      </c>
      <c r="AK42" s="523">
        <f>ROUND(($AG42+$AI42)*$A42,2)</f>
        <v>839.15</v>
      </c>
      <c r="AM42" s="524">
        <f>ROUND(R46,2)</f>
        <v>543.17999999999995</v>
      </c>
      <c r="AN42" s="525">
        <f>ROUND(T46,2)</f>
        <v>8</v>
      </c>
      <c r="AO42" s="526">
        <f>ROUND(AM42+AN42,2)*A42</f>
        <v>551.17999999999995</v>
      </c>
    </row>
    <row r="43" spans="1:41" s="518" customFormat="1" ht="13.2">
      <c r="A43" s="628"/>
      <c r="B43"/>
      <c r="C43" s="628"/>
      <c r="D43" s="629" t="s">
        <v>356</v>
      </c>
      <c r="F43" s="633"/>
      <c r="G43" s="3"/>
      <c r="H43" s="633"/>
      <c r="I43" s="634"/>
      <c r="J43" s="633"/>
      <c r="K43" s="633" t="s">
        <v>144</v>
      </c>
      <c r="L43" s="633"/>
      <c r="M43" s="633"/>
      <c r="N43" s="633"/>
      <c r="O43" s="633"/>
      <c r="P43" s="633"/>
      <c r="Q43" s="50"/>
      <c r="R43" s="527"/>
      <c r="S43" s="637"/>
      <c r="T43" s="633"/>
    </row>
    <row r="44" spans="1:41" s="649" customFormat="1" ht="13.2">
      <c r="A44">
        <v>1</v>
      </c>
      <c r="B44" s="649" t="s">
        <v>141</v>
      </c>
      <c r="D44" s="649" t="s">
        <v>476</v>
      </c>
      <c r="F44" s="649" t="s">
        <v>479</v>
      </c>
      <c r="G44" s="650" t="s">
        <v>477</v>
      </c>
      <c r="H44" s="651">
        <v>510</v>
      </c>
      <c r="I44" s="649" t="s">
        <v>364</v>
      </c>
      <c r="K44" s="649" t="s">
        <v>478</v>
      </c>
      <c r="O44" s="652">
        <v>2</v>
      </c>
      <c r="P44" s="653"/>
      <c r="Q44" s="654">
        <v>543.17999999999995</v>
      </c>
      <c r="R44" s="655">
        <f>$A44*Q44</f>
        <v>543.17999999999995</v>
      </c>
      <c r="S44" s="654">
        <v>8</v>
      </c>
      <c r="T44" s="656">
        <f>$A44*S44*$T$1</f>
        <v>8</v>
      </c>
    </row>
    <row r="45" spans="1:41" s="518" customFormat="1" ht="12">
      <c r="A45" s="638"/>
      <c r="B45" s="638"/>
      <c r="C45" s="638"/>
      <c r="D45" s="638"/>
      <c r="E45" s="638"/>
      <c r="F45" s="633"/>
      <c r="G45" s="638"/>
      <c r="H45" s="638"/>
      <c r="I45" s="517"/>
      <c r="J45" s="638"/>
      <c r="K45" s="638"/>
      <c r="L45" s="638"/>
      <c r="M45" s="638"/>
      <c r="N45" s="638"/>
      <c r="O45" s="638"/>
      <c r="P45" s="638"/>
      <c r="Q45" s="517"/>
      <c r="R45" s="639">
        <f t="shared" ref="R45" si="4">$A45*Q45</f>
        <v>0</v>
      </c>
      <c r="S45" s="517"/>
      <c r="T45" s="640">
        <f t="shared" ref="T45" si="5">$A45*S45*$T$1</f>
        <v>0</v>
      </c>
    </row>
    <row r="46" spans="1:41" s="518" customFormat="1" ht="12.6" thickBot="1">
      <c r="A46" s="641" t="s">
        <v>145</v>
      </c>
      <c r="B46" s="642">
        <f>(R45+T45)</f>
        <v>0</v>
      </c>
      <c r="C46" s="643"/>
      <c r="D46" s="643"/>
      <c r="E46" s="643"/>
      <c r="F46" s="644"/>
      <c r="G46" s="643" t="s">
        <v>146</v>
      </c>
      <c r="H46" s="643"/>
      <c r="I46" s="645"/>
      <c r="J46" s="643"/>
      <c r="K46" s="643" t="s">
        <v>3</v>
      </c>
      <c r="L46" s="646" t="s">
        <v>143</v>
      </c>
      <c r="M46" s="646"/>
      <c r="N46" s="646"/>
      <c r="O46" s="646"/>
      <c r="P46" s="646"/>
      <c r="Q46" s="647"/>
      <c r="R46" s="648">
        <f>SUM(R43:R45)</f>
        <v>543.17999999999995</v>
      </c>
      <c r="S46" s="643"/>
      <c r="T46" s="648">
        <f>SUM(T43:T45)</f>
        <v>8</v>
      </c>
      <c r="U46" s="528"/>
      <c r="V46" s="528"/>
      <c r="W46" s="528"/>
      <c r="X46" s="528"/>
      <c r="Y46" s="528"/>
      <c r="Z46" s="528"/>
      <c r="AA46" s="528"/>
      <c r="AB46" s="528"/>
      <c r="AC46" s="528"/>
      <c r="AD46" s="528"/>
      <c r="AE46" s="528"/>
      <c r="AF46" s="528"/>
      <c r="AG46" s="528"/>
      <c r="AH46" s="528"/>
      <c r="AI46" s="528"/>
      <c r="AJ46" s="528"/>
      <c r="AK46" s="528"/>
      <c r="AL46" s="528"/>
      <c r="AM46" s="528"/>
      <c r="AN46" s="528"/>
      <c r="AO46" s="528"/>
    </row>
    <row r="47" spans="1:41" s="518" customFormat="1" ht="12" thickTop="1">
      <c r="A47" s="50"/>
      <c r="B47" s="41"/>
      <c r="C47" s="50"/>
      <c r="E47" s="42" t="s">
        <v>138</v>
      </c>
      <c r="F47" s="42" t="s">
        <v>139</v>
      </c>
      <c r="G47" s="50"/>
      <c r="H47" s="50"/>
      <c r="I47" s="50"/>
      <c r="J47" s="50"/>
      <c r="K47" s="50" t="s">
        <v>140</v>
      </c>
      <c r="L47" s="50"/>
      <c r="M47" s="50"/>
      <c r="N47" s="50"/>
      <c r="O47" s="51"/>
      <c r="P47" s="50"/>
      <c r="Q47" s="50"/>
      <c r="R47" s="50"/>
      <c r="S47" s="50"/>
      <c r="T47" s="41"/>
      <c r="AG47" s="625" t="s">
        <v>247</v>
      </c>
      <c r="AH47" s="625" t="s">
        <v>248</v>
      </c>
      <c r="AI47" s="625" t="s">
        <v>249</v>
      </c>
      <c r="AJ47" s="625" t="s">
        <v>250</v>
      </c>
      <c r="AK47" s="625" t="s">
        <v>251</v>
      </c>
      <c r="AM47" s="626" t="s">
        <v>260</v>
      </c>
      <c r="AN47" s="627" t="s">
        <v>261</v>
      </c>
      <c r="AO47" s="519" t="s">
        <v>257</v>
      </c>
    </row>
    <row r="48" spans="1:41" s="518" customFormat="1" ht="12" customHeight="1">
      <c r="A48" s="657">
        <v>1</v>
      </c>
      <c r="B48" s="520" t="s">
        <v>285</v>
      </c>
      <c r="C48" s="628"/>
      <c r="D48" s="629" t="s">
        <v>287</v>
      </c>
      <c r="E48" s="630">
        <f>IF(AND($A48=0,$A$1="DIF"),0, ROUND(ROUND(($R55*$S$2+($T55*$T$2))/A48,2)*$C$2,2))</f>
        <v>85.74</v>
      </c>
      <c r="F48" s="631">
        <f>ROUND($A48*$E48,2)</f>
        <v>85.74</v>
      </c>
      <c r="G48" s="632" t="s">
        <v>142</v>
      </c>
      <c r="H48" s="633"/>
      <c r="I48" s="634"/>
      <c r="J48" s="633"/>
      <c r="K48" s="633" t="s">
        <v>3</v>
      </c>
      <c r="L48" s="635" t="s">
        <v>143</v>
      </c>
      <c r="M48" s="635"/>
      <c r="N48" s="635"/>
      <c r="O48" s="635"/>
      <c r="P48" s="635"/>
      <c r="Q48" s="50"/>
      <c r="T48" s="636" t="str">
        <f>IF(AND($R55=0,$T55=0),"0.00","mu :" &amp; ROUND($F48/$C$2/($R55+$T55*$D$9),2))</f>
        <v>mu :1.1</v>
      </c>
      <c r="W48" s="521"/>
      <c r="AG48" s="478">
        <f>IF($E48=0,0,ROUND($R55*$S$2*$C$2/$A48,2))</f>
        <v>61.58</v>
      </c>
      <c r="AH48" s="478">
        <f>$AG48*$A48</f>
        <v>61.58</v>
      </c>
      <c r="AI48" s="522">
        <f>$E48-$AG48</f>
        <v>24.159999999999997</v>
      </c>
      <c r="AJ48" s="522">
        <f>$A48*$AI48</f>
        <v>24.159999999999997</v>
      </c>
      <c r="AK48" s="523">
        <f>ROUND(($AG48+$AI48)*$A48,2)</f>
        <v>85.74</v>
      </c>
      <c r="AM48" s="524">
        <f>ROUND(R55,2)</f>
        <v>55.98</v>
      </c>
      <c r="AN48" s="525">
        <f>ROUND(T55,2)</f>
        <v>0.8</v>
      </c>
      <c r="AO48" s="526">
        <f>ROUND(AM48+AN48,2)*A48</f>
        <v>56.78</v>
      </c>
    </row>
    <row r="49" spans="1:41" s="518" customFormat="1" ht="13.2">
      <c r="A49" s="628"/>
      <c r="B49"/>
      <c r="C49" s="628"/>
      <c r="D49" s="629" t="s">
        <v>288</v>
      </c>
      <c r="F49" s="633"/>
      <c r="G49" s="3"/>
      <c r="H49" s="633"/>
      <c r="I49" s="634"/>
      <c r="J49" s="633"/>
      <c r="K49" s="633" t="s">
        <v>144</v>
      </c>
      <c r="L49" s="633"/>
      <c r="M49" s="633"/>
      <c r="N49" s="633"/>
      <c r="O49" s="633"/>
      <c r="P49" s="633"/>
      <c r="Q49" s="50"/>
      <c r="R49" s="527"/>
      <c r="S49" s="637"/>
      <c r="T49" s="633"/>
    </row>
    <row r="50" spans="1:41" s="649" customFormat="1" ht="13.2">
      <c r="A50">
        <v>1</v>
      </c>
      <c r="B50" s="649" t="s">
        <v>141</v>
      </c>
      <c r="D50" s="649" t="s">
        <v>357</v>
      </c>
      <c r="G50" s="650" t="s">
        <v>358</v>
      </c>
      <c r="H50" s="651">
        <v>510</v>
      </c>
      <c r="I50" s="649" t="s">
        <v>359</v>
      </c>
      <c r="J50" s="649" t="s">
        <v>360</v>
      </c>
      <c r="K50" s="649" t="s">
        <v>361</v>
      </c>
      <c r="O50" s="652">
        <v>2</v>
      </c>
      <c r="P50" s="653">
        <v>36880</v>
      </c>
      <c r="Q50" s="654">
        <v>50</v>
      </c>
      <c r="R50" s="655">
        <f>$A50*Q50</f>
        <v>50</v>
      </c>
      <c r="S50" s="654">
        <v>0.75</v>
      </c>
      <c r="T50" s="656">
        <f>$A50*S50*$T$1</f>
        <v>0.75</v>
      </c>
    </row>
    <row r="51" spans="1:41" s="649" customFormat="1" ht="13.2">
      <c r="A51" s="112">
        <v>1</v>
      </c>
      <c r="B51" s="649" t="s">
        <v>141</v>
      </c>
      <c r="D51" s="649" t="s">
        <v>362</v>
      </c>
      <c r="G51" s="650" t="s">
        <v>363</v>
      </c>
      <c r="H51" s="651">
        <v>875</v>
      </c>
      <c r="I51" s="649" t="s">
        <v>364</v>
      </c>
      <c r="K51" s="649" t="s">
        <v>365</v>
      </c>
      <c r="O51" s="652">
        <v>3</v>
      </c>
      <c r="P51" s="653">
        <v>34820</v>
      </c>
      <c r="Q51" s="654">
        <v>5.82</v>
      </c>
      <c r="R51" s="655">
        <f>$A51*Q51</f>
        <v>5.82</v>
      </c>
      <c r="S51" s="654">
        <v>0.05</v>
      </c>
      <c r="T51" s="656">
        <f>$A51*S51*$T$1</f>
        <v>0.05</v>
      </c>
    </row>
    <row r="52" spans="1:41" s="649" customFormat="1" ht="13.2">
      <c r="A52" s="112">
        <v>4</v>
      </c>
      <c r="B52" s="649" t="s">
        <v>141</v>
      </c>
      <c r="D52" s="649" t="s">
        <v>366</v>
      </c>
      <c r="G52" s="650" t="s">
        <v>367</v>
      </c>
      <c r="H52" s="651">
        <v>875</v>
      </c>
      <c r="I52" s="649" t="s">
        <v>364</v>
      </c>
      <c r="K52" s="649" t="s">
        <v>368</v>
      </c>
      <c r="O52" s="652">
        <v>1</v>
      </c>
      <c r="P52" s="653">
        <v>34669</v>
      </c>
      <c r="Q52" s="791">
        <v>0.02</v>
      </c>
      <c r="R52" s="655">
        <f>$A52*Q52</f>
        <v>0.08</v>
      </c>
      <c r="S52" s="654"/>
      <c r="T52" s="656">
        <f>$A52*S52*$T$1</f>
        <v>0</v>
      </c>
    </row>
    <row r="53" spans="1:41" s="649" customFormat="1" ht="13.2">
      <c r="A53" s="112">
        <v>4</v>
      </c>
      <c r="B53" s="649" t="s">
        <v>141</v>
      </c>
      <c r="D53" s="649" t="s">
        <v>369</v>
      </c>
      <c r="G53" s="650" t="s">
        <v>370</v>
      </c>
      <c r="H53" s="651">
        <v>875</v>
      </c>
      <c r="I53" s="649" t="s">
        <v>364</v>
      </c>
      <c r="K53" s="649" t="s">
        <v>371</v>
      </c>
      <c r="O53" s="652">
        <v>1</v>
      </c>
      <c r="P53" s="653">
        <v>34669</v>
      </c>
      <c r="Q53" s="791">
        <v>0.02</v>
      </c>
      <c r="R53" s="655">
        <f>$A53*Q53</f>
        <v>0.08</v>
      </c>
      <c r="S53" s="654"/>
      <c r="T53" s="656">
        <f>$A53*S53*$T$1</f>
        <v>0</v>
      </c>
    </row>
    <row r="54" spans="1:41" s="518" customFormat="1" ht="12">
      <c r="A54" s="638"/>
      <c r="B54" s="638"/>
      <c r="C54" s="638"/>
      <c r="D54" s="638"/>
      <c r="E54" s="638"/>
      <c r="F54" s="633"/>
      <c r="G54" s="638"/>
      <c r="H54" s="638"/>
      <c r="I54" s="517"/>
      <c r="J54" s="638"/>
      <c r="K54" s="638"/>
      <c r="L54" s="638"/>
      <c r="M54" s="638"/>
      <c r="N54" s="638"/>
      <c r="O54" s="638"/>
      <c r="P54" s="638"/>
      <c r="Q54" s="517"/>
      <c r="R54" s="639">
        <f t="shared" ref="R54" si="6">$A54*Q54</f>
        <v>0</v>
      </c>
      <c r="S54" s="517"/>
      <c r="T54" s="640">
        <f t="shared" ref="T54" si="7">$A54*S54*$T$1</f>
        <v>0</v>
      </c>
    </row>
    <row r="55" spans="1:41" s="518" customFormat="1" ht="12.6" thickBot="1">
      <c r="A55" s="641" t="s">
        <v>145</v>
      </c>
      <c r="B55" s="642">
        <f>(R54+T54)</f>
        <v>0</v>
      </c>
      <c r="C55" s="643"/>
      <c r="D55" s="643"/>
      <c r="E55" s="643"/>
      <c r="F55" s="644"/>
      <c r="G55" s="643" t="s">
        <v>146</v>
      </c>
      <c r="H55" s="643"/>
      <c r="I55" s="645"/>
      <c r="J55" s="643"/>
      <c r="K55" s="643" t="s">
        <v>3</v>
      </c>
      <c r="L55" s="646" t="s">
        <v>143</v>
      </c>
      <c r="M55" s="646"/>
      <c r="N55" s="646"/>
      <c r="O55" s="646"/>
      <c r="P55" s="646"/>
      <c r="Q55" s="647"/>
      <c r="R55" s="648">
        <f>SUM(R49:R54)</f>
        <v>55.98</v>
      </c>
      <c r="S55" s="643"/>
      <c r="T55" s="648">
        <f>SUM(T49:T54)</f>
        <v>0.8</v>
      </c>
      <c r="U55" s="528"/>
      <c r="V55" s="528"/>
      <c r="W55" s="528"/>
      <c r="X55" s="528"/>
      <c r="Y55" s="528"/>
      <c r="Z55" s="528"/>
      <c r="AA55" s="528"/>
      <c r="AB55" s="528"/>
      <c r="AC55" s="528"/>
      <c r="AD55" s="528"/>
      <c r="AE55" s="528"/>
      <c r="AF55" s="528"/>
      <c r="AG55" s="528"/>
      <c r="AH55" s="528"/>
      <c r="AI55" s="528"/>
      <c r="AJ55" s="528"/>
      <c r="AK55" s="528"/>
      <c r="AL55" s="528"/>
      <c r="AM55" s="528"/>
      <c r="AN55" s="528"/>
      <c r="AO55" s="528"/>
    </row>
    <row r="56" spans="1:41" s="518" customFormat="1" thickTop="1">
      <c r="A56" s="50"/>
      <c r="B56" s="50"/>
      <c r="C56" s="3"/>
      <c r="D56" s="3"/>
      <c r="E56" s="50"/>
      <c r="F56" s="50"/>
      <c r="G56" s="50"/>
      <c r="H56" s="50"/>
      <c r="I56" s="50"/>
      <c r="J56" s="50"/>
      <c r="K56" s="50" t="s">
        <v>134</v>
      </c>
      <c r="L56" s="50"/>
      <c r="M56" s="50"/>
      <c r="N56" s="50"/>
      <c r="O56" s="51"/>
      <c r="P56" s="50"/>
      <c r="Q56" s="50"/>
      <c r="R56" s="50"/>
      <c r="S56" s="50"/>
      <c r="T56" s="50"/>
    </row>
    <row r="57" spans="1:41" s="518" customFormat="1" ht="12">
      <c r="A57" s="50"/>
      <c r="B57" s="50"/>
      <c r="C57" s="50" t="s">
        <v>135</v>
      </c>
      <c r="D57" s="37" t="s">
        <v>289</v>
      </c>
      <c r="E57" s="50"/>
      <c r="F57" s="50"/>
      <c r="G57" s="50"/>
      <c r="H57" s="50"/>
      <c r="I57" s="50"/>
      <c r="J57" s="50"/>
      <c r="K57" s="50"/>
      <c r="L57" s="50"/>
      <c r="M57" s="50"/>
      <c r="N57" s="50"/>
      <c r="O57" s="51"/>
      <c r="P57" s="50"/>
      <c r="Q57" s="50"/>
      <c r="R57" s="50"/>
      <c r="S57" s="50"/>
      <c r="T57" s="50"/>
    </row>
    <row r="58" spans="1:41" s="518" customFormat="1" ht="12">
      <c r="A58" s="50"/>
      <c r="B58" s="50"/>
      <c r="C58" s="50"/>
      <c r="D58" s="37" t="s">
        <v>290</v>
      </c>
      <c r="E58" s="50"/>
      <c r="F58" s="50"/>
      <c r="G58" s="50"/>
      <c r="H58" s="50"/>
      <c r="I58" s="50"/>
      <c r="J58" s="50"/>
      <c r="K58" s="50"/>
      <c r="L58" s="50"/>
      <c r="M58" s="50"/>
      <c r="N58" s="50"/>
      <c r="O58" s="51"/>
      <c r="P58" s="50"/>
      <c r="Q58" s="50"/>
      <c r="R58" s="50"/>
      <c r="S58" s="38"/>
      <c r="T58" s="38"/>
    </row>
    <row r="59" spans="1:41" s="3" customFormat="1" thickBot="1">
      <c r="A59" s="528"/>
      <c r="O59" s="103"/>
    </row>
    <row r="60" spans="1:41" s="518" customFormat="1" ht="12" thickTop="1">
      <c r="A60" s="50"/>
      <c r="B60" s="41"/>
      <c r="C60" s="50"/>
      <c r="E60" s="42" t="s">
        <v>138</v>
      </c>
      <c r="F60" s="42" t="s">
        <v>139</v>
      </c>
      <c r="G60" s="50"/>
      <c r="H60" s="50"/>
      <c r="I60" s="50"/>
      <c r="J60" s="50"/>
      <c r="K60" s="50" t="s">
        <v>140</v>
      </c>
      <c r="L60" s="50"/>
      <c r="M60" s="50"/>
      <c r="N60" s="50"/>
      <c r="O60" s="51"/>
      <c r="P60" s="50"/>
      <c r="Q60" s="50"/>
      <c r="R60" s="50"/>
      <c r="S60" s="50"/>
      <c r="T60" s="41"/>
      <c r="AG60" s="625" t="s">
        <v>247</v>
      </c>
      <c r="AH60" s="625" t="s">
        <v>248</v>
      </c>
      <c r="AI60" s="625" t="s">
        <v>249</v>
      </c>
      <c r="AJ60" s="625" t="s">
        <v>250</v>
      </c>
      <c r="AK60" s="625" t="s">
        <v>251</v>
      </c>
      <c r="AM60" s="626" t="s">
        <v>260</v>
      </c>
      <c r="AN60" s="627" t="s">
        <v>261</v>
      </c>
      <c r="AO60" s="519" t="s">
        <v>257</v>
      </c>
    </row>
    <row r="61" spans="1:41" s="518" customFormat="1" ht="12" customHeight="1">
      <c r="A61" s="657">
        <v>6</v>
      </c>
      <c r="B61" s="520" t="s">
        <v>280</v>
      </c>
      <c r="C61" s="628"/>
      <c r="D61" s="629" t="s">
        <v>291</v>
      </c>
      <c r="E61" s="630">
        <f>IF(AND($A61=0,$A$1="DIF"),0, ROUND(ROUND(($R74*$S$2+($T74*$T$2))/A61,2)*$C$2,2))</f>
        <v>43.81</v>
      </c>
      <c r="F61" s="631">
        <f>ROUND($A61*$E61,2)</f>
        <v>262.86</v>
      </c>
      <c r="G61" s="632" t="s">
        <v>142</v>
      </c>
      <c r="H61" s="633"/>
      <c r="I61" s="634"/>
      <c r="J61" s="633"/>
      <c r="K61" s="633" t="s">
        <v>3</v>
      </c>
      <c r="L61" s="635" t="s">
        <v>143</v>
      </c>
      <c r="M61" s="635"/>
      <c r="N61" s="635"/>
      <c r="O61" s="635"/>
      <c r="P61" s="635"/>
      <c r="Q61" s="50"/>
      <c r="T61" s="636" t="str">
        <f>IF(AND($R74=0,$T74=0),"0.00","mu :" &amp; ROUND($F61/$C$2/($R74+$T74*$D$9),2))</f>
        <v>mu :1.1</v>
      </c>
      <c r="W61" s="521"/>
      <c r="AG61" s="478">
        <f>IF($E61=0,0,ROUND($R74*$S$2*$C$2/$A61,2))</f>
        <v>25.38</v>
      </c>
      <c r="AH61" s="478">
        <f>$AG61*$A61</f>
        <v>152.28</v>
      </c>
      <c r="AI61" s="522">
        <f>$E61-$AG61</f>
        <v>18.430000000000003</v>
      </c>
      <c r="AJ61" s="522">
        <f>$A61*$AI61</f>
        <v>110.58000000000001</v>
      </c>
      <c r="AK61" s="523">
        <f>ROUND(($AG61+$AI61)*$A61,2)</f>
        <v>262.86</v>
      </c>
      <c r="AM61" s="524">
        <f>ROUND(R74,2)</f>
        <v>138.44</v>
      </c>
      <c r="AN61" s="525">
        <f>ROUND(T74,2)</f>
        <v>3.66</v>
      </c>
      <c r="AO61" s="526">
        <f>ROUND(AM61+AN61,2)*A61</f>
        <v>852.59999999999991</v>
      </c>
    </row>
    <row r="62" spans="1:41" s="518" customFormat="1" ht="13.2">
      <c r="A62" s="628"/>
      <c r="B62"/>
      <c r="C62" s="628"/>
      <c r="D62" s="629" t="s">
        <v>292</v>
      </c>
      <c r="F62" s="633"/>
      <c r="G62" s="3"/>
      <c r="H62" s="633"/>
      <c r="I62" s="634"/>
      <c r="J62" s="633"/>
      <c r="K62" s="633" t="s">
        <v>144</v>
      </c>
      <c r="L62" s="633"/>
      <c r="M62" s="633"/>
      <c r="N62" s="633"/>
      <c r="O62" s="633"/>
      <c r="P62" s="633"/>
      <c r="Q62" s="50"/>
      <c r="R62" s="527"/>
      <c r="S62" s="637"/>
      <c r="T62" s="633"/>
    </row>
    <row r="63" spans="1:41" s="649" customFormat="1" ht="13.2">
      <c r="A63">
        <v>6</v>
      </c>
      <c r="B63" s="649" t="s">
        <v>387</v>
      </c>
      <c r="D63" s="649" t="s">
        <v>453</v>
      </c>
      <c r="G63" s="650" t="s">
        <v>454</v>
      </c>
      <c r="H63" s="651">
        <v>675</v>
      </c>
      <c r="I63" s="649" t="s">
        <v>455</v>
      </c>
      <c r="O63" s="652">
        <v>1</v>
      </c>
      <c r="P63" s="653">
        <v>39111</v>
      </c>
      <c r="Q63" s="654">
        <v>19.66</v>
      </c>
      <c r="R63" s="655">
        <f t="shared" ref="R63:R72" si="8">$A63*Q63</f>
        <v>117.96000000000001</v>
      </c>
      <c r="S63" s="654">
        <v>0.41000000000000003</v>
      </c>
      <c r="T63" s="656">
        <f t="shared" ref="T63:T72" si="9">$A63*S63*$T$1</f>
        <v>2.46</v>
      </c>
    </row>
    <row r="64" spans="1:41" s="649" customFormat="1" ht="13.2">
      <c r="A64" s="112">
        <v>3</v>
      </c>
      <c r="B64" s="649" t="s">
        <v>141</v>
      </c>
      <c r="D64" s="649" t="s">
        <v>456</v>
      </c>
      <c r="G64" s="650" t="s">
        <v>457</v>
      </c>
      <c r="H64" s="651">
        <v>875</v>
      </c>
      <c r="I64" s="649" t="s">
        <v>364</v>
      </c>
      <c r="K64" s="649" t="s">
        <v>458</v>
      </c>
      <c r="O64" s="652">
        <v>1</v>
      </c>
      <c r="P64" s="653">
        <v>34669</v>
      </c>
      <c r="Q64" s="654">
        <v>1.01</v>
      </c>
      <c r="R64" s="655">
        <f t="shared" si="8"/>
        <v>3.0300000000000002</v>
      </c>
      <c r="S64" s="654"/>
      <c r="T64" s="656">
        <f t="shared" si="9"/>
        <v>0</v>
      </c>
    </row>
    <row r="65" spans="1:41" s="649" customFormat="1" ht="13.2">
      <c r="A65">
        <v>12</v>
      </c>
      <c r="B65" s="649" t="s">
        <v>141</v>
      </c>
      <c r="D65" s="649" t="s">
        <v>459</v>
      </c>
      <c r="G65" s="650" t="s">
        <v>460</v>
      </c>
      <c r="H65" s="651">
        <v>875</v>
      </c>
      <c r="I65" s="649" t="s">
        <v>364</v>
      </c>
      <c r="K65" s="649" t="s">
        <v>461</v>
      </c>
      <c r="O65" s="652">
        <v>1</v>
      </c>
      <c r="P65" s="653">
        <v>38118</v>
      </c>
      <c r="Q65" s="654">
        <v>0.12</v>
      </c>
      <c r="R65" s="655">
        <f t="shared" si="8"/>
        <v>1.44</v>
      </c>
      <c r="S65" s="654"/>
      <c r="T65" s="656">
        <f t="shared" si="9"/>
        <v>0</v>
      </c>
    </row>
    <row r="66" spans="1:41" s="649" customFormat="1" ht="13.2">
      <c r="A66" s="112">
        <v>20</v>
      </c>
      <c r="B66" s="649" t="s">
        <v>141</v>
      </c>
      <c r="D66" s="649" t="s">
        <v>462</v>
      </c>
      <c r="G66" s="650" t="s">
        <v>463</v>
      </c>
      <c r="H66" s="651">
        <v>875</v>
      </c>
      <c r="I66" s="649" t="s">
        <v>364</v>
      </c>
      <c r="K66" s="649" t="s">
        <v>464</v>
      </c>
      <c r="O66" s="652">
        <v>1</v>
      </c>
      <c r="P66" s="653">
        <v>34669</v>
      </c>
      <c r="Q66" s="654">
        <v>0.03</v>
      </c>
      <c r="R66" s="655">
        <f t="shared" si="8"/>
        <v>0.6</v>
      </c>
      <c r="S66" s="654"/>
      <c r="T66" s="656">
        <f t="shared" si="9"/>
        <v>0</v>
      </c>
    </row>
    <row r="67" spans="1:41" s="649" customFormat="1" ht="13.2">
      <c r="A67" s="112">
        <v>36</v>
      </c>
      <c r="B67" s="649" t="s">
        <v>141</v>
      </c>
      <c r="D67" s="649" t="s">
        <v>465</v>
      </c>
      <c r="G67" s="650" t="s">
        <v>466</v>
      </c>
      <c r="H67" s="651">
        <v>875</v>
      </c>
      <c r="I67" s="649" t="s">
        <v>364</v>
      </c>
      <c r="K67" s="649" t="s">
        <v>467</v>
      </c>
      <c r="O67" s="652">
        <v>1</v>
      </c>
      <c r="P67" s="653">
        <v>34669</v>
      </c>
      <c r="Q67" s="654">
        <v>0.1</v>
      </c>
      <c r="R67" s="655">
        <f t="shared" si="8"/>
        <v>3.6</v>
      </c>
      <c r="S67" s="654"/>
      <c r="T67" s="656">
        <f t="shared" si="9"/>
        <v>0</v>
      </c>
    </row>
    <row r="68" spans="1:41" s="649" customFormat="1" ht="13.2">
      <c r="A68">
        <v>12</v>
      </c>
      <c r="B68" s="649" t="s">
        <v>141</v>
      </c>
      <c r="D68" s="649" t="s">
        <v>459</v>
      </c>
      <c r="G68" s="650" t="s">
        <v>460</v>
      </c>
      <c r="H68" s="651">
        <v>875</v>
      </c>
      <c r="I68" s="649" t="s">
        <v>364</v>
      </c>
      <c r="K68" s="649" t="s">
        <v>461</v>
      </c>
      <c r="O68" s="652">
        <v>1</v>
      </c>
      <c r="P68" s="653">
        <v>38118</v>
      </c>
      <c r="Q68" s="654">
        <v>0.12</v>
      </c>
      <c r="R68" s="655">
        <f t="shared" si="8"/>
        <v>1.44</v>
      </c>
      <c r="S68" s="654"/>
      <c r="T68" s="656">
        <f t="shared" si="9"/>
        <v>0</v>
      </c>
    </row>
    <row r="69" spans="1:41" s="649" customFormat="1" ht="13.2">
      <c r="A69">
        <v>1</v>
      </c>
      <c r="B69" s="649" t="s">
        <v>387</v>
      </c>
      <c r="D69" s="649" t="s">
        <v>468</v>
      </c>
      <c r="G69" s="650" t="s">
        <v>469</v>
      </c>
      <c r="H69" s="651">
        <v>501</v>
      </c>
      <c r="I69" s="649" t="s">
        <v>470</v>
      </c>
      <c r="J69" s="649" t="s">
        <v>471</v>
      </c>
      <c r="K69" s="649" t="s">
        <v>472</v>
      </c>
      <c r="O69" s="652">
        <v>1</v>
      </c>
      <c r="P69" s="653">
        <v>36175</v>
      </c>
      <c r="Q69" s="654">
        <f>28/3</f>
        <v>9.3333333333333339</v>
      </c>
      <c r="R69" s="655">
        <f t="shared" si="8"/>
        <v>9.3333333333333339</v>
      </c>
      <c r="S69" s="654"/>
      <c r="T69" s="656">
        <f t="shared" si="9"/>
        <v>0</v>
      </c>
    </row>
    <row r="70" spans="1:41" s="649" customFormat="1" ht="13.2">
      <c r="A70">
        <v>8</v>
      </c>
      <c r="B70" s="649" t="s">
        <v>141</v>
      </c>
      <c r="D70" s="649" t="s">
        <v>473</v>
      </c>
      <c r="G70" s="650" t="s">
        <v>474</v>
      </c>
      <c r="H70" s="651">
        <v>501</v>
      </c>
      <c r="I70" s="649" t="s">
        <v>364</v>
      </c>
      <c r="K70" s="649" t="s">
        <v>475</v>
      </c>
      <c r="O70" s="652">
        <v>1</v>
      </c>
      <c r="P70" s="653"/>
      <c r="Q70" s="654">
        <v>0.03</v>
      </c>
      <c r="R70" s="655">
        <f t="shared" si="8"/>
        <v>0.24</v>
      </c>
      <c r="S70" s="654"/>
      <c r="T70" s="656">
        <f t="shared" si="9"/>
        <v>0</v>
      </c>
    </row>
    <row r="71" spans="1:41" s="649" customFormat="1" ht="13.2">
      <c r="A71">
        <v>8</v>
      </c>
      <c r="B71" s="649" t="s">
        <v>141</v>
      </c>
      <c r="D71" s="649" t="s">
        <v>459</v>
      </c>
      <c r="G71" s="650" t="s">
        <v>460</v>
      </c>
      <c r="H71" s="651">
        <v>875</v>
      </c>
      <c r="I71" s="649" t="s">
        <v>364</v>
      </c>
      <c r="K71" s="649" t="s">
        <v>461</v>
      </c>
      <c r="O71" s="652">
        <v>1</v>
      </c>
      <c r="P71" s="653">
        <v>38118</v>
      </c>
      <c r="Q71" s="654">
        <v>0.1</v>
      </c>
      <c r="R71" s="655">
        <f t="shared" si="8"/>
        <v>0.8</v>
      </c>
      <c r="S71" s="654"/>
      <c r="T71" s="656">
        <f t="shared" si="9"/>
        <v>0</v>
      </c>
    </row>
    <row r="72" spans="1:41" s="649" customFormat="1" ht="13.2">
      <c r="A72">
        <v>1</v>
      </c>
      <c r="B72" s="649" t="s">
        <v>141</v>
      </c>
      <c r="D72" s="649" t="s">
        <v>415</v>
      </c>
      <c r="G72" s="650" t="s">
        <v>416</v>
      </c>
      <c r="H72" s="651">
        <v>900</v>
      </c>
      <c r="I72" s="649" t="s">
        <v>400</v>
      </c>
      <c r="O72" s="652">
        <v>1</v>
      </c>
      <c r="P72" s="653"/>
      <c r="Q72" s="654">
        <v>0</v>
      </c>
      <c r="R72" s="655">
        <f t="shared" si="8"/>
        <v>0</v>
      </c>
      <c r="S72" s="654">
        <v>1.2</v>
      </c>
      <c r="T72" s="656">
        <f t="shared" si="9"/>
        <v>1.2</v>
      </c>
    </row>
    <row r="73" spans="1:41" s="518" customFormat="1" ht="12">
      <c r="A73" s="638"/>
      <c r="B73" s="638"/>
      <c r="C73" s="638"/>
      <c r="D73" s="638"/>
      <c r="E73" s="638"/>
      <c r="F73" s="633"/>
      <c r="G73" s="638"/>
      <c r="H73" s="638"/>
      <c r="I73" s="517"/>
      <c r="J73" s="638"/>
      <c r="K73" s="638"/>
      <c r="L73" s="638"/>
      <c r="M73" s="638"/>
      <c r="N73" s="638"/>
      <c r="O73" s="638"/>
      <c r="P73" s="638"/>
      <c r="Q73" s="517"/>
      <c r="R73" s="639">
        <f t="shared" ref="R73" si="10">$A73*Q73</f>
        <v>0</v>
      </c>
      <c r="S73" s="517"/>
      <c r="T73" s="640">
        <f t="shared" ref="T73" si="11">$A73*S73*$T$1</f>
        <v>0</v>
      </c>
    </row>
    <row r="74" spans="1:41" s="518" customFormat="1" ht="12.6" thickBot="1">
      <c r="A74" s="641" t="s">
        <v>145</v>
      </c>
      <c r="B74" s="642">
        <f>(R73+T73)</f>
        <v>0</v>
      </c>
      <c r="C74" s="643"/>
      <c r="D74" s="643"/>
      <c r="E74" s="643"/>
      <c r="F74" s="644"/>
      <c r="G74" s="643" t="s">
        <v>146</v>
      </c>
      <c r="H74" s="643"/>
      <c r="I74" s="645"/>
      <c r="J74" s="643"/>
      <c r="K74" s="643" t="s">
        <v>3</v>
      </c>
      <c r="L74" s="646" t="s">
        <v>143</v>
      </c>
      <c r="M74" s="646"/>
      <c r="N74" s="646"/>
      <c r="O74" s="646"/>
      <c r="P74" s="646"/>
      <c r="Q74" s="647"/>
      <c r="R74" s="648">
        <f>SUM(R62:R73)</f>
        <v>138.44333333333336</v>
      </c>
      <c r="S74" s="643"/>
      <c r="T74" s="648">
        <f>SUM(T62:T73)</f>
        <v>3.66</v>
      </c>
      <c r="U74" s="528"/>
      <c r="V74" s="528"/>
      <c r="W74" s="528"/>
      <c r="X74" s="528"/>
      <c r="Y74" s="528"/>
      <c r="Z74" s="528"/>
      <c r="AA74" s="528"/>
      <c r="AB74" s="528"/>
      <c r="AC74" s="528"/>
      <c r="AD74" s="528"/>
      <c r="AE74" s="528"/>
      <c r="AF74" s="528"/>
      <c r="AG74" s="528"/>
      <c r="AH74" s="528"/>
      <c r="AI74" s="528"/>
      <c r="AJ74" s="528"/>
      <c r="AK74" s="528"/>
      <c r="AL74" s="528"/>
      <c r="AM74" s="528"/>
      <c r="AN74" s="528"/>
      <c r="AO74" s="528"/>
    </row>
    <row r="75" spans="1:41" s="518" customFormat="1" thickTop="1">
      <c r="A75" s="50"/>
      <c r="B75" s="50"/>
      <c r="C75" s="3"/>
      <c r="D75" s="3"/>
      <c r="E75" s="50"/>
      <c r="F75" s="50"/>
      <c r="G75" s="50"/>
      <c r="H75" s="50"/>
      <c r="I75" s="50"/>
      <c r="J75" s="50"/>
      <c r="K75" s="50" t="s">
        <v>134</v>
      </c>
      <c r="L75" s="50"/>
      <c r="M75" s="50"/>
      <c r="N75" s="50"/>
      <c r="O75" s="51"/>
      <c r="P75" s="50"/>
      <c r="Q75" s="50"/>
      <c r="R75" s="50"/>
      <c r="S75" s="50"/>
      <c r="T75" s="50"/>
    </row>
    <row r="76" spans="1:41" s="518" customFormat="1" ht="12">
      <c r="A76" s="50"/>
      <c r="B76" s="50"/>
      <c r="C76" s="50" t="s">
        <v>135</v>
      </c>
      <c r="D76" s="37" t="s">
        <v>293</v>
      </c>
      <c r="E76" s="50"/>
      <c r="F76" s="50"/>
      <c r="G76" s="50"/>
      <c r="H76" s="50"/>
      <c r="I76" s="50"/>
      <c r="J76" s="50"/>
      <c r="K76" s="50"/>
      <c r="L76" s="50"/>
      <c r="M76" s="50"/>
      <c r="N76" s="50"/>
      <c r="O76" s="51"/>
      <c r="P76" s="50"/>
      <c r="Q76" s="50"/>
      <c r="R76" s="50"/>
      <c r="S76" s="50"/>
      <c r="T76" s="50"/>
    </row>
    <row r="77" spans="1:41" s="518" customFormat="1" ht="12">
      <c r="A77" s="50"/>
      <c r="B77" s="50"/>
      <c r="C77" s="50"/>
      <c r="D77" s="37" t="s">
        <v>294</v>
      </c>
      <c r="E77" s="50"/>
      <c r="F77" s="50"/>
      <c r="G77" s="50"/>
      <c r="H77" s="50"/>
      <c r="I77" s="50"/>
      <c r="J77" s="50"/>
      <c r="K77" s="50"/>
      <c r="L77" s="50"/>
      <c r="M77" s="50"/>
      <c r="N77" s="50"/>
      <c r="O77" s="51"/>
      <c r="P77" s="50"/>
      <c r="Q77" s="50"/>
      <c r="R77" s="50"/>
      <c r="S77" s="38"/>
      <c r="T77" s="38"/>
    </row>
    <row r="78" spans="1:41" s="3" customFormat="1" thickBot="1">
      <c r="A78" s="528"/>
      <c r="O78" s="103"/>
    </row>
    <row r="79" spans="1:41" s="518" customFormat="1" ht="12" thickTop="1">
      <c r="A79" s="50"/>
      <c r="B79" s="41"/>
      <c r="C79" s="50"/>
      <c r="E79" s="42" t="s">
        <v>138</v>
      </c>
      <c r="F79" s="42" t="s">
        <v>139</v>
      </c>
      <c r="G79" s="50"/>
      <c r="H79" s="50"/>
      <c r="I79" s="50"/>
      <c r="J79" s="50"/>
      <c r="K79" s="50" t="s">
        <v>140</v>
      </c>
      <c r="L79" s="50"/>
      <c r="M79" s="50"/>
      <c r="N79" s="50"/>
      <c r="O79" s="51"/>
      <c r="P79" s="50"/>
      <c r="Q79" s="50"/>
      <c r="R79" s="50"/>
      <c r="S79" s="50"/>
      <c r="T79" s="41"/>
      <c r="AG79" s="625" t="s">
        <v>247</v>
      </c>
      <c r="AH79" s="625" t="s">
        <v>248</v>
      </c>
      <c r="AI79" s="625" t="s">
        <v>249</v>
      </c>
      <c r="AJ79" s="625" t="s">
        <v>250</v>
      </c>
      <c r="AK79" s="625" t="s">
        <v>251</v>
      </c>
      <c r="AM79" s="626" t="s">
        <v>260</v>
      </c>
      <c r="AN79" s="627" t="s">
        <v>261</v>
      </c>
      <c r="AO79" s="519" t="s">
        <v>257</v>
      </c>
    </row>
    <row r="80" spans="1:41" s="518" customFormat="1" ht="12" customHeight="1">
      <c r="A80" s="657">
        <v>24</v>
      </c>
      <c r="B80" s="520" t="s">
        <v>285</v>
      </c>
      <c r="C80" s="628"/>
      <c r="D80" s="629" t="s">
        <v>295</v>
      </c>
      <c r="E80" s="630">
        <f ca="1">IF(AND($A80=0,$A$1="DIF"),0, ROUND(ROUND(($R89*$S$2+($T89*$T$2))/A80,2)*$C$2,2))</f>
        <v>83.3</v>
      </c>
      <c r="F80" s="631">
        <f ca="1">ROUND($A80*$E80,2)</f>
        <v>1999.2</v>
      </c>
      <c r="G80" s="632" t="s">
        <v>142</v>
      </c>
      <c r="H80" s="633"/>
      <c r="I80" s="634"/>
      <c r="J80" s="633"/>
      <c r="K80" s="633" t="s">
        <v>3</v>
      </c>
      <c r="L80" s="635" t="s">
        <v>143</v>
      </c>
      <c r="M80" s="635"/>
      <c r="N80" s="635"/>
      <c r="O80" s="635"/>
      <c r="P80" s="635"/>
      <c r="Q80" s="50"/>
      <c r="T80" s="636" t="str">
        <f ca="1">IF(AND($R89=0,$T89=0),"0.00","mu :" &amp; ROUND($F80/$C$2/($R89+$T89*$D$9),2))</f>
        <v>mu :1.1</v>
      </c>
      <c r="W80" s="521"/>
      <c r="AG80" s="478">
        <f ca="1">IF($E80=0,0,ROUND($R89*$S$2*$C$2/$A80,2))</f>
        <v>28.93</v>
      </c>
      <c r="AH80" s="478">
        <f ca="1">$AG80*$A80</f>
        <v>694.31999999999994</v>
      </c>
      <c r="AI80" s="522">
        <f ca="1">$E80-$AG80</f>
        <v>54.37</v>
      </c>
      <c r="AJ80" s="522">
        <f ca="1">$A80*$AI80</f>
        <v>1304.8799999999999</v>
      </c>
      <c r="AK80" s="523">
        <f ca="1">ROUND(($AG80+$AI80)*$A80,2)</f>
        <v>1999.2</v>
      </c>
      <c r="AM80" s="524">
        <f ca="1">ROUND(R89,2)</f>
        <v>631.20000000000005</v>
      </c>
      <c r="AN80" s="525">
        <f ca="1">ROUND(T89,2)</f>
        <v>43.2</v>
      </c>
      <c r="AO80" s="526">
        <f ca="1">ROUND(AM80+AN80,2)*A80</f>
        <v>16185.599999999999</v>
      </c>
    </row>
    <row r="81" spans="1:41" s="518" customFormat="1" ht="13.2">
      <c r="A81" s="628"/>
      <c r="B81"/>
      <c r="C81" s="628"/>
      <c r="D81" s="629" t="s">
        <v>296</v>
      </c>
      <c r="F81" s="633"/>
      <c r="G81" s="3"/>
      <c r="H81" s="633"/>
      <c r="I81" s="634"/>
      <c r="J81" s="633"/>
      <c r="K81" s="633" t="s">
        <v>144</v>
      </c>
      <c r="L81" s="633"/>
      <c r="M81" s="633"/>
      <c r="N81" s="633"/>
      <c r="O81" s="633"/>
      <c r="P81" s="633"/>
      <c r="Q81" s="50"/>
      <c r="R81" s="527"/>
      <c r="S81" s="637"/>
      <c r="T81" s="633"/>
    </row>
    <row r="82" spans="1:41" s="649" customFormat="1" ht="13.2">
      <c r="A82" s="112">
        <v>24</v>
      </c>
      <c r="B82" s="649" t="s">
        <v>141</v>
      </c>
      <c r="D82" s="649" t="s">
        <v>384</v>
      </c>
      <c r="G82" s="650" t="s">
        <v>385</v>
      </c>
      <c r="H82" s="651">
        <v>705</v>
      </c>
      <c r="I82" s="649" t="s">
        <v>382</v>
      </c>
      <c r="J82" s="649" t="s">
        <v>386</v>
      </c>
      <c r="O82" s="652">
        <v>3</v>
      </c>
      <c r="P82" s="653">
        <v>34669</v>
      </c>
      <c r="Q82" s="654">
        <v>2.98</v>
      </c>
      <c r="R82" s="655">
        <f>$A82*Q82</f>
        <v>71.52</v>
      </c>
      <c r="S82" s="654">
        <v>0.17</v>
      </c>
      <c r="T82" s="656">
        <f>$A82*S82*$T$1</f>
        <v>4.08</v>
      </c>
    </row>
    <row r="83" spans="1:41" s="649" customFormat="1" ht="13.2">
      <c r="A83" s="112">
        <v>24</v>
      </c>
      <c r="B83" s="649" t="s">
        <v>141</v>
      </c>
      <c r="D83" s="649" t="s">
        <v>377</v>
      </c>
      <c r="G83" s="650" t="s">
        <v>378</v>
      </c>
      <c r="H83" s="651">
        <v>875</v>
      </c>
      <c r="I83" s="649" t="s">
        <v>364</v>
      </c>
      <c r="K83" s="649" t="s">
        <v>379</v>
      </c>
      <c r="O83" s="652">
        <v>3</v>
      </c>
      <c r="P83" s="653">
        <v>34820</v>
      </c>
      <c r="Q83" s="654">
        <v>0.5</v>
      </c>
      <c r="R83" s="655">
        <f>$A83*Q83</f>
        <v>12</v>
      </c>
      <c r="S83" s="654">
        <v>0.05</v>
      </c>
      <c r="T83" s="656">
        <f>$A83*S83*$T$1</f>
        <v>1.2000000000000002</v>
      </c>
    </row>
    <row r="84" spans="1:41" s="649" customFormat="1" ht="13.2">
      <c r="A84">
        <v>48</v>
      </c>
      <c r="B84" s="649" t="s">
        <v>141</v>
      </c>
      <c r="D84" s="649" t="s">
        <v>366</v>
      </c>
      <c r="G84" s="650" t="s">
        <v>367</v>
      </c>
      <c r="H84" s="651">
        <v>875</v>
      </c>
      <c r="I84" s="649" t="s">
        <v>364</v>
      </c>
      <c r="K84" s="649" t="s">
        <v>368</v>
      </c>
      <c r="O84" s="652">
        <v>1</v>
      </c>
      <c r="P84" s="653">
        <v>34669</v>
      </c>
      <c r="Q84" s="654">
        <v>0.03</v>
      </c>
      <c r="R84" s="655">
        <f>$A84*Q84</f>
        <v>1.44</v>
      </c>
      <c r="S84" s="654"/>
      <c r="T84" s="656">
        <f>$A84*S84*$T$1</f>
        <v>0</v>
      </c>
    </row>
    <row r="85" spans="1:41" s="649" customFormat="1" ht="13.2">
      <c r="A85">
        <v>48</v>
      </c>
      <c r="B85" s="649" t="s">
        <v>141</v>
      </c>
      <c r="D85" s="649" t="s">
        <v>369</v>
      </c>
      <c r="G85" s="650" t="s">
        <v>370</v>
      </c>
      <c r="H85" s="651">
        <v>875</v>
      </c>
      <c r="I85" s="649" t="s">
        <v>364</v>
      </c>
      <c r="K85" s="649" t="s">
        <v>371</v>
      </c>
      <c r="O85" s="652">
        <v>1</v>
      </c>
      <c r="P85" s="653">
        <v>34669</v>
      </c>
      <c r="Q85" s="654">
        <v>0.03</v>
      </c>
      <c r="R85" s="655">
        <f>$A85*Q85</f>
        <v>1.44</v>
      </c>
      <c r="S85" s="654"/>
      <c r="T85" s="656">
        <f>$A85*S85*$T$1</f>
        <v>0</v>
      </c>
    </row>
    <row r="86" spans="1:41" s="737" customFormat="1" ht="13.2">
      <c r="A86"/>
      <c r="B86" s="761"/>
      <c r="C86" s="761" t="s">
        <v>510</v>
      </c>
      <c r="D86" s="761" t="str">
        <f ca="1">CELL("Address",Elec_Rates!D$19)</f>
        <v>[PantaShowroom_Phase2.xlsx]Elec_Rates!$D$19</v>
      </c>
      <c r="E86" s="762"/>
      <c r="F86" s="762"/>
      <c r="G86" s="763" t="s">
        <v>511</v>
      </c>
      <c r="H86" s="763"/>
      <c r="I86" s="763"/>
      <c r="J86" s="763"/>
      <c r="K86" s="764"/>
      <c r="L86" s="762"/>
      <c r="M86" s="762"/>
      <c r="N86" s="762"/>
      <c r="O86" s="765"/>
      <c r="P86" s="762"/>
      <c r="Q86" s="766"/>
      <c r="R86" s="767"/>
      <c r="S86" s="766"/>
      <c r="T86" s="768"/>
      <c r="U86" s="769"/>
    </row>
    <row r="87" spans="1:41" s="737" customFormat="1" ht="11.4">
      <c r="A87" s="770">
        <v>24</v>
      </c>
      <c r="B87" s="771">
        <v>1</v>
      </c>
      <c r="C87" s="771">
        <f>$A87*$B87</f>
        <v>24</v>
      </c>
      <c r="D87" s="772" t="str">
        <f>Elec_Rates!$D$19</f>
        <v>001#  Power Point</v>
      </c>
      <c r="E87" s="772"/>
      <c r="F87" s="772" t="s">
        <v>512</v>
      </c>
      <c r="G87" s="773" t="s">
        <v>513</v>
      </c>
      <c r="H87" s="773"/>
      <c r="I87" s="773"/>
      <c r="J87" s="773"/>
      <c r="K87" s="774"/>
      <c r="L87" s="769"/>
      <c r="M87" s="769"/>
      <c r="N87" s="769"/>
      <c r="O87" s="775"/>
      <c r="P87" s="772"/>
      <c r="Q87" s="776">
        <f ca="1">$B87*Elec_Rates!$R$19</f>
        <v>22.7</v>
      </c>
      <c r="R87" s="767">
        <f ca="1">$A87*Q87</f>
        <v>544.79999999999995</v>
      </c>
      <c r="S87" s="776">
        <f ca="1">$B87*Elec_Rates!$T$19</f>
        <v>1.58</v>
      </c>
      <c r="T87" s="768">
        <f ca="1">$A87*S87</f>
        <v>37.92</v>
      </c>
      <c r="U87" s="777"/>
    </row>
    <row r="88" spans="1:41" s="518" customFormat="1" ht="12">
      <c r="A88" s="638"/>
      <c r="B88" s="638"/>
      <c r="C88" s="638"/>
      <c r="D88" s="638"/>
      <c r="E88" s="638"/>
      <c r="F88" s="633"/>
      <c r="G88" s="638"/>
      <c r="H88" s="638"/>
      <c r="I88" s="517"/>
      <c r="J88" s="638"/>
      <c r="K88" s="638"/>
      <c r="L88" s="638"/>
      <c r="M88" s="638"/>
      <c r="N88" s="638"/>
      <c r="O88" s="638"/>
      <c r="P88" s="638"/>
      <c r="Q88" s="517"/>
      <c r="R88" s="639">
        <f t="shared" ref="R88" si="12">$A88*Q88</f>
        <v>0</v>
      </c>
      <c r="S88" s="517"/>
      <c r="T88" s="640">
        <f t="shared" ref="T88" si="13">$A88*S88*$T$1</f>
        <v>0</v>
      </c>
    </row>
    <row r="89" spans="1:41" s="518" customFormat="1" ht="12.6" thickBot="1">
      <c r="A89" s="641" t="s">
        <v>145</v>
      </c>
      <c r="B89" s="642">
        <f>(R88+T88)</f>
        <v>0</v>
      </c>
      <c r="C89" s="643"/>
      <c r="D89" s="643"/>
      <c r="E89" s="643"/>
      <c r="F89" s="644"/>
      <c r="G89" s="643" t="s">
        <v>146</v>
      </c>
      <c r="H89" s="643"/>
      <c r="I89" s="645"/>
      <c r="J89" s="643"/>
      <c r="K89" s="643" t="s">
        <v>3</v>
      </c>
      <c r="L89" s="646" t="s">
        <v>143</v>
      </c>
      <c r="M89" s="646"/>
      <c r="N89" s="646"/>
      <c r="O89" s="646"/>
      <c r="P89" s="646"/>
      <c r="Q89" s="647"/>
      <c r="R89" s="648">
        <f ca="1">SUM(R81:R88)</f>
        <v>631.19999999999993</v>
      </c>
      <c r="S89" s="643"/>
      <c r="T89" s="648">
        <f ca="1">SUM(T81:T88)</f>
        <v>43.2</v>
      </c>
      <c r="U89" s="528"/>
      <c r="V89" s="528"/>
      <c r="W89" s="528"/>
      <c r="X89" s="528"/>
      <c r="Y89" s="528"/>
      <c r="Z89" s="528"/>
      <c r="AA89" s="528"/>
      <c r="AB89" s="528"/>
      <c r="AC89" s="528"/>
      <c r="AD89" s="528"/>
      <c r="AE89" s="528"/>
      <c r="AF89" s="528"/>
      <c r="AG89" s="528"/>
      <c r="AH89" s="528"/>
      <c r="AI89" s="528"/>
      <c r="AJ89" s="528"/>
      <c r="AK89" s="528"/>
      <c r="AL89" s="528"/>
      <c r="AM89" s="528"/>
      <c r="AN89" s="528"/>
      <c r="AO89" s="528"/>
    </row>
    <row r="90" spans="1:41" s="518" customFormat="1" ht="12" thickTop="1">
      <c r="A90" s="50"/>
      <c r="B90" s="41"/>
      <c r="C90" s="50"/>
      <c r="E90" s="42" t="s">
        <v>138</v>
      </c>
      <c r="F90" s="42" t="s">
        <v>139</v>
      </c>
      <c r="G90" s="50"/>
      <c r="H90" s="50"/>
      <c r="I90" s="50"/>
      <c r="J90" s="50"/>
      <c r="K90" s="50" t="s">
        <v>140</v>
      </c>
      <c r="L90" s="50"/>
      <c r="M90" s="50"/>
      <c r="N90" s="50"/>
      <c r="O90" s="51"/>
      <c r="P90" s="50"/>
      <c r="Q90" s="50"/>
      <c r="R90" s="50"/>
      <c r="S90" s="50"/>
      <c r="T90" s="41"/>
      <c r="AG90" s="625" t="s">
        <v>247</v>
      </c>
      <c r="AH90" s="625" t="s">
        <v>248</v>
      </c>
      <c r="AI90" s="625" t="s">
        <v>249</v>
      </c>
      <c r="AJ90" s="625" t="s">
        <v>250</v>
      </c>
      <c r="AK90" s="625" t="s">
        <v>251</v>
      </c>
      <c r="AM90" s="626" t="s">
        <v>260</v>
      </c>
      <c r="AN90" s="627" t="s">
        <v>261</v>
      </c>
      <c r="AO90" s="519" t="s">
        <v>257</v>
      </c>
    </row>
    <row r="91" spans="1:41" s="518" customFormat="1" ht="12" customHeight="1">
      <c r="A91" s="657">
        <v>14</v>
      </c>
      <c r="B91" s="520" t="s">
        <v>285</v>
      </c>
      <c r="C91" s="628"/>
      <c r="D91" s="629" t="s">
        <v>297</v>
      </c>
      <c r="E91" s="630">
        <f ca="1">IF(AND($A91=0,$A$1="DIF"),0, ROUND(ROUND(($R100*$S$2+($T100*$T$2))/A91,2)*$C$2,2))</f>
        <v>83.4</v>
      </c>
      <c r="F91" s="631">
        <f ca="1">ROUND($A91*$E91,2)</f>
        <v>1167.5999999999999</v>
      </c>
      <c r="G91" s="632" t="s">
        <v>142</v>
      </c>
      <c r="H91" s="633"/>
      <c r="I91" s="634"/>
      <c r="J91" s="633"/>
      <c r="K91" s="633" t="s">
        <v>3</v>
      </c>
      <c r="L91" s="635" t="s">
        <v>143</v>
      </c>
      <c r="M91" s="635"/>
      <c r="N91" s="635"/>
      <c r="O91" s="635"/>
      <c r="P91" s="635"/>
      <c r="Q91" s="50"/>
      <c r="T91" s="636" t="str">
        <f ca="1">IF(AND($R100=0,$T100=0),"0.00","mu :" &amp; ROUND($F91/$C$2/($R100+$T100*$D$9),2))</f>
        <v>mu :1.1</v>
      </c>
      <c r="W91" s="521"/>
      <c r="AG91" s="478">
        <f ca="1">IF($E91=0,0,ROUND($R100*$S$2*$C$2/$A91,2))</f>
        <v>29.03</v>
      </c>
      <c r="AH91" s="478">
        <f ca="1">$AG91*$A91</f>
        <v>406.42</v>
      </c>
      <c r="AI91" s="522">
        <f ca="1">$E91-$AG91</f>
        <v>54.370000000000005</v>
      </c>
      <c r="AJ91" s="522">
        <f ca="1">$A91*$AI91</f>
        <v>761.18000000000006</v>
      </c>
      <c r="AK91" s="523">
        <f ca="1">ROUND(($AG91+$AI91)*$A91,2)</f>
        <v>1167.5999999999999</v>
      </c>
      <c r="AM91" s="524">
        <f ca="1">ROUND(R100,2)</f>
        <v>369.46</v>
      </c>
      <c r="AN91" s="525">
        <f ca="1">ROUND(T100,2)</f>
        <v>25.2</v>
      </c>
      <c r="AO91" s="526">
        <f ca="1">ROUND(AM91+AN91,2)*A91</f>
        <v>5525.2400000000007</v>
      </c>
    </row>
    <row r="92" spans="1:41" s="518" customFormat="1" ht="13.2">
      <c r="A92" s="628"/>
      <c r="B92"/>
      <c r="C92" s="628"/>
      <c r="D92" s="629" t="s">
        <v>298</v>
      </c>
      <c r="F92" s="633"/>
      <c r="G92" s="3"/>
      <c r="H92" s="633"/>
      <c r="I92" s="634"/>
      <c r="J92" s="633"/>
      <c r="K92" s="633" t="s">
        <v>144</v>
      </c>
      <c r="L92" s="633"/>
      <c r="M92" s="633"/>
      <c r="N92" s="633"/>
      <c r="O92" s="633"/>
      <c r="P92" s="633"/>
      <c r="Q92" s="50"/>
      <c r="R92" s="527"/>
      <c r="S92" s="637"/>
      <c r="T92" s="633"/>
    </row>
    <row r="93" spans="1:41" s="649" customFormat="1" ht="13.2">
      <c r="A93" s="112">
        <v>14</v>
      </c>
      <c r="B93" s="649" t="s">
        <v>141</v>
      </c>
      <c r="D93" s="649" t="s">
        <v>380</v>
      </c>
      <c r="G93" s="650" t="s">
        <v>381</v>
      </c>
      <c r="H93" s="651">
        <v>705</v>
      </c>
      <c r="I93" s="649" t="s">
        <v>382</v>
      </c>
      <c r="J93" s="649" t="s">
        <v>383</v>
      </c>
      <c r="O93" s="652">
        <v>3</v>
      </c>
      <c r="P93" s="653">
        <v>34669</v>
      </c>
      <c r="Q93" s="654">
        <v>3.07</v>
      </c>
      <c r="R93" s="655">
        <f>$A93*Q93</f>
        <v>42.98</v>
      </c>
      <c r="S93" s="654">
        <v>0.17</v>
      </c>
      <c r="T93" s="656">
        <f>$A93*S93*$T$1</f>
        <v>2.3800000000000003</v>
      </c>
    </row>
    <row r="94" spans="1:41" s="649" customFormat="1" ht="13.2">
      <c r="A94" s="112">
        <v>14</v>
      </c>
      <c r="B94" s="649" t="s">
        <v>141</v>
      </c>
      <c r="D94" s="649" t="s">
        <v>377</v>
      </c>
      <c r="G94" s="650" t="s">
        <v>378</v>
      </c>
      <c r="H94" s="651">
        <v>875</v>
      </c>
      <c r="I94" s="649" t="s">
        <v>364</v>
      </c>
      <c r="K94" s="649" t="s">
        <v>379</v>
      </c>
      <c r="O94" s="652">
        <v>3</v>
      </c>
      <c r="P94" s="653">
        <v>34820</v>
      </c>
      <c r="Q94" s="654">
        <v>0.5</v>
      </c>
      <c r="R94" s="655">
        <f>$A94*Q94</f>
        <v>7</v>
      </c>
      <c r="S94" s="654">
        <v>0.05</v>
      </c>
      <c r="T94" s="656">
        <f>$A94*S94*$T$1</f>
        <v>0.70000000000000007</v>
      </c>
    </row>
    <row r="95" spans="1:41" s="649" customFormat="1" ht="13.2">
      <c r="A95">
        <v>28</v>
      </c>
      <c r="B95" s="649" t="s">
        <v>141</v>
      </c>
      <c r="D95" s="649" t="s">
        <v>366</v>
      </c>
      <c r="G95" s="650" t="s">
        <v>367</v>
      </c>
      <c r="H95" s="651">
        <v>875</v>
      </c>
      <c r="I95" s="649" t="s">
        <v>364</v>
      </c>
      <c r="K95" s="649" t="s">
        <v>368</v>
      </c>
      <c r="O95" s="652">
        <v>1</v>
      </c>
      <c r="P95" s="653">
        <v>34669</v>
      </c>
      <c r="Q95" s="654">
        <v>0.03</v>
      </c>
      <c r="R95" s="655">
        <f>$A95*Q95</f>
        <v>0.84</v>
      </c>
      <c r="S95" s="654"/>
      <c r="T95" s="656">
        <f>$A95*S95*$T$1</f>
        <v>0</v>
      </c>
    </row>
    <row r="96" spans="1:41" s="649" customFormat="1" ht="13.2">
      <c r="A96">
        <v>28</v>
      </c>
      <c r="B96" s="649" t="s">
        <v>141</v>
      </c>
      <c r="D96" s="649" t="s">
        <v>369</v>
      </c>
      <c r="G96" s="650" t="s">
        <v>370</v>
      </c>
      <c r="H96" s="651">
        <v>875</v>
      </c>
      <c r="I96" s="649" t="s">
        <v>364</v>
      </c>
      <c r="K96" s="649" t="s">
        <v>371</v>
      </c>
      <c r="O96" s="652">
        <v>1</v>
      </c>
      <c r="P96" s="653">
        <v>34669</v>
      </c>
      <c r="Q96" s="654">
        <v>0.03</v>
      </c>
      <c r="R96" s="655">
        <f>$A96*Q96</f>
        <v>0.84</v>
      </c>
      <c r="S96" s="654"/>
      <c r="T96" s="656">
        <f>$A96*S96*$T$1</f>
        <v>0</v>
      </c>
    </row>
    <row r="97" spans="1:41" s="737" customFormat="1" ht="13.2">
      <c r="A97"/>
      <c r="B97" s="761"/>
      <c r="C97" s="761" t="s">
        <v>510</v>
      </c>
      <c r="D97" s="761" t="str">
        <f ca="1">CELL("Address",Elec_Rates!D$19)</f>
        <v>[PantaShowroom_Phase2.xlsx]Elec_Rates!$D$19</v>
      </c>
      <c r="E97" s="762"/>
      <c r="F97" s="762"/>
      <c r="G97" s="763" t="s">
        <v>511</v>
      </c>
      <c r="H97" s="763"/>
      <c r="I97" s="763"/>
      <c r="J97" s="763"/>
      <c r="K97" s="764"/>
      <c r="L97" s="762"/>
      <c r="M97" s="762"/>
      <c r="N97" s="762"/>
      <c r="O97" s="765"/>
      <c r="P97" s="762"/>
      <c r="Q97" s="766"/>
      <c r="R97" s="767"/>
      <c r="S97" s="766"/>
      <c r="T97" s="768"/>
      <c r="U97" s="769"/>
    </row>
    <row r="98" spans="1:41" s="737" customFormat="1" ht="11.4">
      <c r="A98" s="770">
        <v>14</v>
      </c>
      <c r="B98" s="771">
        <v>1</v>
      </c>
      <c r="C98" s="771">
        <f>$A98*$B98</f>
        <v>14</v>
      </c>
      <c r="D98" s="772" t="str">
        <f>Elec_Rates!$D$19</f>
        <v>001#  Power Point</v>
      </c>
      <c r="E98" s="772"/>
      <c r="F98" s="772" t="s">
        <v>512</v>
      </c>
      <c r="G98" s="773" t="s">
        <v>513</v>
      </c>
      <c r="H98" s="773"/>
      <c r="I98" s="773"/>
      <c r="J98" s="773"/>
      <c r="K98" s="774"/>
      <c r="L98" s="769"/>
      <c r="M98" s="769"/>
      <c r="N98" s="769"/>
      <c r="O98" s="775"/>
      <c r="P98" s="772"/>
      <c r="Q98" s="776">
        <f ca="1">$B98*Elec_Rates!$R$19</f>
        <v>22.7</v>
      </c>
      <c r="R98" s="767">
        <f ca="1">$A98*Q98</f>
        <v>317.8</v>
      </c>
      <c r="S98" s="776">
        <f ca="1">$B98*Elec_Rates!$T$19</f>
        <v>1.58</v>
      </c>
      <c r="T98" s="768">
        <f ca="1">$A98*S98</f>
        <v>22.12</v>
      </c>
      <c r="U98" s="777"/>
    </row>
    <row r="99" spans="1:41" s="518" customFormat="1" ht="12">
      <c r="A99" s="638"/>
      <c r="B99" s="638"/>
      <c r="C99" s="638"/>
      <c r="D99" s="638"/>
      <c r="E99" s="638"/>
      <c r="F99" s="633"/>
      <c r="G99" s="638"/>
      <c r="H99" s="638"/>
      <c r="I99" s="517"/>
      <c r="J99" s="638"/>
      <c r="K99" s="638"/>
      <c r="L99" s="638"/>
      <c r="M99" s="638"/>
      <c r="N99" s="638"/>
      <c r="O99" s="638"/>
      <c r="P99" s="638"/>
      <c r="Q99" s="517"/>
      <c r="R99" s="639">
        <f t="shared" ref="R99" si="14">$A99*Q99</f>
        <v>0</v>
      </c>
      <c r="S99" s="517"/>
      <c r="T99" s="640">
        <f t="shared" ref="T99" si="15">$A99*S99*$T$1</f>
        <v>0</v>
      </c>
    </row>
    <row r="100" spans="1:41" s="518" customFormat="1" ht="12.6" thickBot="1">
      <c r="A100" s="641" t="s">
        <v>145</v>
      </c>
      <c r="B100" s="642">
        <f>(R99+T99)</f>
        <v>0</v>
      </c>
      <c r="C100" s="643"/>
      <c r="D100" s="643"/>
      <c r="E100" s="643"/>
      <c r="F100" s="644"/>
      <c r="G100" s="643" t="s">
        <v>146</v>
      </c>
      <c r="H100" s="643"/>
      <c r="I100" s="645"/>
      <c r="J100" s="643"/>
      <c r="K100" s="643" t="s">
        <v>3</v>
      </c>
      <c r="L100" s="646" t="s">
        <v>143</v>
      </c>
      <c r="M100" s="646"/>
      <c r="N100" s="646"/>
      <c r="O100" s="646"/>
      <c r="P100" s="646"/>
      <c r="Q100" s="647"/>
      <c r="R100" s="648">
        <f ca="1">SUM(R92:R99)</f>
        <v>369.46000000000004</v>
      </c>
      <c r="S100" s="643"/>
      <c r="T100" s="648">
        <f ca="1">SUM(T92:T99)</f>
        <v>25.200000000000003</v>
      </c>
      <c r="U100" s="528"/>
      <c r="V100" s="528"/>
      <c r="W100" s="528"/>
      <c r="X100" s="528"/>
      <c r="Y100" s="528"/>
      <c r="Z100" s="528"/>
      <c r="AA100" s="528"/>
      <c r="AB100" s="528"/>
      <c r="AC100" s="528"/>
      <c r="AD100" s="528"/>
      <c r="AE100" s="528"/>
      <c r="AF100" s="528"/>
      <c r="AG100" s="528"/>
      <c r="AH100" s="528"/>
      <c r="AI100" s="528"/>
      <c r="AJ100" s="528"/>
      <c r="AK100" s="528"/>
      <c r="AL100" s="528"/>
      <c r="AM100" s="528"/>
      <c r="AN100" s="528"/>
      <c r="AO100" s="528"/>
    </row>
    <row r="101" spans="1:41" s="518" customFormat="1" ht="12" thickTop="1">
      <c r="A101" s="50"/>
      <c r="B101" s="41"/>
      <c r="C101" s="50"/>
      <c r="E101" s="42" t="s">
        <v>138</v>
      </c>
      <c r="F101" s="42" t="s">
        <v>139</v>
      </c>
      <c r="G101" s="50"/>
      <c r="H101" s="50"/>
      <c r="I101" s="50"/>
      <c r="J101" s="50"/>
      <c r="K101" s="50" t="s">
        <v>140</v>
      </c>
      <c r="L101" s="50"/>
      <c r="M101" s="50"/>
      <c r="N101" s="50"/>
      <c r="O101" s="51"/>
      <c r="P101" s="50"/>
      <c r="Q101" s="50"/>
      <c r="R101" s="50"/>
      <c r="S101" s="50"/>
      <c r="T101" s="41"/>
      <c r="AG101" s="625" t="s">
        <v>247</v>
      </c>
      <c r="AH101" s="625" t="s">
        <v>248</v>
      </c>
      <c r="AI101" s="625" t="s">
        <v>249</v>
      </c>
      <c r="AJ101" s="625" t="s">
        <v>250</v>
      </c>
      <c r="AK101" s="625" t="s">
        <v>251</v>
      </c>
      <c r="AM101" s="626" t="s">
        <v>260</v>
      </c>
      <c r="AN101" s="627" t="s">
        <v>261</v>
      </c>
      <c r="AO101" s="519" t="s">
        <v>257</v>
      </c>
    </row>
    <row r="102" spans="1:41" s="518" customFormat="1" ht="12" customHeight="1">
      <c r="A102" s="657">
        <v>7</v>
      </c>
      <c r="B102" s="520" t="s">
        <v>285</v>
      </c>
      <c r="C102" s="628"/>
      <c r="D102" s="629" t="s">
        <v>299</v>
      </c>
      <c r="E102" s="630">
        <f ca="1">IF(AND($A102=0,$A$1="DIF"),0, ROUND(ROUND(($R112*$S$2+($T112*$T$2))/A102,2)*$C$2,2))</f>
        <v>750.7</v>
      </c>
      <c r="F102" s="631">
        <f ca="1">ROUND($A102*$E102,2)</f>
        <v>5254.9</v>
      </c>
      <c r="G102" s="632" t="s">
        <v>142</v>
      </c>
      <c r="H102" s="633"/>
      <c r="I102" s="634"/>
      <c r="J102" s="633"/>
      <c r="K102" s="633" t="s">
        <v>3</v>
      </c>
      <c r="L102" s="635" t="s">
        <v>143</v>
      </c>
      <c r="M102" s="635"/>
      <c r="N102" s="635"/>
      <c r="O102" s="635"/>
      <c r="P102" s="635"/>
      <c r="Q102" s="50"/>
      <c r="T102" s="636" t="str">
        <f ca="1">IF(AND($R112=0,$T112=0),"0.00","mu :" &amp; ROUND($F102/$C$2/($R112+$T112*$D$9),2))</f>
        <v>mu :1.1</v>
      </c>
      <c r="W102" s="521"/>
      <c r="AG102" s="478">
        <f ca="1">IF($E102=0,0,ROUND($R112*$S$2*$C$2/$A102,2))</f>
        <v>609.33000000000004</v>
      </c>
      <c r="AH102" s="478">
        <f ca="1">$AG102*$A102</f>
        <v>4265.3100000000004</v>
      </c>
      <c r="AI102" s="522">
        <f ca="1">$E102-$AG102</f>
        <v>141.37</v>
      </c>
      <c r="AJ102" s="522">
        <f ca="1">$A102*$AI102</f>
        <v>989.59</v>
      </c>
      <c r="AK102" s="523">
        <f ca="1">ROUND(($AG102+$AI102)*$A102,2)</f>
        <v>5254.9</v>
      </c>
      <c r="AM102" s="524">
        <f ca="1">ROUND(R112,2)</f>
        <v>3877.58</v>
      </c>
      <c r="AN102" s="525">
        <f ca="1">ROUND(T112,2)</f>
        <v>32.76</v>
      </c>
      <c r="AO102" s="526">
        <f ca="1">ROUND(AM102+AN102,2)*A102</f>
        <v>27372.38</v>
      </c>
    </row>
    <row r="103" spans="1:41" s="518" customFormat="1" ht="39.9" customHeight="1">
      <c r="A103" s="628"/>
      <c r="B103"/>
      <c r="C103" s="628"/>
      <c r="D103" s="816" t="s">
        <v>300</v>
      </c>
      <c r="E103" s="817"/>
      <c r="F103" s="817"/>
      <c r="G103" s="817"/>
      <c r="H103" s="817"/>
      <c r="I103" s="817"/>
      <c r="J103" s="817"/>
      <c r="K103" s="817"/>
      <c r="L103" s="817"/>
      <c r="M103" s="817"/>
      <c r="N103" s="817"/>
      <c r="O103" s="817"/>
      <c r="P103" s="817"/>
      <c r="Q103" s="817"/>
      <c r="R103" s="817"/>
      <c r="S103" s="817"/>
      <c r="T103" s="817"/>
    </row>
    <row r="104" spans="1:41" s="649" customFormat="1" ht="13.2">
      <c r="A104" s="112">
        <v>7</v>
      </c>
      <c r="B104" s="649" t="s">
        <v>141</v>
      </c>
      <c r="D104" s="649" t="s">
        <v>372</v>
      </c>
      <c r="G104" s="650" t="s">
        <v>373</v>
      </c>
      <c r="H104" s="651">
        <v>705</v>
      </c>
      <c r="I104" s="649" t="s">
        <v>364</v>
      </c>
      <c r="O104" s="652">
        <v>2</v>
      </c>
      <c r="P104" s="653"/>
      <c r="Q104" s="654">
        <v>520</v>
      </c>
      <c r="R104" s="655">
        <f>$A104*Q104</f>
        <v>3640</v>
      </c>
      <c r="S104" s="654">
        <v>3</v>
      </c>
      <c r="T104" s="656">
        <f>$A104*S104*$T$1</f>
        <v>21</v>
      </c>
    </row>
    <row r="105" spans="1:41" s="649" customFormat="1" ht="13.2">
      <c r="A105" s="112">
        <v>7</v>
      </c>
      <c r="B105" s="649" t="s">
        <v>141</v>
      </c>
      <c r="D105" s="649" t="s">
        <v>374</v>
      </c>
      <c r="G105" s="650" t="s">
        <v>375</v>
      </c>
      <c r="H105" s="651">
        <v>875</v>
      </c>
      <c r="I105" s="649" t="s">
        <v>364</v>
      </c>
      <c r="K105" s="649" t="s">
        <v>376</v>
      </c>
      <c r="O105" s="652">
        <v>1</v>
      </c>
      <c r="P105" s="653"/>
      <c r="Q105" s="654">
        <v>10</v>
      </c>
      <c r="R105" s="655">
        <f>$A105*Q105</f>
        <v>70</v>
      </c>
      <c r="S105" s="654"/>
      <c r="T105" s="656">
        <f>$A105*S105*$T$1</f>
        <v>0</v>
      </c>
    </row>
    <row r="106" spans="1:41" s="649" customFormat="1" ht="13.2">
      <c r="A106" s="112">
        <v>14</v>
      </c>
      <c r="B106" s="649" t="s">
        <v>141</v>
      </c>
      <c r="D106" s="649" t="s">
        <v>377</v>
      </c>
      <c r="G106" s="650" t="s">
        <v>378</v>
      </c>
      <c r="H106" s="651">
        <v>875</v>
      </c>
      <c r="I106" s="649" t="s">
        <v>364</v>
      </c>
      <c r="K106" s="649" t="s">
        <v>379</v>
      </c>
      <c r="O106" s="652">
        <v>3</v>
      </c>
      <c r="P106" s="653">
        <v>34820</v>
      </c>
      <c r="Q106" s="654">
        <v>0.5</v>
      </c>
      <c r="R106" s="655">
        <f>$A106*Q106</f>
        <v>7</v>
      </c>
      <c r="S106" s="654">
        <v>0.05</v>
      </c>
      <c r="T106" s="656">
        <f>$A106*S106*$T$1</f>
        <v>0.70000000000000007</v>
      </c>
    </row>
    <row r="107" spans="1:41" s="649" customFormat="1" ht="13.2">
      <c r="A107">
        <v>28</v>
      </c>
      <c r="B107" s="649" t="s">
        <v>141</v>
      </c>
      <c r="D107" s="649" t="s">
        <v>366</v>
      </c>
      <c r="G107" s="650" t="s">
        <v>367</v>
      </c>
      <c r="H107" s="651">
        <v>875</v>
      </c>
      <c r="I107" s="649" t="s">
        <v>364</v>
      </c>
      <c r="K107" s="649" t="s">
        <v>368</v>
      </c>
      <c r="O107" s="652">
        <v>1</v>
      </c>
      <c r="P107" s="653">
        <v>34669</v>
      </c>
      <c r="Q107" s="654">
        <v>0.03</v>
      </c>
      <c r="R107" s="655">
        <f>$A107*Q107</f>
        <v>0.84</v>
      </c>
      <c r="S107" s="654"/>
      <c r="T107" s="656">
        <f>$A107*S107*$T$1</f>
        <v>0</v>
      </c>
    </row>
    <row r="108" spans="1:41" s="649" customFormat="1" ht="13.2">
      <c r="A108">
        <v>28</v>
      </c>
      <c r="B108" s="649" t="s">
        <v>141</v>
      </c>
      <c r="D108" s="649" t="s">
        <v>369</v>
      </c>
      <c r="G108" s="650" t="s">
        <v>370</v>
      </c>
      <c r="H108" s="651">
        <v>875</v>
      </c>
      <c r="I108" s="649" t="s">
        <v>364</v>
      </c>
      <c r="K108" s="649" t="s">
        <v>371</v>
      </c>
      <c r="O108" s="652">
        <v>1</v>
      </c>
      <c r="P108" s="653">
        <v>34669</v>
      </c>
      <c r="Q108" s="654">
        <v>0.03</v>
      </c>
      <c r="R108" s="655">
        <f>$A108*Q108</f>
        <v>0.84</v>
      </c>
      <c r="S108" s="654"/>
      <c r="T108" s="656">
        <f>$A108*S108*$T$1</f>
        <v>0</v>
      </c>
    </row>
    <row r="109" spans="1:41" s="737" customFormat="1" ht="13.2">
      <c r="A109"/>
      <c r="B109" s="761"/>
      <c r="C109" s="761" t="s">
        <v>510</v>
      </c>
      <c r="D109" s="761" t="str">
        <f ca="1">CELL("Address",Elec_Rates!D$19)</f>
        <v>[PantaShowroom_Phase2.xlsx]Elec_Rates!$D$19</v>
      </c>
      <c r="E109" s="762"/>
      <c r="F109" s="762"/>
      <c r="G109" s="763" t="s">
        <v>511</v>
      </c>
      <c r="H109" s="763"/>
      <c r="I109" s="763"/>
      <c r="J109" s="763"/>
      <c r="K109" s="764"/>
      <c r="L109" s="762"/>
      <c r="M109" s="762"/>
      <c r="N109" s="762"/>
      <c r="O109" s="765"/>
      <c r="P109" s="762"/>
      <c r="Q109" s="766"/>
      <c r="R109" s="767"/>
      <c r="S109" s="766"/>
      <c r="T109" s="768"/>
      <c r="U109" s="769"/>
    </row>
    <row r="110" spans="1:41" s="737" customFormat="1" ht="11.4">
      <c r="A110" s="770">
        <v>7</v>
      </c>
      <c r="B110" s="771">
        <v>1</v>
      </c>
      <c r="C110" s="771">
        <f>$A110*$B110</f>
        <v>7</v>
      </c>
      <c r="D110" s="772" t="str">
        <f>Elec_Rates!$D$19</f>
        <v>001#  Power Point</v>
      </c>
      <c r="E110" s="772"/>
      <c r="F110" s="772" t="s">
        <v>512</v>
      </c>
      <c r="G110" s="773" t="s">
        <v>513</v>
      </c>
      <c r="H110" s="773"/>
      <c r="I110" s="773"/>
      <c r="J110" s="773"/>
      <c r="K110" s="774"/>
      <c r="L110" s="769"/>
      <c r="M110" s="769"/>
      <c r="N110" s="769"/>
      <c r="O110" s="775"/>
      <c r="P110" s="772"/>
      <c r="Q110" s="776">
        <f ca="1">$B110*Elec_Rates!$R$19</f>
        <v>22.7</v>
      </c>
      <c r="R110" s="767">
        <f ca="1">$A110*Q110</f>
        <v>158.9</v>
      </c>
      <c r="S110" s="776">
        <f ca="1">$B110*Elec_Rates!$T$19</f>
        <v>1.58</v>
      </c>
      <c r="T110" s="768">
        <f ca="1">$A110*S110</f>
        <v>11.06</v>
      </c>
      <c r="U110" s="777"/>
    </row>
    <row r="111" spans="1:41" s="518" customFormat="1" ht="12">
      <c r="A111" s="638"/>
      <c r="B111" s="638"/>
      <c r="C111" s="638"/>
      <c r="D111" s="638"/>
      <c r="E111" s="638"/>
      <c r="F111" s="633"/>
      <c r="G111" s="638"/>
      <c r="H111" s="638"/>
      <c r="I111" s="517"/>
      <c r="J111" s="638"/>
      <c r="K111" s="638"/>
      <c r="L111" s="638"/>
      <c r="M111" s="638"/>
      <c r="N111" s="638"/>
      <c r="O111" s="638"/>
      <c r="P111" s="638"/>
      <c r="Q111" s="517"/>
      <c r="R111" s="639">
        <f t="shared" ref="R111" si="16">$A111*Q111</f>
        <v>0</v>
      </c>
      <c r="S111" s="517"/>
      <c r="T111" s="640">
        <f t="shared" ref="T111" si="17">$A111*S111*$T$1</f>
        <v>0</v>
      </c>
    </row>
    <row r="112" spans="1:41" s="518" customFormat="1" ht="12.6" thickBot="1">
      <c r="A112" s="641" t="s">
        <v>145</v>
      </c>
      <c r="B112" s="642">
        <f>(R111+T111)</f>
        <v>0</v>
      </c>
      <c r="C112" s="643"/>
      <c r="D112" s="643"/>
      <c r="E112" s="643"/>
      <c r="F112" s="644"/>
      <c r="G112" s="643" t="s">
        <v>146</v>
      </c>
      <c r="H112" s="643"/>
      <c r="I112" s="645"/>
      <c r="J112" s="643"/>
      <c r="K112" s="643" t="s">
        <v>3</v>
      </c>
      <c r="L112" s="646" t="s">
        <v>143</v>
      </c>
      <c r="M112" s="646"/>
      <c r="N112" s="646"/>
      <c r="O112" s="646"/>
      <c r="P112" s="646"/>
      <c r="Q112" s="647"/>
      <c r="R112" s="648">
        <f ca="1">SUM(R103:R111)</f>
        <v>3877.5800000000004</v>
      </c>
      <c r="S112" s="643"/>
      <c r="T112" s="648">
        <f ca="1">SUM(T103:T111)</f>
        <v>32.76</v>
      </c>
      <c r="U112" s="528"/>
      <c r="V112" s="528"/>
      <c r="W112" s="528"/>
      <c r="X112" s="528"/>
      <c r="Y112" s="528"/>
      <c r="Z112" s="528"/>
      <c r="AA112" s="528"/>
      <c r="AB112" s="528"/>
      <c r="AC112" s="528"/>
      <c r="AD112" s="528"/>
      <c r="AE112" s="528"/>
      <c r="AF112" s="528"/>
      <c r="AG112" s="528"/>
      <c r="AH112" s="528"/>
      <c r="AI112" s="528"/>
      <c r="AJ112" s="528"/>
      <c r="AK112" s="528"/>
      <c r="AL112" s="528"/>
      <c r="AM112" s="528"/>
      <c r="AN112" s="528"/>
      <c r="AO112" s="528"/>
    </row>
    <row r="113" spans="1:41" s="518" customFormat="1" thickTop="1">
      <c r="A113" s="50"/>
      <c r="B113" s="50"/>
      <c r="C113" s="3"/>
      <c r="D113" s="3"/>
      <c r="E113" s="50"/>
      <c r="F113" s="50"/>
      <c r="G113" s="50"/>
      <c r="H113" s="50"/>
      <c r="I113" s="50"/>
      <c r="J113" s="50"/>
      <c r="K113" s="50" t="s">
        <v>134</v>
      </c>
      <c r="L113" s="50"/>
      <c r="M113" s="50"/>
      <c r="N113" s="50"/>
      <c r="O113" s="51"/>
      <c r="P113" s="50"/>
      <c r="Q113" s="50"/>
      <c r="R113" s="50"/>
      <c r="S113" s="50"/>
      <c r="T113" s="50"/>
    </row>
    <row r="114" spans="1:41" s="518" customFormat="1" ht="12">
      <c r="A114" s="50"/>
      <c r="B114" s="50"/>
      <c r="C114" s="50" t="s">
        <v>135</v>
      </c>
      <c r="D114" s="37" t="s">
        <v>301</v>
      </c>
      <c r="E114" s="50"/>
      <c r="F114" s="50"/>
      <c r="G114" s="50"/>
      <c r="H114" s="50"/>
      <c r="I114" s="50"/>
      <c r="J114" s="50"/>
      <c r="K114" s="50"/>
      <c r="L114" s="50"/>
      <c r="M114" s="50"/>
      <c r="N114" s="50"/>
      <c r="O114" s="51"/>
      <c r="P114" s="50"/>
      <c r="Q114" s="50"/>
      <c r="R114" s="50"/>
      <c r="S114" s="50"/>
      <c r="T114" s="50"/>
    </row>
    <row r="115" spans="1:41" s="518" customFormat="1" ht="12">
      <c r="A115" s="50"/>
      <c r="B115" s="50"/>
      <c r="C115" s="50"/>
      <c r="D115" s="37" t="s">
        <v>302</v>
      </c>
      <c r="E115" s="50"/>
      <c r="F115" s="50"/>
      <c r="G115" s="50"/>
      <c r="H115" s="50"/>
      <c r="I115" s="50"/>
      <c r="J115" s="50"/>
      <c r="K115" s="50"/>
      <c r="L115" s="50"/>
      <c r="M115" s="50"/>
      <c r="N115" s="50"/>
      <c r="O115" s="51"/>
      <c r="P115" s="50"/>
      <c r="Q115" s="50"/>
      <c r="R115" s="50"/>
      <c r="S115" s="38"/>
      <c r="T115" s="38"/>
    </row>
    <row r="116" spans="1:41" s="3" customFormat="1" thickBot="1">
      <c r="A116" s="528"/>
      <c r="O116" s="103"/>
    </row>
    <row r="117" spans="1:41" s="518" customFormat="1" ht="12" thickTop="1">
      <c r="A117" s="50"/>
      <c r="B117" s="41"/>
      <c r="C117" s="50"/>
      <c r="E117" s="42" t="s">
        <v>138</v>
      </c>
      <c r="F117" s="42" t="s">
        <v>139</v>
      </c>
      <c r="G117" s="50"/>
      <c r="H117" s="50"/>
      <c r="I117" s="50"/>
      <c r="J117" s="50"/>
      <c r="K117" s="50" t="s">
        <v>140</v>
      </c>
      <c r="L117" s="50"/>
      <c r="M117" s="50"/>
      <c r="N117" s="50"/>
      <c r="O117" s="51"/>
      <c r="P117" s="50"/>
      <c r="Q117" s="50"/>
      <c r="R117" s="50"/>
      <c r="S117" s="50"/>
      <c r="T117" s="41"/>
      <c r="AG117" s="625" t="s">
        <v>247</v>
      </c>
      <c r="AH117" s="625" t="s">
        <v>248</v>
      </c>
      <c r="AI117" s="625" t="s">
        <v>249</v>
      </c>
      <c r="AJ117" s="625" t="s">
        <v>250</v>
      </c>
      <c r="AK117" s="625" t="s">
        <v>251</v>
      </c>
      <c r="AM117" s="626" t="s">
        <v>260</v>
      </c>
      <c r="AN117" s="627" t="s">
        <v>261</v>
      </c>
      <c r="AO117" s="519" t="s">
        <v>257</v>
      </c>
    </row>
    <row r="118" spans="1:41" s="518" customFormat="1" ht="12" customHeight="1">
      <c r="A118" s="657">
        <v>50</v>
      </c>
      <c r="B118" s="520" t="s">
        <v>285</v>
      </c>
      <c r="C118" s="628"/>
      <c r="D118" s="629" t="s">
        <v>303</v>
      </c>
      <c r="E118" s="630">
        <f>IF(AND($A118=0,$A$1="DIF"),0, ROUND(ROUND(($R124*$S$2+($T124*$T$2))/A118,2)*$C$2,2))</f>
        <v>35.549999999999997</v>
      </c>
      <c r="F118" s="631">
        <f>ROUND($A118*$E118,2)</f>
        <v>1777.5</v>
      </c>
      <c r="G118" s="632" t="s">
        <v>142</v>
      </c>
      <c r="H118" s="633"/>
      <c r="I118" s="634"/>
      <c r="J118" s="633"/>
      <c r="K118" s="633" t="s">
        <v>3</v>
      </c>
      <c r="L118" s="635" t="s">
        <v>143</v>
      </c>
      <c r="M118" s="635"/>
      <c r="N118" s="635"/>
      <c r="O118" s="635"/>
      <c r="P118" s="635"/>
      <c r="Q118" s="50"/>
      <c r="T118" s="636" t="str">
        <f>IF(AND($R124=0,$T124=0),"0.00","mu :" &amp; ROUND($F118/$C$2/($R124+$T124*$D$9),2))</f>
        <v>mu :1.1</v>
      </c>
      <c r="W118" s="521"/>
      <c r="AG118" s="478">
        <f>IF($E118=0,0,ROUND($R124*$S$2*$C$2/$A118,2))</f>
        <v>10.15</v>
      </c>
      <c r="AH118" s="478">
        <f>$AG118*$A118</f>
        <v>507.5</v>
      </c>
      <c r="AI118" s="522">
        <f>$E118-$AG118</f>
        <v>25.4</v>
      </c>
      <c r="AJ118" s="522">
        <f>$A118*$AI118</f>
        <v>1270</v>
      </c>
      <c r="AK118" s="523">
        <f>ROUND(($AG118+$AI118)*$A118,2)</f>
        <v>1777.5</v>
      </c>
      <c r="AM118" s="524">
        <f>ROUND(R124,2)</f>
        <v>461.5</v>
      </c>
      <c r="AN118" s="525">
        <f>ROUND(T124,2)</f>
        <v>42.04</v>
      </c>
      <c r="AO118" s="526">
        <f>ROUND(AM118+AN118,2)*A118</f>
        <v>25177</v>
      </c>
    </row>
    <row r="119" spans="1:41" s="518" customFormat="1" ht="13.2">
      <c r="A119" s="628"/>
      <c r="B119"/>
      <c r="C119" s="628"/>
      <c r="D119" s="629" t="s">
        <v>304</v>
      </c>
      <c r="F119" s="633"/>
      <c r="G119" s="3"/>
      <c r="H119" s="633"/>
      <c r="I119" s="634"/>
      <c r="J119" s="633"/>
      <c r="K119" s="633" t="s">
        <v>144</v>
      </c>
      <c r="L119" s="633"/>
      <c r="M119" s="633"/>
      <c r="N119" s="633"/>
      <c r="O119" s="633"/>
      <c r="P119" s="633"/>
      <c r="Q119" s="50"/>
      <c r="R119" s="527"/>
      <c r="S119" s="637"/>
      <c r="T119" s="633"/>
    </row>
    <row r="120" spans="1:41" s="649" customFormat="1" ht="13.2">
      <c r="A120">
        <v>125</v>
      </c>
      <c r="B120" s="649" t="s">
        <v>387</v>
      </c>
      <c r="D120" s="649" t="s">
        <v>494</v>
      </c>
      <c r="G120" s="650" t="s">
        <v>495</v>
      </c>
      <c r="H120" s="651">
        <v>700</v>
      </c>
      <c r="I120" s="649" t="s">
        <v>390</v>
      </c>
      <c r="J120" s="649" t="s">
        <v>496</v>
      </c>
      <c r="O120" s="652">
        <v>1</v>
      </c>
      <c r="P120" s="653">
        <v>42213</v>
      </c>
      <c r="Q120" s="654">
        <f>0.45*2</f>
        <v>0.9</v>
      </c>
      <c r="R120" s="655">
        <f>$A120*Q120</f>
        <v>112.5</v>
      </c>
      <c r="S120" s="654">
        <v>0.13</v>
      </c>
      <c r="T120" s="656">
        <f>$A120*S120*$T$1</f>
        <v>16.25</v>
      </c>
    </row>
    <row r="121" spans="1:41" s="649" customFormat="1" ht="13.2">
      <c r="A121">
        <v>1300</v>
      </c>
      <c r="B121" s="649" t="s">
        <v>387</v>
      </c>
      <c r="D121" s="649" t="s">
        <v>497</v>
      </c>
      <c r="G121" s="650" t="s">
        <v>498</v>
      </c>
      <c r="H121" s="651">
        <v>615</v>
      </c>
      <c r="I121" s="649" t="s">
        <v>405</v>
      </c>
      <c r="K121" s="649" t="s">
        <v>461</v>
      </c>
      <c r="O121" s="652">
        <v>2</v>
      </c>
      <c r="P121" s="653">
        <v>38988</v>
      </c>
      <c r="Q121" s="654">
        <v>0.24</v>
      </c>
      <c r="R121" s="655">
        <f>$A121*Q121</f>
        <v>312</v>
      </c>
      <c r="S121" s="654">
        <v>1.4999999999999999E-2</v>
      </c>
      <c r="T121" s="656">
        <f>$A121*S121*$T$1</f>
        <v>19.5</v>
      </c>
    </row>
    <row r="122" spans="1:41" s="649" customFormat="1" ht="13.2">
      <c r="A122">
        <v>37</v>
      </c>
      <c r="B122" s="649" t="s">
        <v>141</v>
      </c>
      <c r="D122" s="649" t="s">
        <v>499</v>
      </c>
      <c r="G122" s="650" t="s">
        <v>500</v>
      </c>
      <c r="H122" s="651">
        <v>705</v>
      </c>
      <c r="I122" s="649" t="s">
        <v>364</v>
      </c>
      <c r="J122" s="649" t="s">
        <v>501</v>
      </c>
      <c r="O122" s="652">
        <v>3</v>
      </c>
      <c r="P122" s="653">
        <v>39128</v>
      </c>
      <c r="Q122" s="654">
        <v>1</v>
      </c>
      <c r="R122" s="655">
        <f>$A122*Q122</f>
        <v>37</v>
      </c>
      <c r="S122" s="654">
        <v>0.17</v>
      </c>
      <c r="T122" s="656">
        <f>$A122*S122*$T$1</f>
        <v>6.29</v>
      </c>
    </row>
    <row r="123" spans="1:41" s="518" customFormat="1" ht="12">
      <c r="A123" s="638"/>
      <c r="B123" s="638"/>
      <c r="C123" s="638"/>
      <c r="D123" s="638"/>
      <c r="E123" s="649" t="s">
        <v>504</v>
      </c>
      <c r="F123" s="633"/>
      <c r="G123" s="638"/>
      <c r="H123" s="638"/>
      <c r="I123" s="517"/>
      <c r="J123" s="638"/>
      <c r="K123" s="638"/>
      <c r="L123" s="638"/>
      <c r="M123" s="638"/>
      <c r="N123" s="638"/>
      <c r="O123" s="638"/>
      <c r="P123" s="638"/>
      <c r="Q123" s="517"/>
      <c r="R123" s="639">
        <f t="shared" ref="R123" si="18">$A123*Q123</f>
        <v>0</v>
      </c>
      <c r="S123" s="517"/>
      <c r="T123" s="640">
        <f t="shared" ref="T123" si="19">$A123*S123*$T$1</f>
        <v>0</v>
      </c>
    </row>
    <row r="124" spans="1:41" s="518" customFormat="1" ht="12.6" thickBot="1">
      <c r="A124" s="641" t="s">
        <v>145</v>
      </c>
      <c r="B124" s="642">
        <f>(R123+T123)</f>
        <v>0</v>
      </c>
      <c r="C124" s="643"/>
      <c r="D124" s="643"/>
      <c r="E124" s="643"/>
      <c r="F124" s="644"/>
      <c r="G124" s="643" t="s">
        <v>146</v>
      </c>
      <c r="H124" s="643"/>
      <c r="I124" s="645"/>
      <c r="J124" s="643"/>
      <c r="K124" s="643" t="s">
        <v>3</v>
      </c>
      <c r="L124" s="646" t="s">
        <v>143</v>
      </c>
      <c r="M124" s="646"/>
      <c r="N124" s="646"/>
      <c r="O124" s="646"/>
      <c r="P124" s="646"/>
      <c r="Q124" s="647"/>
      <c r="R124" s="648">
        <f>SUM(R119:R123)</f>
        <v>461.5</v>
      </c>
      <c r="S124" s="643"/>
      <c r="T124" s="648">
        <f>SUM(T119:T123)</f>
        <v>42.04</v>
      </c>
      <c r="U124" s="528"/>
      <c r="V124" s="528"/>
      <c r="W124" s="528"/>
      <c r="X124" s="528"/>
      <c r="Y124" s="528"/>
      <c r="Z124" s="528"/>
      <c r="AA124" s="528"/>
      <c r="AB124" s="528"/>
      <c r="AC124" s="528"/>
      <c r="AD124" s="528"/>
      <c r="AE124" s="528"/>
      <c r="AF124" s="528"/>
      <c r="AG124" s="528"/>
      <c r="AH124" s="528"/>
      <c r="AI124" s="528"/>
      <c r="AJ124" s="528"/>
      <c r="AK124" s="528"/>
      <c r="AL124" s="528"/>
      <c r="AM124" s="528"/>
      <c r="AN124" s="528"/>
      <c r="AO124" s="528"/>
    </row>
    <row r="125" spans="1:41" s="518" customFormat="1" ht="12" thickTop="1">
      <c r="A125" s="50"/>
      <c r="B125" s="41"/>
      <c r="C125" s="50"/>
      <c r="E125" s="42" t="s">
        <v>138</v>
      </c>
      <c r="F125" s="42" t="s">
        <v>139</v>
      </c>
      <c r="G125" s="50"/>
      <c r="H125" s="50"/>
      <c r="I125" s="50"/>
      <c r="J125" s="50"/>
      <c r="K125" s="50" t="s">
        <v>140</v>
      </c>
      <c r="L125" s="50"/>
      <c r="M125" s="50"/>
      <c r="N125" s="50"/>
      <c r="O125" s="51"/>
      <c r="P125" s="50"/>
      <c r="Q125" s="50"/>
      <c r="R125" s="50"/>
      <c r="S125" s="50"/>
      <c r="T125" s="41"/>
      <c r="AG125" s="625" t="s">
        <v>247</v>
      </c>
      <c r="AH125" s="625" t="s">
        <v>248</v>
      </c>
      <c r="AI125" s="625" t="s">
        <v>249</v>
      </c>
      <c r="AJ125" s="625" t="s">
        <v>250</v>
      </c>
      <c r="AK125" s="625" t="s">
        <v>251</v>
      </c>
      <c r="AM125" s="626" t="s">
        <v>260</v>
      </c>
      <c r="AN125" s="627" t="s">
        <v>261</v>
      </c>
      <c r="AO125" s="519" t="s">
        <v>257</v>
      </c>
    </row>
    <row r="126" spans="1:41" s="518" customFormat="1" ht="12" customHeight="1">
      <c r="A126" s="657">
        <v>9</v>
      </c>
      <c r="B126" s="520" t="s">
        <v>285</v>
      </c>
      <c r="C126" s="628"/>
      <c r="D126" s="629" t="s">
        <v>305</v>
      </c>
      <c r="E126" s="630">
        <f>IF(AND($A126=0,$A$1="DIF"),0, ROUND(ROUND(($R132*$S$2+($T132*$T$2))/A126,2)*$C$2,2))</f>
        <v>53.13</v>
      </c>
      <c r="F126" s="631">
        <f>ROUND($A126*$E126,2)</f>
        <v>478.17</v>
      </c>
      <c r="G126" s="632" t="s">
        <v>142</v>
      </c>
      <c r="H126" s="633"/>
      <c r="I126" s="634"/>
      <c r="J126" s="633"/>
      <c r="K126" s="633" t="s">
        <v>3</v>
      </c>
      <c r="L126" s="635" t="s">
        <v>143</v>
      </c>
      <c r="M126" s="635"/>
      <c r="N126" s="635"/>
      <c r="O126" s="635"/>
      <c r="P126" s="635"/>
      <c r="Q126" s="50"/>
      <c r="T126" s="636" t="str">
        <f>IF(AND($R132=0,$T132=0),"0.00","mu :" &amp; ROUND($F126/$C$2/($R132+$T132*$D$9),2))</f>
        <v>mu :1.1</v>
      </c>
      <c r="W126" s="521"/>
      <c r="AG126" s="478">
        <f>IF($E126=0,0,ROUND($R132*$S$2*$C$2/$A126,2))</f>
        <v>14.26</v>
      </c>
      <c r="AH126" s="478">
        <f>$AG126*$A126</f>
        <v>128.34</v>
      </c>
      <c r="AI126" s="522">
        <f>$E126-$AG126</f>
        <v>38.870000000000005</v>
      </c>
      <c r="AJ126" s="522">
        <f>$A126*$AI126</f>
        <v>349.83000000000004</v>
      </c>
      <c r="AK126" s="523">
        <f>ROUND(($AG126+$AI126)*$A126,2)</f>
        <v>478.17</v>
      </c>
      <c r="AM126" s="524">
        <f>ROUND(R132,2)</f>
        <v>116.7</v>
      </c>
      <c r="AN126" s="525">
        <f>ROUND(T132,2)</f>
        <v>11.58</v>
      </c>
      <c r="AO126" s="526">
        <f>ROUND(AM126+AN126,2)*A126</f>
        <v>1154.52</v>
      </c>
    </row>
    <row r="127" spans="1:41" s="518" customFormat="1" ht="13.2">
      <c r="A127" s="628"/>
      <c r="B127"/>
      <c r="C127" s="628"/>
      <c r="D127" s="629" t="s">
        <v>306</v>
      </c>
      <c r="F127" s="633"/>
      <c r="G127" s="3"/>
      <c r="H127" s="633"/>
      <c r="I127" s="634"/>
      <c r="J127" s="633"/>
      <c r="K127" s="633" t="s">
        <v>144</v>
      </c>
      <c r="L127" s="633"/>
      <c r="M127" s="633"/>
      <c r="N127" s="633"/>
      <c r="O127" s="633"/>
      <c r="P127" s="633"/>
      <c r="Q127" s="50"/>
      <c r="R127" s="527"/>
      <c r="S127" s="637"/>
      <c r="T127" s="633"/>
    </row>
    <row r="128" spans="1:41" s="649" customFormat="1" ht="13.2">
      <c r="A128">
        <v>45</v>
      </c>
      <c r="B128" s="649" t="s">
        <v>387</v>
      </c>
      <c r="D128" s="649" t="s">
        <v>494</v>
      </c>
      <c r="G128" s="650" t="s">
        <v>495</v>
      </c>
      <c r="H128" s="651">
        <v>700</v>
      </c>
      <c r="I128" s="649" t="s">
        <v>390</v>
      </c>
      <c r="J128" s="649" t="s">
        <v>496</v>
      </c>
      <c r="O128" s="652">
        <v>1</v>
      </c>
      <c r="P128" s="653">
        <v>42213</v>
      </c>
      <c r="Q128" s="654">
        <f>0.45*2</f>
        <v>0.9</v>
      </c>
      <c r="R128" s="655">
        <f>$A128*Q128</f>
        <v>40.5</v>
      </c>
      <c r="S128" s="654">
        <v>0.13</v>
      </c>
      <c r="T128" s="656">
        <f>$A128*S128*$T$1</f>
        <v>5.8500000000000005</v>
      </c>
    </row>
    <row r="129" spans="1:41" s="649" customFormat="1" ht="13.2">
      <c r="A129">
        <v>280</v>
      </c>
      <c r="B129" s="649" t="s">
        <v>387</v>
      </c>
      <c r="D129" s="649" t="s">
        <v>497</v>
      </c>
      <c r="G129" s="650" t="s">
        <v>498</v>
      </c>
      <c r="H129" s="651">
        <v>615</v>
      </c>
      <c r="I129" s="649" t="s">
        <v>405</v>
      </c>
      <c r="K129" s="649" t="s">
        <v>461</v>
      </c>
      <c r="O129" s="652">
        <v>2</v>
      </c>
      <c r="P129" s="653">
        <v>38988</v>
      </c>
      <c r="Q129" s="654">
        <v>0.24</v>
      </c>
      <c r="R129" s="655">
        <f>$A129*Q129</f>
        <v>67.2</v>
      </c>
      <c r="S129" s="654">
        <v>1.4999999999999999E-2</v>
      </c>
      <c r="T129" s="656">
        <f>$A129*S129*$T$1</f>
        <v>4.2</v>
      </c>
    </row>
    <row r="130" spans="1:41" s="649" customFormat="1" ht="13.2">
      <c r="A130">
        <v>9</v>
      </c>
      <c r="B130" s="649" t="s">
        <v>141</v>
      </c>
      <c r="D130" s="649" t="s">
        <v>499</v>
      </c>
      <c r="E130" s="649" t="s">
        <v>505</v>
      </c>
      <c r="G130" s="650" t="s">
        <v>500</v>
      </c>
      <c r="H130" s="651">
        <v>705</v>
      </c>
      <c r="I130" s="649" t="s">
        <v>364</v>
      </c>
      <c r="J130" s="649" t="s">
        <v>501</v>
      </c>
      <c r="O130" s="652">
        <v>3</v>
      </c>
      <c r="P130" s="653">
        <v>39128</v>
      </c>
      <c r="Q130" s="759">
        <v>1</v>
      </c>
      <c r="R130" s="655">
        <f>$A130*Q130</f>
        <v>9</v>
      </c>
      <c r="S130" s="654">
        <v>0.17</v>
      </c>
      <c r="T130" s="656">
        <f>$A130*S130*$T$1</f>
        <v>1.53</v>
      </c>
    </row>
    <row r="131" spans="1:41" s="518" customFormat="1" ht="12">
      <c r="A131" s="638"/>
      <c r="B131" s="638"/>
      <c r="C131" s="638"/>
      <c r="D131" s="638"/>
      <c r="E131" s="638"/>
      <c r="F131" s="633"/>
      <c r="G131" s="638"/>
      <c r="H131" s="638"/>
      <c r="I131" s="517"/>
      <c r="J131" s="638"/>
      <c r="K131" s="638"/>
      <c r="L131" s="638"/>
      <c r="M131" s="638"/>
      <c r="N131" s="638"/>
      <c r="O131" s="638"/>
      <c r="P131" s="638"/>
      <c r="Q131" s="517"/>
      <c r="R131" s="639">
        <f t="shared" ref="R131" si="20">$A131*Q131</f>
        <v>0</v>
      </c>
      <c r="S131" s="517"/>
      <c r="T131" s="640">
        <f t="shared" ref="T131" si="21">$A131*S131*$T$1</f>
        <v>0</v>
      </c>
    </row>
    <row r="132" spans="1:41" s="518" customFormat="1" ht="12.6" thickBot="1">
      <c r="A132" s="641" t="s">
        <v>145</v>
      </c>
      <c r="B132" s="642">
        <f>(R131+T131)</f>
        <v>0</v>
      </c>
      <c r="C132" s="643"/>
      <c r="D132" s="643"/>
      <c r="E132" s="643"/>
      <c r="F132" s="644"/>
      <c r="G132" s="643" t="s">
        <v>146</v>
      </c>
      <c r="H132" s="643"/>
      <c r="I132" s="645"/>
      <c r="J132" s="643"/>
      <c r="K132" s="643" t="s">
        <v>3</v>
      </c>
      <c r="L132" s="646" t="s">
        <v>143</v>
      </c>
      <c r="M132" s="646"/>
      <c r="N132" s="646"/>
      <c r="O132" s="646"/>
      <c r="P132" s="646"/>
      <c r="Q132" s="647"/>
      <c r="R132" s="648">
        <f>SUM(R127:R131)</f>
        <v>116.7</v>
      </c>
      <c r="S132" s="643"/>
      <c r="T132" s="648">
        <f>SUM(T127:T131)</f>
        <v>11.58</v>
      </c>
      <c r="U132" s="528"/>
      <c r="V132" s="528"/>
      <c r="W132" s="528"/>
      <c r="X132" s="528"/>
      <c r="Y132" s="528"/>
      <c r="Z132" s="528"/>
      <c r="AA132" s="528"/>
      <c r="AB132" s="528"/>
      <c r="AC132" s="528"/>
      <c r="AD132" s="528"/>
      <c r="AE132" s="528"/>
      <c r="AF132" s="528"/>
      <c r="AG132" s="528"/>
      <c r="AH132" s="528"/>
      <c r="AI132" s="528"/>
      <c r="AJ132" s="528"/>
      <c r="AK132" s="528"/>
      <c r="AL132" s="528"/>
      <c r="AM132" s="528"/>
      <c r="AN132" s="528"/>
      <c r="AO132" s="528"/>
    </row>
    <row r="133" spans="1:41" s="518" customFormat="1" thickTop="1">
      <c r="A133" s="50"/>
      <c r="B133" s="50"/>
      <c r="C133" s="3"/>
      <c r="D133" s="3"/>
      <c r="E133" s="50"/>
      <c r="F133" s="50"/>
      <c r="G133" s="50"/>
      <c r="H133" s="50"/>
      <c r="I133" s="50"/>
      <c r="J133" s="50"/>
      <c r="K133" s="50" t="s">
        <v>134</v>
      </c>
      <c r="L133" s="50"/>
      <c r="M133" s="50"/>
      <c r="N133" s="50"/>
      <c r="O133" s="51"/>
      <c r="P133" s="50"/>
      <c r="Q133" s="50"/>
      <c r="R133" s="50"/>
      <c r="S133" s="50"/>
      <c r="T133" s="50"/>
    </row>
    <row r="134" spans="1:41" s="518" customFormat="1" ht="12">
      <c r="A134" s="50"/>
      <c r="B134" s="50"/>
      <c r="C134" s="50" t="s">
        <v>135</v>
      </c>
      <c r="D134" s="37" t="s">
        <v>307</v>
      </c>
      <c r="E134" s="50"/>
      <c r="F134" s="50"/>
      <c r="G134" s="50"/>
      <c r="H134" s="50"/>
      <c r="I134" s="50"/>
      <c r="J134" s="50"/>
      <c r="K134" s="50"/>
      <c r="L134" s="50"/>
      <c r="M134" s="50"/>
      <c r="N134" s="50"/>
      <c r="O134" s="51"/>
      <c r="P134" s="50"/>
      <c r="Q134" s="50"/>
      <c r="R134" s="50"/>
      <c r="S134" s="50"/>
      <c r="T134" s="50"/>
    </row>
    <row r="135" spans="1:41" s="518" customFormat="1" ht="12">
      <c r="A135" s="50"/>
      <c r="B135" s="50"/>
      <c r="C135" s="50"/>
      <c r="D135" s="37" t="s">
        <v>308</v>
      </c>
      <c r="E135" s="50"/>
      <c r="F135" s="50"/>
      <c r="G135" s="50"/>
      <c r="H135" s="50"/>
      <c r="I135" s="50"/>
      <c r="J135" s="50"/>
      <c r="K135" s="50"/>
      <c r="L135" s="50"/>
      <c r="M135" s="50"/>
      <c r="N135" s="50"/>
      <c r="O135" s="51"/>
      <c r="P135" s="50"/>
      <c r="Q135" s="50"/>
      <c r="R135" s="50"/>
      <c r="S135" s="38"/>
      <c r="T135" s="38"/>
    </row>
    <row r="136" spans="1:41" s="3" customFormat="1" thickBot="1">
      <c r="A136" s="528"/>
      <c r="O136" s="103"/>
    </row>
    <row r="137" spans="1:41" s="518" customFormat="1" ht="12" thickTop="1">
      <c r="A137" s="50"/>
      <c r="B137" s="41"/>
      <c r="C137" s="50"/>
      <c r="E137" s="42" t="s">
        <v>138</v>
      </c>
      <c r="F137" s="42" t="s">
        <v>139</v>
      </c>
      <c r="G137" s="50"/>
      <c r="H137" s="50"/>
      <c r="I137" s="50"/>
      <c r="J137" s="50"/>
      <c r="K137" s="50" t="s">
        <v>140</v>
      </c>
      <c r="L137" s="50"/>
      <c r="M137" s="50"/>
      <c r="N137" s="50"/>
      <c r="O137" s="51"/>
      <c r="P137" s="50"/>
      <c r="Q137" s="50"/>
      <c r="R137" s="50"/>
      <c r="S137" s="50"/>
      <c r="T137" s="41"/>
      <c r="AG137" s="625" t="s">
        <v>247</v>
      </c>
      <c r="AH137" s="625" t="s">
        <v>248</v>
      </c>
      <c r="AI137" s="625" t="s">
        <v>249</v>
      </c>
      <c r="AJ137" s="625" t="s">
        <v>250</v>
      </c>
      <c r="AK137" s="625" t="s">
        <v>251</v>
      </c>
      <c r="AM137" s="626" t="s">
        <v>260</v>
      </c>
      <c r="AN137" s="627" t="s">
        <v>261</v>
      </c>
      <c r="AO137" s="519" t="s">
        <v>257</v>
      </c>
    </row>
    <row r="138" spans="1:41" s="518" customFormat="1" ht="12" customHeight="1">
      <c r="A138" s="657">
        <v>9</v>
      </c>
      <c r="B138" s="520" t="s">
        <v>285</v>
      </c>
      <c r="C138" s="628"/>
      <c r="D138" s="629" t="s">
        <v>309</v>
      </c>
      <c r="E138" s="630">
        <f>IF(AND($A138=0,$A$1="DIF"),0, ROUND(ROUND(($R145*$S$2+($T145*$T$2))/A138,2)*$C$2,2))</f>
        <v>70.099999999999994</v>
      </c>
      <c r="F138" s="631">
        <f>ROUND($A138*$E138,2)</f>
        <v>630.9</v>
      </c>
      <c r="G138" s="632" t="s">
        <v>142</v>
      </c>
      <c r="H138" s="633"/>
      <c r="I138" s="634"/>
      <c r="J138" s="633"/>
      <c r="K138" s="633" t="s">
        <v>3</v>
      </c>
      <c r="L138" s="635" t="s">
        <v>143</v>
      </c>
      <c r="M138" s="635"/>
      <c r="N138" s="635"/>
      <c r="O138" s="635"/>
      <c r="P138" s="635"/>
      <c r="Q138" s="50"/>
      <c r="T138" s="636" t="str">
        <f>IF(AND($R145=0,$T145=0),"0.00","mu :" &amp; ROUND($F138/$C$2/($R145+$T145*$D$9),2))</f>
        <v>mu :1.1</v>
      </c>
      <c r="W138" s="521"/>
      <c r="AG138" s="478">
        <f>IF($E138=0,0,ROUND($R145*$S$2*$C$2/$A138,2))</f>
        <v>53.48</v>
      </c>
      <c r="AH138" s="478">
        <f>$AG138*$A138</f>
        <v>481.32</v>
      </c>
      <c r="AI138" s="522">
        <f>$E138-$AG138</f>
        <v>16.619999999999997</v>
      </c>
      <c r="AJ138" s="522">
        <f>$A138*$AI138</f>
        <v>149.57999999999998</v>
      </c>
      <c r="AK138" s="523">
        <f>ROUND(($AG138+$AI138)*$A138,2)</f>
        <v>630.9</v>
      </c>
      <c r="AM138" s="524">
        <f>ROUND(R145,2)</f>
        <v>437.58</v>
      </c>
      <c r="AN138" s="525">
        <f>ROUND(T145,2)</f>
        <v>4.95</v>
      </c>
      <c r="AO138" s="526">
        <f>ROUND(AM138+AN138,2)*A138</f>
        <v>3982.7699999999995</v>
      </c>
    </row>
    <row r="139" spans="1:41" s="518" customFormat="1" ht="13.2">
      <c r="A139" s="628"/>
      <c r="B139"/>
      <c r="C139" s="628"/>
      <c r="D139" s="629" t="s">
        <v>310</v>
      </c>
      <c r="F139" s="633"/>
      <c r="G139" s="3"/>
      <c r="H139" s="633"/>
      <c r="I139" s="634"/>
      <c r="J139" s="633"/>
      <c r="K139" s="633" t="s">
        <v>144</v>
      </c>
      <c r="L139" s="633"/>
      <c r="M139" s="633"/>
      <c r="N139" s="633"/>
      <c r="O139" s="633"/>
      <c r="P139" s="633"/>
      <c r="Q139" s="50"/>
      <c r="R139" s="527"/>
      <c r="S139" s="637"/>
      <c r="T139" s="633"/>
    </row>
    <row r="140" spans="1:41" s="649" customFormat="1" ht="13.2">
      <c r="A140" s="112">
        <v>9</v>
      </c>
      <c r="B140" s="649" t="s">
        <v>141</v>
      </c>
      <c r="D140" s="649" t="s">
        <v>502</v>
      </c>
      <c r="G140" s="650" t="s">
        <v>503</v>
      </c>
      <c r="H140" s="651">
        <v>835</v>
      </c>
      <c r="I140" s="649" t="s">
        <v>364</v>
      </c>
      <c r="O140" s="652">
        <v>3</v>
      </c>
      <c r="P140" s="653">
        <v>38312</v>
      </c>
      <c r="Q140" s="654">
        <f>1.2*40</f>
        <v>48</v>
      </c>
      <c r="R140" s="655">
        <f>$A140*Q140</f>
        <v>432</v>
      </c>
      <c r="S140" s="654">
        <v>0.5</v>
      </c>
      <c r="T140" s="656">
        <f>$A140*S140*$T$1</f>
        <v>4.5</v>
      </c>
    </row>
    <row r="141" spans="1:41" s="649" customFormat="1" ht="13.2">
      <c r="A141" s="112">
        <v>9</v>
      </c>
      <c r="B141" s="649" t="s">
        <v>141</v>
      </c>
      <c r="D141" s="649" t="s">
        <v>377</v>
      </c>
      <c r="G141" s="650" t="s">
        <v>378</v>
      </c>
      <c r="H141" s="651">
        <v>875</v>
      </c>
      <c r="I141" s="649" t="s">
        <v>364</v>
      </c>
      <c r="K141" s="649" t="s">
        <v>379</v>
      </c>
      <c r="O141" s="652">
        <v>3</v>
      </c>
      <c r="P141" s="653">
        <v>34820</v>
      </c>
      <c r="Q141" s="654">
        <v>0.5</v>
      </c>
      <c r="R141" s="655">
        <f>$A141*Q141</f>
        <v>4.5</v>
      </c>
      <c r="S141" s="654">
        <v>0.05</v>
      </c>
      <c r="T141" s="656">
        <f>$A141*S141*$T$1</f>
        <v>0.45</v>
      </c>
    </row>
    <row r="142" spans="1:41" s="649" customFormat="1" ht="13.2">
      <c r="A142">
        <v>18</v>
      </c>
      <c r="B142" s="649" t="s">
        <v>141</v>
      </c>
      <c r="D142" s="649" t="s">
        <v>366</v>
      </c>
      <c r="G142" s="650" t="s">
        <v>367</v>
      </c>
      <c r="H142" s="651">
        <v>875</v>
      </c>
      <c r="I142" s="649" t="s">
        <v>364</v>
      </c>
      <c r="K142" s="649" t="s">
        <v>368</v>
      </c>
      <c r="O142" s="652">
        <v>1</v>
      </c>
      <c r="P142" s="653">
        <v>34669</v>
      </c>
      <c r="Q142" s="654">
        <v>0.03</v>
      </c>
      <c r="R142" s="655">
        <f>$A142*Q142</f>
        <v>0.54</v>
      </c>
      <c r="S142" s="654"/>
      <c r="T142" s="656">
        <f>$A142*S142*$T$1</f>
        <v>0</v>
      </c>
    </row>
    <row r="143" spans="1:41" s="649" customFormat="1" ht="13.2">
      <c r="A143">
        <v>18</v>
      </c>
      <c r="B143" s="649" t="s">
        <v>141</v>
      </c>
      <c r="D143" s="649" t="s">
        <v>369</v>
      </c>
      <c r="G143" s="650" t="s">
        <v>370</v>
      </c>
      <c r="H143" s="651">
        <v>875</v>
      </c>
      <c r="I143" s="649" t="s">
        <v>364</v>
      </c>
      <c r="K143" s="649" t="s">
        <v>371</v>
      </c>
      <c r="O143" s="652">
        <v>1</v>
      </c>
      <c r="P143" s="653">
        <v>34669</v>
      </c>
      <c r="Q143" s="654">
        <v>0.03</v>
      </c>
      <c r="R143" s="655">
        <f>$A143*Q143</f>
        <v>0.54</v>
      </c>
      <c r="S143" s="654"/>
      <c r="T143" s="656">
        <f>$A143*S143*$T$1</f>
        <v>0</v>
      </c>
    </row>
    <row r="144" spans="1:41" s="518" customFormat="1" ht="12">
      <c r="A144" s="638"/>
      <c r="B144" s="638"/>
      <c r="C144" s="638"/>
      <c r="D144" s="638"/>
      <c r="E144" s="638"/>
      <c r="F144" s="633"/>
      <c r="G144" s="638"/>
      <c r="H144" s="638"/>
      <c r="I144" s="517"/>
      <c r="J144" s="638"/>
      <c r="K144" s="638"/>
      <c r="L144" s="638"/>
      <c r="M144" s="638"/>
      <c r="N144" s="638"/>
      <c r="O144" s="638"/>
      <c r="P144" s="638"/>
      <c r="Q144" s="517"/>
      <c r="R144" s="639">
        <f t="shared" ref="R144" si="22">$A144*Q144</f>
        <v>0</v>
      </c>
      <c r="S144" s="517"/>
      <c r="T144" s="640">
        <f t="shared" ref="T144" si="23">$A144*S144*$T$1</f>
        <v>0</v>
      </c>
    </row>
    <row r="145" spans="1:41" s="518" customFormat="1" ht="12.6" thickBot="1">
      <c r="A145" s="641" t="s">
        <v>145</v>
      </c>
      <c r="B145" s="642">
        <f>(R144+T144)</f>
        <v>0</v>
      </c>
      <c r="C145" s="643"/>
      <c r="D145" s="643"/>
      <c r="E145" s="643"/>
      <c r="F145" s="644"/>
      <c r="G145" s="643" t="s">
        <v>146</v>
      </c>
      <c r="H145" s="643"/>
      <c r="I145" s="645"/>
      <c r="J145" s="643"/>
      <c r="K145" s="643" t="s">
        <v>3</v>
      </c>
      <c r="L145" s="646" t="s">
        <v>143</v>
      </c>
      <c r="M145" s="646"/>
      <c r="N145" s="646"/>
      <c r="O145" s="646"/>
      <c r="P145" s="646"/>
      <c r="Q145" s="647"/>
      <c r="R145" s="648">
        <f>SUM(R139:R144)</f>
        <v>437.58000000000004</v>
      </c>
      <c r="S145" s="643"/>
      <c r="T145" s="648">
        <f>SUM(T139:T144)</f>
        <v>4.95</v>
      </c>
      <c r="U145" s="528"/>
      <c r="V145" s="528"/>
      <c r="W145" s="528"/>
      <c r="X145" s="528"/>
      <c r="Y145" s="528"/>
      <c r="Z145" s="528"/>
      <c r="AA145" s="528"/>
      <c r="AB145" s="528"/>
      <c r="AC145" s="528"/>
      <c r="AD145" s="528"/>
      <c r="AE145" s="528"/>
      <c r="AF145" s="528"/>
      <c r="AG145" s="528"/>
      <c r="AH145" s="528"/>
      <c r="AI145" s="528"/>
      <c r="AJ145" s="528"/>
      <c r="AK145" s="528"/>
      <c r="AL145" s="528"/>
      <c r="AM145" s="528"/>
      <c r="AN145" s="528"/>
      <c r="AO145" s="528"/>
    </row>
    <row r="146" spans="1:41" s="518" customFormat="1" ht="12" thickTop="1">
      <c r="A146" s="48" t="s">
        <v>148</v>
      </c>
      <c r="D146" s="13"/>
      <c r="E146" s="42"/>
      <c r="O146" s="662"/>
    </row>
    <row r="147" spans="1:41" s="518" customFormat="1" ht="13.2">
      <c r="B147" s="3"/>
      <c r="O147" s="662"/>
    </row>
    <row r="148" spans="1:41" s="518" customFormat="1" ht="12">
      <c r="B148" s="784">
        <f ca="1">$F148/$C$2-($R148*$S$2+$T148*$T$2)</f>
        <v>9.3693333330520545E-2</v>
      </c>
      <c r="D148" s="785" t="s">
        <v>515</v>
      </c>
      <c r="E148" s="786"/>
      <c r="F148" s="787">
        <f ca="1">SUMIF($L13:$L146,"ITEM",F13:F146)</f>
        <v>14199.67</v>
      </c>
      <c r="G148" s="638"/>
      <c r="H148" s="638"/>
      <c r="I148" s="517"/>
      <c r="J148" s="638"/>
      <c r="K148" s="638"/>
      <c r="L148" s="635" t="s">
        <v>516</v>
      </c>
      <c r="M148" s="635"/>
      <c r="N148" s="635"/>
      <c r="O148" s="635"/>
      <c r="P148" s="635"/>
      <c r="R148" s="787">
        <f ca="1">SUMIF($L13:$L146,"ITEM",R13:R146)</f>
        <v>7857.713333333334</v>
      </c>
      <c r="S148" s="672"/>
      <c r="T148" s="787">
        <f ca="1">SUMIF($L13:$L146,"ITEM",T13:T146)</f>
        <v>183.94</v>
      </c>
    </row>
    <row r="149" spans="1:41" s="518" customFormat="1" ht="13.2">
      <c r="A149" s="50"/>
      <c r="B149" s="788" t="s">
        <v>517</v>
      </c>
      <c r="C149" s="50"/>
      <c r="D149" s="3"/>
      <c r="F149" s="701" t="s">
        <v>518</v>
      </c>
      <c r="G149" s="638"/>
      <c r="H149" s="638"/>
      <c r="I149" s="517"/>
      <c r="J149" s="638"/>
      <c r="K149" s="638"/>
      <c r="L149" s="638"/>
      <c r="M149" s="638"/>
      <c r="N149" s="638"/>
      <c r="O149" s="638"/>
      <c r="P149" s="638"/>
      <c r="Q149" s="666"/>
      <c r="R149" s="701" t="s">
        <v>519</v>
      </c>
      <c r="S149" s="38"/>
      <c r="T149" s="701" t="s">
        <v>520</v>
      </c>
    </row>
    <row r="150" spans="1:41" s="518" customFormat="1" ht="13.2">
      <c r="A150" s="638"/>
      <c r="B150" s="3"/>
      <c r="C150" s="638"/>
      <c r="D150" s="3"/>
      <c r="E150" s="3"/>
      <c r="G150" s="3"/>
      <c r="H150" s="3"/>
      <c r="I150" s="3"/>
      <c r="J150" s="3"/>
      <c r="K150" s="3"/>
      <c r="L150" s="3"/>
      <c r="M150" s="3"/>
      <c r="N150" s="3"/>
      <c r="O150" s="103"/>
      <c r="P150" s="3"/>
      <c r="Q150" s="3"/>
      <c r="R150" s="3"/>
      <c r="S150" s="3"/>
      <c r="T150" s="3"/>
    </row>
    <row r="151" spans="1:41" s="518" customFormat="1" ht="12" thickBot="1">
      <c r="A151" s="528"/>
      <c r="B151" s="643"/>
      <c r="C151" s="643"/>
      <c r="D151" s="528"/>
      <c r="E151" s="39"/>
      <c r="F151" s="789"/>
      <c r="G151" s="643"/>
      <c r="H151" s="643"/>
      <c r="I151" s="645"/>
      <c r="J151" s="643"/>
      <c r="K151" s="643"/>
      <c r="L151" s="646"/>
      <c r="M151" s="646"/>
      <c r="N151" s="646"/>
      <c r="O151" s="646"/>
      <c r="P151" s="646"/>
      <c r="Q151" s="647"/>
      <c r="R151" s="789"/>
      <c r="S151" s="790"/>
      <c r="T151" s="789"/>
      <c r="U151" s="528"/>
      <c r="V151" s="528"/>
      <c r="W151" s="528"/>
      <c r="X151" s="528"/>
      <c r="Y151" s="528"/>
      <c r="Z151" s="528"/>
      <c r="AA151" s="528"/>
      <c r="AB151" s="528"/>
      <c r="AC151" s="528"/>
      <c r="AD151" s="528"/>
      <c r="AE151" s="528"/>
      <c r="AF151" s="528"/>
      <c r="AG151" s="528"/>
      <c r="AH151" s="528"/>
      <c r="AI151" s="528"/>
      <c r="AJ151" s="528"/>
      <c r="AK151" s="528"/>
    </row>
    <row r="152" spans="1:41" s="518" customFormat="1" thickTop="1">
      <c r="A152" s="50"/>
      <c r="B152" s="50"/>
      <c r="C152" s="3"/>
      <c r="D152" s="3"/>
      <c r="E152" s="50"/>
      <c r="F152" s="50"/>
      <c r="G152" s="50"/>
      <c r="H152" s="50"/>
      <c r="I152" s="50"/>
      <c r="J152" s="50"/>
      <c r="K152" s="50" t="s">
        <v>134</v>
      </c>
      <c r="L152" s="50"/>
      <c r="M152" s="50"/>
      <c r="N152" s="50"/>
      <c r="O152" s="51"/>
      <c r="P152" s="50"/>
      <c r="Q152" s="50"/>
      <c r="R152" s="50"/>
      <c r="S152" s="50"/>
      <c r="T152" s="50"/>
    </row>
    <row r="153" spans="1:41" s="518" customFormat="1" ht="12">
      <c r="A153" s="50"/>
      <c r="B153" s="50"/>
      <c r="C153" s="50" t="s">
        <v>135</v>
      </c>
      <c r="D153" s="37" t="s">
        <v>311</v>
      </c>
      <c r="E153" s="50"/>
      <c r="F153" s="50"/>
      <c r="G153" s="50"/>
      <c r="H153" s="50"/>
      <c r="I153" s="50"/>
      <c r="J153" s="50"/>
      <c r="K153" s="50"/>
      <c r="L153" s="50"/>
      <c r="M153" s="50"/>
      <c r="N153" s="50"/>
      <c r="O153" s="51"/>
      <c r="P153" s="50"/>
      <c r="Q153" s="50"/>
      <c r="R153" s="50"/>
      <c r="S153" s="50"/>
      <c r="T153" s="50"/>
    </row>
    <row r="154" spans="1:41" s="518" customFormat="1" ht="12">
      <c r="A154" s="50"/>
      <c r="B154" s="50"/>
      <c r="C154" s="50"/>
      <c r="D154" s="37" t="s">
        <v>312</v>
      </c>
      <c r="E154" s="50"/>
      <c r="F154" s="50"/>
      <c r="G154" s="50"/>
      <c r="H154" s="50"/>
      <c r="I154" s="50"/>
      <c r="J154" s="50"/>
      <c r="K154" s="50"/>
      <c r="L154" s="50"/>
      <c r="M154" s="50"/>
      <c r="N154" s="50"/>
      <c r="O154" s="51"/>
      <c r="P154" s="50"/>
      <c r="Q154" s="50"/>
      <c r="R154" s="50"/>
      <c r="S154" s="38"/>
      <c r="T154" s="38"/>
    </row>
    <row r="155" spans="1:41" s="3" customFormat="1" thickBot="1">
      <c r="A155" s="528"/>
      <c r="O155" s="103"/>
    </row>
    <row r="156" spans="1:41" s="518" customFormat="1" ht="12" thickTop="1">
      <c r="A156" s="50"/>
      <c r="B156" s="41"/>
      <c r="C156" s="50"/>
      <c r="E156" s="42" t="s">
        <v>138</v>
      </c>
      <c r="F156" s="42" t="s">
        <v>139</v>
      </c>
      <c r="G156" s="50"/>
      <c r="H156" s="50"/>
      <c r="I156" s="50"/>
      <c r="J156" s="50"/>
      <c r="K156" s="50" t="s">
        <v>140</v>
      </c>
      <c r="L156" s="50"/>
      <c r="M156" s="50"/>
      <c r="N156" s="50"/>
      <c r="O156" s="51"/>
      <c r="P156" s="50"/>
      <c r="Q156" s="50"/>
      <c r="R156" s="50"/>
      <c r="S156" s="50"/>
      <c r="T156" s="41"/>
      <c r="AG156" s="625" t="s">
        <v>247</v>
      </c>
      <c r="AH156" s="625" t="s">
        <v>248</v>
      </c>
      <c r="AI156" s="625" t="s">
        <v>249</v>
      </c>
      <c r="AJ156" s="625" t="s">
        <v>250</v>
      </c>
      <c r="AK156" s="625" t="s">
        <v>251</v>
      </c>
      <c r="AM156" s="626" t="s">
        <v>260</v>
      </c>
      <c r="AN156" s="627" t="s">
        <v>261</v>
      </c>
      <c r="AO156" s="519" t="s">
        <v>257</v>
      </c>
    </row>
    <row r="157" spans="1:41" s="518" customFormat="1" ht="12" customHeight="1">
      <c r="A157" s="657">
        <v>1</v>
      </c>
      <c r="B157" s="520" t="s">
        <v>285</v>
      </c>
      <c r="C157" s="628"/>
      <c r="D157" s="629" t="s">
        <v>313</v>
      </c>
      <c r="E157" s="630">
        <f>IF(AND($A157=0,$A$1="DIF"),0, ROUND(ROUND(($R163*$S$2+($T163*$T$2))/A157,2)*$C$2,2))</f>
        <v>33.159999999999997</v>
      </c>
      <c r="F157" s="631">
        <f>ROUND($A157*$E157,2)</f>
        <v>33.159999999999997</v>
      </c>
      <c r="G157" s="632" t="s">
        <v>142</v>
      </c>
      <c r="H157" s="633"/>
      <c r="I157" s="634"/>
      <c r="J157" s="633"/>
      <c r="K157" s="633" t="s">
        <v>3</v>
      </c>
      <c r="L157" s="635" t="s">
        <v>143</v>
      </c>
      <c r="M157" s="635"/>
      <c r="N157" s="635"/>
      <c r="O157" s="635"/>
      <c r="P157" s="635"/>
      <c r="Q157" s="50"/>
      <c r="T157" s="636" t="str">
        <f>IF(AND($R163=0,$T163=0),"0.00","mu :" &amp; ROUND($F157/$C$2/($R163+$T163*$D$9),2))</f>
        <v>mu :1.1</v>
      </c>
      <c r="W157" s="521"/>
      <c r="AG157" s="478">
        <f>IF($E157=0,0,ROUND($R163*$S$2*$C$2/$A157,2))</f>
        <v>2.2000000000000002</v>
      </c>
      <c r="AH157" s="478">
        <f>$AG157*$A157</f>
        <v>2.2000000000000002</v>
      </c>
      <c r="AI157" s="522">
        <f>$E157-$AG157</f>
        <v>30.959999999999997</v>
      </c>
      <c r="AJ157" s="522">
        <f>$A157*$AI157</f>
        <v>30.959999999999997</v>
      </c>
      <c r="AK157" s="523">
        <f>ROUND(($AG157+$AI157)*$A157,2)</f>
        <v>33.159999999999997</v>
      </c>
      <c r="AM157" s="524">
        <f>ROUND(R163,2)</f>
        <v>2</v>
      </c>
      <c r="AN157" s="525">
        <f>ROUND(T163,2)</f>
        <v>1.03</v>
      </c>
      <c r="AO157" s="526">
        <f>ROUND(AM157+AN157,2)*A157</f>
        <v>3.03</v>
      </c>
    </row>
    <row r="158" spans="1:41" s="518" customFormat="1" ht="13.2">
      <c r="A158" s="628"/>
      <c r="B158"/>
      <c r="C158" s="628"/>
      <c r="D158" s="629" t="s">
        <v>314</v>
      </c>
      <c r="F158" s="633"/>
      <c r="G158" s="3"/>
      <c r="H158" s="633"/>
      <c r="I158" s="634"/>
      <c r="J158" s="633"/>
      <c r="K158" s="633" t="s">
        <v>144</v>
      </c>
      <c r="L158" s="633"/>
      <c r="M158" s="633"/>
      <c r="N158" s="633"/>
      <c r="O158" s="633"/>
      <c r="P158" s="633"/>
      <c r="Q158" s="50"/>
      <c r="R158" s="527"/>
      <c r="S158" s="637"/>
      <c r="T158" s="633"/>
    </row>
    <row r="159" spans="1:41" s="649" customFormat="1" ht="13.2">
      <c r="A159" s="112">
        <v>1</v>
      </c>
      <c r="B159" s="649" t="s">
        <v>141</v>
      </c>
      <c r="D159" s="649" t="s">
        <v>401</v>
      </c>
      <c r="G159" s="650" t="s">
        <v>402</v>
      </c>
      <c r="H159" s="651">
        <v>835</v>
      </c>
      <c r="I159" s="649" t="s">
        <v>364</v>
      </c>
      <c r="O159" s="652">
        <v>3</v>
      </c>
      <c r="P159" s="653"/>
      <c r="Q159" s="654">
        <v>0</v>
      </c>
      <c r="R159" s="655">
        <f>$A159*Q159</f>
        <v>0</v>
      </c>
      <c r="S159" s="654">
        <v>1</v>
      </c>
      <c r="T159" s="656">
        <f>$A159*S159*$T$1</f>
        <v>1</v>
      </c>
    </row>
    <row r="160" spans="1:41" s="649" customFormat="1" ht="13.2">
      <c r="A160">
        <v>1</v>
      </c>
      <c r="B160" s="649" t="s">
        <v>387</v>
      </c>
      <c r="D160" s="649" t="s">
        <v>403</v>
      </c>
      <c r="G160" s="650" t="s">
        <v>404</v>
      </c>
      <c r="H160" s="651">
        <v>616</v>
      </c>
      <c r="I160" s="649" t="s">
        <v>405</v>
      </c>
      <c r="J160" s="649" t="s">
        <v>406</v>
      </c>
      <c r="K160" s="649" t="s">
        <v>407</v>
      </c>
      <c r="O160" s="652">
        <v>2</v>
      </c>
      <c r="P160" s="653">
        <v>40767</v>
      </c>
      <c r="Q160" s="654">
        <v>1</v>
      </c>
      <c r="R160" s="655">
        <f>$A160*Q160</f>
        <v>1</v>
      </c>
      <c r="S160" s="654">
        <v>2.5000000000000001E-2</v>
      </c>
      <c r="T160" s="656">
        <f>$A160*S160*$T$1</f>
        <v>2.5000000000000001E-2</v>
      </c>
    </row>
    <row r="161" spans="1:41" s="649" customFormat="1" ht="13.2">
      <c r="A161">
        <v>1</v>
      </c>
      <c r="B161" s="649" t="s">
        <v>141</v>
      </c>
      <c r="D161" s="649" t="s">
        <v>408</v>
      </c>
      <c r="G161" s="650" t="s">
        <v>375</v>
      </c>
      <c r="H161" s="651">
        <v>875</v>
      </c>
      <c r="I161" s="649" t="s">
        <v>364</v>
      </c>
      <c r="K161" s="649" t="s">
        <v>376</v>
      </c>
      <c r="O161" s="652">
        <v>1</v>
      </c>
      <c r="P161" s="653"/>
      <c r="Q161" s="654">
        <v>1</v>
      </c>
      <c r="R161" s="655">
        <f>$A161*Q161</f>
        <v>1</v>
      </c>
      <c r="S161" s="654"/>
      <c r="T161" s="656">
        <f>$A161*S161*$T$1</f>
        <v>0</v>
      </c>
    </row>
    <row r="162" spans="1:41" s="518" customFormat="1" ht="12">
      <c r="A162" s="638"/>
      <c r="B162" s="638"/>
      <c r="C162" s="638"/>
      <c r="D162" s="638"/>
      <c r="E162" s="638"/>
      <c r="F162" s="633"/>
      <c r="G162" s="638"/>
      <c r="H162" s="638"/>
      <c r="I162" s="517"/>
      <c r="J162" s="638"/>
      <c r="K162" s="638"/>
      <c r="L162" s="638"/>
      <c r="M162" s="638"/>
      <c r="N162" s="638"/>
      <c r="O162" s="638"/>
      <c r="P162" s="638"/>
      <c r="Q162" s="517"/>
      <c r="R162" s="639">
        <f t="shared" ref="R162" si="24">$A162*Q162</f>
        <v>0</v>
      </c>
      <c r="S162" s="517"/>
      <c r="T162" s="640">
        <f t="shared" ref="T162" si="25">$A162*S162*$T$1</f>
        <v>0</v>
      </c>
    </row>
    <row r="163" spans="1:41" s="518" customFormat="1" ht="12.6" thickBot="1">
      <c r="A163" s="641" t="s">
        <v>145</v>
      </c>
      <c r="B163" s="642">
        <f>(R162+T162)</f>
        <v>0</v>
      </c>
      <c r="C163" s="643"/>
      <c r="D163" s="643"/>
      <c r="E163" s="643"/>
      <c r="F163" s="644"/>
      <c r="G163" s="643" t="s">
        <v>146</v>
      </c>
      <c r="H163" s="643"/>
      <c r="I163" s="645"/>
      <c r="J163" s="643"/>
      <c r="K163" s="643" t="s">
        <v>3</v>
      </c>
      <c r="L163" s="646" t="s">
        <v>143</v>
      </c>
      <c r="M163" s="646"/>
      <c r="N163" s="646"/>
      <c r="O163" s="646"/>
      <c r="P163" s="646"/>
      <c r="Q163" s="647"/>
      <c r="R163" s="648">
        <f>SUM(R158:R162)</f>
        <v>2</v>
      </c>
      <c r="S163" s="643"/>
      <c r="T163" s="648">
        <f>SUM(T158:T162)</f>
        <v>1.0249999999999999</v>
      </c>
      <c r="U163" s="528"/>
      <c r="V163" s="528"/>
      <c r="W163" s="528"/>
      <c r="X163" s="528"/>
      <c r="Y163" s="528"/>
      <c r="Z163" s="528"/>
      <c r="AA163" s="528"/>
      <c r="AB163" s="528"/>
      <c r="AC163" s="528"/>
      <c r="AD163" s="528"/>
      <c r="AE163" s="528"/>
      <c r="AF163" s="528"/>
      <c r="AG163" s="528"/>
      <c r="AH163" s="528"/>
      <c r="AI163" s="528"/>
      <c r="AJ163" s="528"/>
      <c r="AK163" s="528"/>
      <c r="AL163" s="528"/>
      <c r="AM163" s="528"/>
      <c r="AN163" s="528"/>
      <c r="AO163" s="528"/>
    </row>
    <row r="164" spans="1:41" s="518" customFormat="1" ht="12" thickTop="1">
      <c r="A164" s="50"/>
      <c r="B164" s="41"/>
      <c r="C164" s="50"/>
      <c r="E164" s="42" t="s">
        <v>138</v>
      </c>
      <c r="F164" s="42" t="s">
        <v>139</v>
      </c>
      <c r="G164" s="50"/>
      <c r="H164" s="50"/>
      <c r="I164" s="50"/>
      <c r="J164" s="50"/>
      <c r="K164" s="50" t="s">
        <v>140</v>
      </c>
      <c r="L164" s="50"/>
      <c r="M164" s="50"/>
      <c r="N164" s="50"/>
      <c r="O164" s="51"/>
      <c r="P164" s="50"/>
      <c r="Q164" s="50"/>
      <c r="R164" s="50"/>
      <c r="S164" s="50"/>
      <c r="T164" s="41"/>
      <c r="AG164" s="625" t="s">
        <v>247</v>
      </c>
      <c r="AH164" s="625" t="s">
        <v>248</v>
      </c>
      <c r="AI164" s="625" t="s">
        <v>249</v>
      </c>
      <c r="AJ164" s="625" t="s">
        <v>250</v>
      </c>
      <c r="AK164" s="625" t="s">
        <v>251</v>
      </c>
      <c r="AM164" s="626" t="s">
        <v>260</v>
      </c>
      <c r="AN164" s="627" t="s">
        <v>261</v>
      </c>
      <c r="AO164" s="519" t="s">
        <v>257</v>
      </c>
    </row>
    <row r="165" spans="1:41" s="518" customFormat="1" ht="12" customHeight="1">
      <c r="A165" s="657">
        <v>1</v>
      </c>
      <c r="B165" s="520" t="s">
        <v>285</v>
      </c>
      <c r="C165" s="628"/>
      <c r="D165" s="629" t="s">
        <v>315</v>
      </c>
      <c r="E165" s="630">
        <f>IF(AND($A165=0,$A$1="DIF"),0, ROUND(ROUND(($R171*$S$2+($T171*$T$2))/A165,2)*$C$2,2))</f>
        <v>52.66</v>
      </c>
      <c r="F165" s="631">
        <f>ROUND($A165*$E165,2)</f>
        <v>52.66</v>
      </c>
      <c r="G165" s="632" t="s">
        <v>142</v>
      </c>
      <c r="H165" s="633"/>
      <c r="I165" s="634"/>
      <c r="J165" s="633"/>
      <c r="K165" s="633" t="s">
        <v>3</v>
      </c>
      <c r="L165" s="635" t="s">
        <v>143</v>
      </c>
      <c r="M165" s="635"/>
      <c r="N165" s="635"/>
      <c r="O165" s="635"/>
      <c r="P165" s="635"/>
      <c r="Q165" s="50"/>
      <c r="T165" s="636" t="str">
        <f>IF(AND($R171=0,$T171=0),"0.00","mu :" &amp; ROUND($F165/$C$2/($R171+$T171*$D$9),2))</f>
        <v>mu :1.1</v>
      </c>
      <c r="W165" s="521"/>
      <c r="AG165" s="478">
        <f>IF($E165=0,0,ROUND($R171*$S$2*$C$2/$A165,2))</f>
        <v>6.6</v>
      </c>
      <c r="AH165" s="478">
        <f>$AG165*$A165</f>
        <v>6.6</v>
      </c>
      <c r="AI165" s="522">
        <f>$E165-$AG165</f>
        <v>46.059999999999995</v>
      </c>
      <c r="AJ165" s="522">
        <f>$A165*$AI165</f>
        <v>46.059999999999995</v>
      </c>
      <c r="AK165" s="523">
        <f>ROUND(($AG165+$AI165)*$A165,2)</f>
        <v>52.66</v>
      </c>
      <c r="AM165" s="524">
        <f>ROUND(R171,2)</f>
        <v>6</v>
      </c>
      <c r="AN165" s="525">
        <f>ROUND(T171,2)</f>
        <v>1.53</v>
      </c>
      <c r="AO165" s="526">
        <f>ROUND(AM165+AN165,2)*A165</f>
        <v>7.53</v>
      </c>
    </row>
    <row r="166" spans="1:41" s="518" customFormat="1" ht="13.2">
      <c r="A166" s="628"/>
      <c r="B166"/>
      <c r="C166" s="628"/>
      <c r="D166" s="629" t="s">
        <v>316</v>
      </c>
      <c r="F166" s="633"/>
      <c r="G166" s="3"/>
      <c r="H166" s="633"/>
      <c r="I166" s="634"/>
      <c r="J166" s="633"/>
      <c r="K166" s="633" t="s">
        <v>144</v>
      </c>
      <c r="L166" s="633"/>
      <c r="M166" s="633"/>
      <c r="N166" s="633"/>
      <c r="O166" s="633"/>
      <c r="P166" s="633"/>
      <c r="Q166" s="50"/>
      <c r="R166" s="527"/>
      <c r="S166" s="637"/>
      <c r="T166" s="633"/>
    </row>
    <row r="167" spans="1:41" s="649" customFormat="1" ht="13.2">
      <c r="A167" s="112">
        <v>1</v>
      </c>
      <c r="B167" s="649" t="s">
        <v>141</v>
      </c>
      <c r="D167" s="649" t="s">
        <v>401</v>
      </c>
      <c r="G167" s="650" t="s">
        <v>402</v>
      </c>
      <c r="H167" s="651">
        <v>835</v>
      </c>
      <c r="I167" s="649" t="s">
        <v>364</v>
      </c>
      <c r="O167" s="652">
        <v>3</v>
      </c>
      <c r="P167" s="653"/>
      <c r="Q167" s="654">
        <v>0</v>
      </c>
      <c r="R167" s="655">
        <f>$A167*Q167</f>
        <v>0</v>
      </c>
      <c r="S167" s="654">
        <v>1.5</v>
      </c>
      <c r="T167" s="656">
        <f>$A167*S167*$T$1</f>
        <v>1.5</v>
      </c>
    </row>
    <row r="168" spans="1:41" s="649" customFormat="1" ht="13.2">
      <c r="A168">
        <v>1</v>
      </c>
      <c r="B168" s="649" t="s">
        <v>387</v>
      </c>
      <c r="D168" s="649" t="s">
        <v>403</v>
      </c>
      <c r="G168" s="650" t="s">
        <v>404</v>
      </c>
      <c r="H168" s="651">
        <v>616</v>
      </c>
      <c r="I168" s="649" t="s">
        <v>405</v>
      </c>
      <c r="J168" s="649" t="s">
        <v>406</v>
      </c>
      <c r="K168" s="649" t="s">
        <v>407</v>
      </c>
      <c r="O168" s="652">
        <v>2</v>
      </c>
      <c r="P168" s="653">
        <v>40767</v>
      </c>
      <c r="Q168" s="654">
        <v>1</v>
      </c>
      <c r="R168" s="655">
        <f>$A168*Q168</f>
        <v>1</v>
      </c>
      <c r="S168" s="654">
        <v>2.5000000000000001E-2</v>
      </c>
      <c r="T168" s="656">
        <f>$A168*S168*$T$1</f>
        <v>2.5000000000000001E-2</v>
      </c>
    </row>
    <row r="169" spans="1:41" s="649" customFormat="1" ht="13.2">
      <c r="A169">
        <v>1</v>
      </c>
      <c r="B169" s="649" t="s">
        <v>141</v>
      </c>
      <c r="D169" s="649" t="s">
        <v>408</v>
      </c>
      <c r="G169" s="650" t="s">
        <v>375</v>
      </c>
      <c r="H169" s="651">
        <v>875</v>
      </c>
      <c r="I169" s="649" t="s">
        <v>364</v>
      </c>
      <c r="K169" s="649" t="s">
        <v>376</v>
      </c>
      <c r="O169" s="652">
        <v>1</v>
      </c>
      <c r="P169" s="653"/>
      <c r="Q169" s="654">
        <v>5</v>
      </c>
      <c r="R169" s="655">
        <f>$A169*Q169</f>
        <v>5</v>
      </c>
      <c r="S169" s="654"/>
      <c r="T169" s="656">
        <f>$A169*S169*$T$1</f>
        <v>0</v>
      </c>
    </row>
    <row r="170" spans="1:41" s="518" customFormat="1" ht="12">
      <c r="A170" s="638"/>
      <c r="B170" s="638"/>
      <c r="C170" s="638"/>
      <c r="D170" s="638"/>
      <c r="E170" s="638"/>
      <c r="F170" s="633"/>
      <c r="G170" s="638"/>
      <c r="H170" s="638"/>
      <c r="I170" s="517"/>
      <c r="J170" s="638"/>
      <c r="K170" s="638"/>
      <c r="L170" s="638"/>
      <c r="M170" s="638"/>
      <c r="N170" s="638"/>
      <c r="O170" s="638"/>
      <c r="P170" s="638"/>
      <c r="Q170" s="517"/>
      <c r="R170" s="639">
        <f t="shared" ref="R170" si="26">$A170*Q170</f>
        <v>0</v>
      </c>
      <c r="S170" s="517"/>
      <c r="T170" s="640">
        <f t="shared" ref="T170" si="27">$A170*S170*$T$1</f>
        <v>0</v>
      </c>
    </row>
    <row r="171" spans="1:41" s="518" customFormat="1" ht="12.6" thickBot="1">
      <c r="A171" s="641" t="s">
        <v>145</v>
      </c>
      <c r="B171" s="642">
        <f>(R170+T170)</f>
        <v>0</v>
      </c>
      <c r="C171" s="643"/>
      <c r="D171" s="643"/>
      <c r="E171" s="643"/>
      <c r="F171" s="644"/>
      <c r="G171" s="643" t="s">
        <v>146</v>
      </c>
      <c r="H171" s="643"/>
      <c r="I171" s="645"/>
      <c r="J171" s="643"/>
      <c r="K171" s="643" t="s">
        <v>3</v>
      </c>
      <c r="L171" s="646" t="s">
        <v>143</v>
      </c>
      <c r="M171" s="646"/>
      <c r="N171" s="646"/>
      <c r="O171" s="646"/>
      <c r="P171" s="646"/>
      <c r="Q171" s="647"/>
      <c r="R171" s="648">
        <f>SUM(R166:R170)</f>
        <v>6</v>
      </c>
      <c r="S171" s="643"/>
      <c r="T171" s="648">
        <f>SUM(T166:T170)</f>
        <v>1.5249999999999999</v>
      </c>
      <c r="U171" s="528"/>
      <c r="V171" s="528"/>
      <c r="W171" s="528"/>
      <c r="X171" s="528"/>
      <c r="Y171" s="528"/>
      <c r="Z171" s="528"/>
      <c r="AA171" s="528"/>
      <c r="AB171" s="528"/>
      <c r="AC171" s="528"/>
      <c r="AD171" s="528"/>
      <c r="AE171" s="528"/>
      <c r="AF171" s="528"/>
      <c r="AG171" s="528"/>
      <c r="AH171" s="528"/>
      <c r="AI171" s="528"/>
      <c r="AJ171" s="528"/>
      <c r="AK171" s="528"/>
      <c r="AL171" s="528"/>
      <c r="AM171" s="528"/>
      <c r="AN171" s="528"/>
      <c r="AO171" s="528"/>
    </row>
    <row r="172" spans="1:41" s="518" customFormat="1" ht="12" thickTop="1">
      <c r="A172" s="50"/>
      <c r="B172" s="41"/>
      <c r="C172" s="50"/>
      <c r="E172" s="42" t="s">
        <v>138</v>
      </c>
      <c r="F172" s="42" t="s">
        <v>139</v>
      </c>
      <c r="G172" s="50"/>
      <c r="H172" s="50"/>
      <c r="I172" s="50"/>
      <c r="J172" s="50"/>
      <c r="K172" s="50" t="s">
        <v>140</v>
      </c>
      <c r="L172" s="50"/>
      <c r="M172" s="50"/>
      <c r="N172" s="50"/>
      <c r="O172" s="51"/>
      <c r="P172" s="50"/>
      <c r="Q172" s="50"/>
      <c r="R172" s="50"/>
      <c r="S172" s="50"/>
      <c r="T172" s="41"/>
      <c r="AG172" s="625" t="s">
        <v>247</v>
      </c>
      <c r="AH172" s="625" t="s">
        <v>248</v>
      </c>
      <c r="AI172" s="625" t="s">
        <v>249</v>
      </c>
      <c r="AJ172" s="625" t="s">
        <v>250</v>
      </c>
      <c r="AK172" s="625" t="s">
        <v>251</v>
      </c>
      <c r="AM172" s="626" t="s">
        <v>260</v>
      </c>
      <c r="AN172" s="627" t="s">
        <v>261</v>
      </c>
      <c r="AO172" s="519" t="s">
        <v>257</v>
      </c>
    </row>
    <row r="173" spans="1:41" s="518" customFormat="1" ht="12" customHeight="1">
      <c r="A173" s="657">
        <v>2</v>
      </c>
      <c r="B173" s="520" t="s">
        <v>285</v>
      </c>
      <c r="C173" s="628"/>
      <c r="D173" s="629" t="s">
        <v>317</v>
      </c>
      <c r="E173" s="630">
        <f>IF(AND($A173=0,$A$1="DIF"),0, ROUND(ROUND(($R179*$S$2+($T179*$T$2))/A173,2)*$C$2,2))</f>
        <v>108.85</v>
      </c>
      <c r="F173" s="631">
        <f>ROUND($A173*$E173,2)</f>
        <v>217.7</v>
      </c>
      <c r="G173" s="632" t="s">
        <v>142</v>
      </c>
      <c r="H173" s="633"/>
      <c r="I173" s="634"/>
      <c r="J173" s="633"/>
      <c r="K173" s="633" t="s">
        <v>3</v>
      </c>
      <c r="L173" s="635" t="s">
        <v>143</v>
      </c>
      <c r="M173" s="635"/>
      <c r="N173" s="635"/>
      <c r="O173" s="635"/>
      <c r="P173" s="635"/>
      <c r="Q173" s="50"/>
      <c r="T173" s="636" t="str">
        <f>IF(AND($R179=0,$T179=0),"0.00","mu :" &amp; ROUND($F173/$C$2/($R179+$T179*$D$9),2))</f>
        <v>mu :1.1</v>
      </c>
      <c r="W173" s="521"/>
      <c r="AG173" s="478">
        <f>IF($E173=0,0,ROUND($R179*$S$2*$C$2/$A173,2))</f>
        <v>6.6</v>
      </c>
      <c r="AH173" s="478">
        <f>$AG173*$A173</f>
        <v>13.2</v>
      </c>
      <c r="AI173" s="522">
        <f>$E173-$AG173</f>
        <v>102.25</v>
      </c>
      <c r="AJ173" s="522">
        <f>$A173*$AI173</f>
        <v>204.5</v>
      </c>
      <c r="AK173" s="523">
        <f>ROUND(($AG173+$AI173)*$A173,2)</f>
        <v>217.7</v>
      </c>
      <c r="AM173" s="524">
        <f>ROUND(R179,2)</f>
        <v>12</v>
      </c>
      <c r="AN173" s="525">
        <f>ROUND(T179,2)</f>
        <v>6.77</v>
      </c>
      <c r="AO173" s="526">
        <f>ROUND(AM173+AN173,2)*A173</f>
        <v>37.54</v>
      </c>
    </row>
    <row r="174" spans="1:41" s="518" customFormat="1" ht="13.2">
      <c r="A174" s="628"/>
      <c r="B174"/>
      <c r="C174" s="628"/>
      <c r="D174" s="629" t="s">
        <v>409</v>
      </c>
      <c r="F174" s="633"/>
      <c r="G174" s="3"/>
      <c r="H174" s="633"/>
      <c r="I174" s="634"/>
      <c r="J174" s="633"/>
      <c r="K174" s="633" t="s">
        <v>144</v>
      </c>
      <c r="L174" s="633"/>
      <c r="M174" s="633"/>
      <c r="N174" s="633"/>
      <c r="O174" s="633"/>
      <c r="P174" s="633"/>
      <c r="Q174" s="50"/>
      <c r="R174" s="527"/>
      <c r="S174" s="637"/>
      <c r="T174" s="633"/>
    </row>
    <row r="175" spans="1:41" s="649" customFormat="1" ht="13.2">
      <c r="A175" s="112">
        <v>2</v>
      </c>
      <c r="B175" s="649" t="s">
        <v>141</v>
      </c>
      <c r="D175" s="649" t="s">
        <v>401</v>
      </c>
      <c r="G175" s="650" t="s">
        <v>402</v>
      </c>
      <c r="H175" s="651">
        <v>835</v>
      </c>
      <c r="I175" s="649" t="s">
        <v>364</v>
      </c>
      <c r="O175" s="652">
        <v>3</v>
      </c>
      <c r="P175" s="653"/>
      <c r="Q175" s="654">
        <v>0</v>
      </c>
      <c r="R175" s="655">
        <f>$A175*Q175</f>
        <v>0</v>
      </c>
      <c r="S175" s="654">
        <f>0.7*4.8</f>
        <v>3.36</v>
      </c>
      <c r="T175" s="656">
        <f>$A175*S175*$T$1</f>
        <v>6.72</v>
      </c>
    </row>
    <row r="176" spans="1:41" s="649" customFormat="1" ht="13.2">
      <c r="A176">
        <v>2</v>
      </c>
      <c r="B176" s="649" t="s">
        <v>387</v>
      </c>
      <c r="D176" s="649" t="s">
        <v>403</v>
      </c>
      <c r="G176" s="650" t="s">
        <v>404</v>
      </c>
      <c r="H176" s="651">
        <v>616</v>
      </c>
      <c r="I176" s="649" t="s">
        <v>405</v>
      </c>
      <c r="J176" s="649" t="s">
        <v>406</v>
      </c>
      <c r="K176" s="649" t="s">
        <v>407</v>
      </c>
      <c r="O176" s="652">
        <v>2</v>
      </c>
      <c r="P176" s="653">
        <v>40767</v>
      </c>
      <c r="Q176" s="654">
        <v>1</v>
      </c>
      <c r="R176" s="655">
        <f>$A176*Q176</f>
        <v>2</v>
      </c>
      <c r="S176" s="654">
        <v>2.5000000000000001E-2</v>
      </c>
      <c r="T176" s="656">
        <f>$A176*S176*$T$1</f>
        <v>0.05</v>
      </c>
    </row>
    <row r="177" spans="1:41" s="649" customFormat="1" ht="13.2">
      <c r="A177">
        <v>2</v>
      </c>
      <c r="B177" s="649" t="s">
        <v>141</v>
      </c>
      <c r="D177" s="649" t="s">
        <v>408</v>
      </c>
      <c r="G177" s="650" t="s">
        <v>375</v>
      </c>
      <c r="H177" s="651">
        <v>875</v>
      </c>
      <c r="I177" s="649" t="s">
        <v>364</v>
      </c>
      <c r="K177" s="649" t="s">
        <v>376</v>
      </c>
      <c r="O177" s="652">
        <v>1</v>
      </c>
      <c r="P177" s="653"/>
      <c r="Q177" s="654">
        <v>5</v>
      </c>
      <c r="R177" s="655">
        <f>$A177*Q177</f>
        <v>10</v>
      </c>
      <c r="S177" s="654"/>
      <c r="T177" s="656">
        <f>$A177*S177*$T$1</f>
        <v>0</v>
      </c>
    </row>
    <row r="178" spans="1:41" s="518" customFormat="1" ht="12">
      <c r="A178" s="638"/>
      <c r="B178" s="638"/>
      <c r="C178" s="638"/>
      <c r="D178" s="638"/>
      <c r="E178" s="638"/>
      <c r="F178" s="633"/>
      <c r="G178" s="638"/>
      <c r="H178" s="638"/>
      <c r="I178" s="517"/>
      <c r="J178" s="638"/>
      <c r="K178" s="638"/>
      <c r="L178" s="638"/>
      <c r="M178" s="638"/>
      <c r="N178" s="638"/>
      <c r="O178" s="638"/>
      <c r="P178" s="638"/>
      <c r="Q178" s="517"/>
      <c r="R178" s="639">
        <f t="shared" ref="R178" si="28">$A178*Q178</f>
        <v>0</v>
      </c>
      <c r="S178" s="517"/>
      <c r="T178" s="640">
        <f t="shared" ref="T178" si="29">$A178*S178*$T$1</f>
        <v>0</v>
      </c>
    </row>
    <row r="179" spans="1:41" s="518" customFormat="1" ht="12.6" thickBot="1">
      <c r="A179" s="641" t="s">
        <v>145</v>
      </c>
      <c r="B179" s="642">
        <f>(R178+T178)</f>
        <v>0</v>
      </c>
      <c r="C179" s="643"/>
      <c r="D179" s="643"/>
      <c r="E179" s="643"/>
      <c r="F179" s="644"/>
      <c r="G179" s="643" t="s">
        <v>146</v>
      </c>
      <c r="H179" s="643"/>
      <c r="I179" s="645"/>
      <c r="J179" s="643"/>
      <c r="K179" s="643" t="s">
        <v>3</v>
      </c>
      <c r="L179" s="646" t="s">
        <v>143</v>
      </c>
      <c r="M179" s="646"/>
      <c r="N179" s="646"/>
      <c r="O179" s="646"/>
      <c r="P179" s="646"/>
      <c r="Q179" s="647"/>
      <c r="R179" s="648">
        <f>SUM(R174:R178)</f>
        <v>12</v>
      </c>
      <c r="S179" s="643"/>
      <c r="T179" s="648">
        <f>SUM(T174:T178)</f>
        <v>6.77</v>
      </c>
      <c r="U179" s="528"/>
      <c r="V179" s="528"/>
      <c r="W179" s="528"/>
      <c r="X179" s="528"/>
      <c r="Y179" s="528"/>
      <c r="Z179" s="528"/>
      <c r="AA179" s="528"/>
      <c r="AB179" s="528"/>
      <c r="AC179" s="528"/>
      <c r="AD179" s="528"/>
      <c r="AE179" s="528"/>
      <c r="AF179" s="528"/>
      <c r="AG179" s="528"/>
      <c r="AH179" s="528"/>
      <c r="AI179" s="528"/>
      <c r="AJ179" s="528"/>
      <c r="AK179" s="528"/>
      <c r="AL179" s="528"/>
      <c r="AM179" s="528"/>
      <c r="AN179" s="528"/>
      <c r="AO179" s="528"/>
    </row>
    <row r="180" spans="1:41" s="518" customFormat="1" ht="12" thickTop="1">
      <c r="A180" s="50"/>
      <c r="B180" s="41"/>
      <c r="C180" s="50"/>
      <c r="E180" s="42" t="s">
        <v>138</v>
      </c>
      <c r="F180" s="42" t="s">
        <v>139</v>
      </c>
      <c r="G180" s="50"/>
      <c r="H180" s="50"/>
      <c r="I180" s="50"/>
      <c r="J180" s="50"/>
      <c r="K180" s="50" t="s">
        <v>140</v>
      </c>
      <c r="L180" s="50"/>
      <c r="M180" s="50"/>
      <c r="N180" s="50"/>
      <c r="O180" s="51"/>
      <c r="P180" s="50"/>
      <c r="Q180" s="50"/>
      <c r="R180" s="50"/>
      <c r="S180" s="50"/>
      <c r="T180" s="41"/>
      <c r="AG180" s="625" t="s">
        <v>247</v>
      </c>
      <c r="AH180" s="625" t="s">
        <v>248</v>
      </c>
      <c r="AI180" s="625" t="s">
        <v>249</v>
      </c>
      <c r="AJ180" s="625" t="s">
        <v>250</v>
      </c>
      <c r="AK180" s="625" t="s">
        <v>251</v>
      </c>
      <c r="AM180" s="626" t="s">
        <v>260</v>
      </c>
      <c r="AN180" s="627" t="s">
        <v>261</v>
      </c>
      <c r="AO180" s="519" t="s">
        <v>257</v>
      </c>
    </row>
    <row r="181" spans="1:41" s="518" customFormat="1" ht="12" customHeight="1">
      <c r="A181" s="657">
        <v>1</v>
      </c>
      <c r="B181" s="520" t="s">
        <v>285</v>
      </c>
      <c r="C181" s="628"/>
      <c r="D181" s="629" t="s">
        <v>318</v>
      </c>
      <c r="E181" s="630">
        <f>IF(AND($A181=0,$A$1="DIF"),0, ROUND(ROUND(($R187*$S$2+($T187*$T$2))/A181,2)*$C$2,2))</f>
        <v>324.52</v>
      </c>
      <c r="F181" s="631">
        <f>ROUND($A181*$E181,2)</f>
        <v>324.52</v>
      </c>
      <c r="G181" s="632" t="s">
        <v>142</v>
      </c>
      <c r="H181" s="633"/>
      <c r="I181" s="634"/>
      <c r="J181" s="633"/>
      <c r="K181" s="633" t="s">
        <v>3</v>
      </c>
      <c r="L181" s="635" t="s">
        <v>143</v>
      </c>
      <c r="M181" s="635"/>
      <c r="N181" s="635"/>
      <c r="O181" s="635"/>
      <c r="P181" s="635"/>
      <c r="Q181" s="50"/>
      <c r="T181" s="636" t="str">
        <f>IF(AND($R187=0,$T187=0),"0.00","mu :" &amp; ROUND($F181/$C$2/($R187+$T187*$D$9),2))</f>
        <v>mu :1.1</v>
      </c>
      <c r="W181" s="521"/>
      <c r="AG181" s="478">
        <f>IF($E181=0,0,ROUND($R187*$S$2*$C$2/$A181,2))</f>
        <v>6.6</v>
      </c>
      <c r="AH181" s="478">
        <f>$AG181*$A181</f>
        <v>6.6</v>
      </c>
      <c r="AI181" s="522">
        <f>$E181-$AG181</f>
        <v>317.91999999999996</v>
      </c>
      <c r="AJ181" s="522">
        <f>$A181*$AI181</f>
        <v>317.91999999999996</v>
      </c>
      <c r="AK181" s="523">
        <f>ROUND(($AG181+$AI181)*$A181,2)</f>
        <v>324.52</v>
      </c>
      <c r="AM181" s="524">
        <f>ROUND(R187,2)</f>
        <v>6</v>
      </c>
      <c r="AN181" s="525">
        <f>ROUND(T187,2)</f>
        <v>10.53</v>
      </c>
      <c r="AO181" s="526">
        <f>ROUND(AM181+AN181,2)*A181</f>
        <v>16.53</v>
      </c>
    </row>
    <row r="182" spans="1:41" s="518" customFormat="1" ht="13.2">
      <c r="A182" s="628"/>
      <c r="B182"/>
      <c r="C182" s="628"/>
      <c r="D182" s="629" t="s">
        <v>410</v>
      </c>
      <c r="F182" s="633"/>
      <c r="G182" s="3"/>
      <c r="H182" s="633"/>
      <c r="I182" s="634"/>
      <c r="J182" s="633"/>
      <c r="K182" s="633" t="s">
        <v>144</v>
      </c>
      <c r="L182" s="633"/>
      <c r="M182" s="633"/>
      <c r="N182" s="633"/>
      <c r="O182" s="633"/>
      <c r="P182" s="633"/>
      <c r="Q182" s="50"/>
      <c r="R182" s="527"/>
      <c r="S182" s="637"/>
      <c r="T182" s="633"/>
    </row>
    <row r="183" spans="1:41" s="649" customFormat="1" ht="13.2">
      <c r="A183" s="112">
        <v>1</v>
      </c>
      <c r="B183" s="649" t="s">
        <v>141</v>
      </c>
      <c r="D183" s="649" t="s">
        <v>401</v>
      </c>
      <c r="G183" s="650" t="s">
        <v>402</v>
      </c>
      <c r="H183" s="651">
        <v>835</v>
      </c>
      <c r="I183" s="649" t="s">
        <v>364</v>
      </c>
      <c r="O183" s="652">
        <v>3</v>
      </c>
      <c r="P183" s="653"/>
      <c r="Q183" s="654">
        <v>0</v>
      </c>
      <c r="R183" s="655">
        <f>$A183*Q183</f>
        <v>0</v>
      </c>
      <c r="S183" s="654">
        <f>0.7*15</f>
        <v>10.5</v>
      </c>
      <c r="T183" s="656">
        <f>$A183*S183*$T$1</f>
        <v>10.5</v>
      </c>
    </row>
    <row r="184" spans="1:41" s="649" customFormat="1" ht="13.2">
      <c r="A184">
        <v>1</v>
      </c>
      <c r="B184" s="649" t="s">
        <v>387</v>
      </c>
      <c r="D184" s="649" t="s">
        <v>403</v>
      </c>
      <c r="G184" s="650" t="s">
        <v>404</v>
      </c>
      <c r="H184" s="651">
        <v>616</v>
      </c>
      <c r="I184" s="649" t="s">
        <v>405</v>
      </c>
      <c r="J184" s="649" t="s">
        <v>406</v>
      </c>
      <c r="K184" s="649" t="s">
        <v>407</v>
      </c>
      <c r="O184" s="652">
        <v>2</v>
      </c>
      <c r="P184" s="653">
        <v>40767</v>
      </c>
      <c r="Q184" s="654">
        <v>1</v>
      </c>
      <c r="R184" s="655">
        <f>$A184*Q184</f>
        <v>1</v>
      </c>
      <c r="S184" s="654">
        <v>2.5000000000000001E-2</v>
      </c>
      <c r="T184" s="656">
        <f>$A184*S184*$T$1</f>
        <v>2.5000000000000001E-2</v>
      </c>
    </row>
    <row r="185" spans="1:41" s="649" customFormat="1" ht="13.2">
      <c r="A185">
        <v>1</v>
      </c>
      <c r="B185" s="649" t="s">
        <v>141</v>
      </c>
      <c r="D185" s="649" t="s">
        <v>408</v>
      </c>
      <c r="G185" s="650" t="s">
        <v>375</v>
      </c>
      <c r="H185" s="651">
        <v>875</v>
      </c>
      <c r="I185" s="649" t="s">
        <v>364</v>
      </c>
      <c r="K185" s="649" t="s">
        <v>376</v>
      </c>
      <c r="O185" s="652">
        <v>1</v>
      </c>
      <c r="P185" s="653"/>
      <c r="Q185" s="654">
        <v>5</v>
      </c>
      <c r="R185" s="655">
        <f>$A185*Q185</f>
        <v>5</v>
      </c>
      <c r="S185" s="654"/>
      <c r="T185" s="656">
        <f>$A185*S185*$T$1</f>
        <v>0</v>
      </c>
    </row>
    <row r="186" spans="1:41" s="518" customFormat="1" ht="12">
      <c r="A186" s="638"/>
      <c r="B186" s="638"/>
      <c r="C186" s="638"/>
      <c r="D186" s="638"/>
      <c r="E186" s="638"/>
      <c r="F186" s="633"/>
      <c r="G186" s="638"/>
      <c r="H186" s="638"/>
      <c r="I186" s="517"/>
      <c r="J186" s="638"/>
      <c r="K186" s="638"/>
      <c r="L186" s="638"/>
      <c r="M186" s="638"/>
      <c r="N186" s="638"/>
      <c r="O186" s="638"/>
      <c r="P186" s="638"/>
      <c r="Q186" s="517"/>
      <c r="R186" s="639">
        <f t="shared" ref="R186" si="30">$A186*Q186</f>
        <v>0</v>
      </c>
      <c r="S186" s="517"/>
      <c r="T186" s="640">
        <f t="shared" ref="T186" si="31">$A186*S186*$T$1</f>
        <v>0</v>
      </c>
    </row>
    <row r="187" spans="1:41" s="518" customFormat="1" ht="12.6" thickBot="1">
      <c r="A187" s="641" t="s">
        <v>145</v>
      </c>
      <c r="B187" s="642">
        <f>(R186+T186)</f>
        <v>0</v>
      </c>
      <c r="C187" s="643"/>
      <c r="D187" s="643"/>
      <c r="E187" s="643"/>
      <c r="F187" s="644"/>
      <c r="G187" s="643" t="s">
        <v>146</v>
      </c>
      <c r="H187" s="643"/>
      <c r="I187" s="645"/>
      <c r="J187" s="643"/>
      <c r="K187" s="643" t="s">
        <v>3</v>
      </c>
      <c r="L187" s="646" t="s">
        <v>143</v>
      </c>
      <c r="M187" s="646"/>
      <c r="N187" s="646"/>
      <c r="O187" s="646"/>
      <c r="P187" s="646"/>
      <c r="Q187" s="647"/>
      <c r="R187" s="648">
        <f>SUM(R182:R186)</f>
        <v>6</v>
      </c>
      <c r="S187" s="643"/>
      <c r="T187" s="648">
        <f>SUM(T182:T186)</f>
        <v>10.525</v>
      </c>
      <c r="U187" s="528"/>
      <c r="V187" s="528"/>
      <c r="W187" s="528"/>
      <c r="X187" s="528"/>
      <c r="Y187" s="528"/>
      <c r="Z187" s="528"/>
      <c r="AA187" s="528"/>
      <c r="AB187" s="528"/>
      <c r="AC187" s="528"/>
      <c r="AD187" s="528"/>
      <c r="AE187" s="528"/>
      <c r="AF187" s="528"/>
      <c r="AG187" s="528"/>
      <c r="AH187" s="528"/>
      <c r="AI187" s="528"/>
      <c r="AJ187" s="528"/>
      <c r="AK187" s="528"/>
      <c r="AL187" s="528"/>
      <c r="AM187" s="528"/>
      <c r="AN187" s="528"/>
      <c r="AO187" s="528"/>
    </row>
    <row r="188" spans="1:41" s="518" customFormat="1" ht="12" thickTop="1">
      <c r="A188" s="50"/>
      <c r="B188" s="41"/>
      <c r="C188" s="50"/>
      <c r="E188" s="42" t="s">
        <v>138</v>
      </c>
      <c r="F188" s="42" t="s">
        <v>139</v>
      </c>
      <c r="G188" s="50"/>
      <c r="H188" s="50"/>
      <c r="I188" s="50"/>
      <c r="J188" s="50"/>
      <c r="K188" s="50" t="s">
        <v>140</v>
      </c>
      <c r="L188" s="50"/>
      <c r="M188" s="50"/>
      <c r="N188" s="50"/>
      <c r="O188" s="51"/>
      <c r="P188" s="50"/>
      <c r="Q188" s="50"/>
      <c r="R188" s="50"/>
      <c r="S188" s="50"/>
      <c r="T188" s="41"/>
      <c r="AG188" s="625" t="s">
        <v>247</v>
      </c>
      <c r="AH188" s="625" t="s">
        <v>248</v>
      </c>
      <c r="AI188" s="625" t="s">
        <v>249</v>
      </c>
      <c r="AJ188" s="625" t="s">
        <v>250</v>
      </c>
      <c r="AK188" s="625" t="s">
        <v>251</v>
      </c>
      <c r="AM188" s="626" t="s">
        <v>260</v>
      </c>
      <c r="AN188" s="627" t="s">
        <v>261</v>
      </c>
      <c r="AO188" s="519" t="s">
        <v>257</v>
      </c>
    </row>
    <row r="189" spans="1:41" s="518" customFormat="1" ht="12" customHeight="1">
      <c r="A189" s="657">
        <v>1</v>
      </c>
      <c r="B189" s="520" t="s">
        <v>285</v>
      </c>
      <c r="C189" s="628"/>
      <c r="D189" s="629" t="s">
        <v>320</v>
      </c>
      <c r="E189" s="630">
        <f>IF(AND($A189=0,$A$1="DIF"),0, ROUND(ROUND(($R195*$S$2+($T195*$T$2))/A189,2)*$C$2,2))</f>
        <v>81.36</v>
      </c>
      <c r="F189" s="631">
        <f>ROUND($A189*$E189,2)</f>
        <v>81.36</v>
      </c>
      <c r="G189" s="632" t="s">
        <v>142</v>
      </c>
      <c r="H189" s="633"/>
      <c r="I189" s="634"/>
      <c r="J189" s="633"/>
      <c r="K189" s="633" t="s">
        <v>3</v>
      </c>
      <c r="L189" s="635" t="s">
        <v>143</v>
      </c>
      <c r="M189" s="635"/>
      <c r="N189" s="635"/>
      <c r="O189" s="635"/>
      <c r="P189" s="635"/>
      <c r="Q189" s="50"/>
      <c r="T189" s="636" t="str">
        <f>IF(AND($R195=0,$T195=0),"0.00","mu :" &amp; ROUND($F189/$C$2/($R195+$T195*$D$9),2))</f>
        <v>mu :1.1</v>
      </c>
      <c r="W189" s="521"/>
      <c r="AG189" s="478">
        <f>IF($E189=0,0,ROUND($R195*$S$2*$C$2/$A189,2))</f>
        <v>6.6</v>
      </c>
      <c r="AH189" s="478">
        <f>$AG189*$A189</f>
        <v>6.6</v>
      </c>
      <c r="AI189" s="522">
        <f>$E189-$AG189</f>
        <v>74.760000000000005</v>
      </c>
      <c r="AJ189" s="522">
        <f>$A189*$AI189</f>
        <v>74.760000000000005</v>
      </c>
      <c r="AK189" s="523">
        <f>ROUND(($AG189+$AI189)*$A189,2)</f>
        <v>81.36</v>
      </c>
      <c r="AM189" s="524">
        <f>ROUND(R195,2)</f>
        <v>6</v>
      </c>
      <c r="AN189" s="525">
        <f>ROUND(T195,2)</f>
        <v>2.48</v>
      </c>
      <c r="AO189" s="526">
        <f>ROUND(AM189+AN189,2)*A189</f>
        <v>8.48</v>
      </c>
    </row>
    <row r="190" spans="1:41" s="518" customFormat="1" ht="13.2">
      <c r="A190" s="628"/>
      <c r="B190"/>
      <c r="C190" s="628"/>
      <c r="D190" s="629" t="s">
        <v>319</v>
      </c>
      <c r="F190" s="633"/>
      <c r="G190" s="3"/>
      <c r="H190" s="633"/>
      <c r="I190" s="634"/>
      <c r="J190" s="633"/>
      <c r="K190" s="633" t="s">
        <v>144</v>
      </c>
      <c r="L190" s="633"/>
      <c r="M190" s="633"/>
      <c r="N190" s="633"/>
      <c r="O190" s="633"/>
      <c r="P190" s="633"/>
      <c r="Q190" s="50"/>
      <c r="R190" s="527"/>
      <c r="S190" s="637"/>
      <c r="T190" s="633"/>
    </row>
    <row r="191" spans="1:41" s="649" customFormat="1" ht="13.2">
      <c r="A191" s="112">
        <v>1</v>
      </c>
      <c r="B191" s="649" t="s">
        <v>141</v>
      </c>
      <c r="D191" s="649" t="s">
        <v>401</v>
      </c>
      <c r="G191" s="650" t="s">
        <v>402</v>
      </c>
      <c r="H191" s="651">
        <v>835</v>
      </c>
      <c r="I191" s="649" t="s">
        <v>364</v>
      </c>
      <c r="O191" s="652">
        <v>3</v>
      </c>
      <c r="P191" s="653"/>
      <c r="Q191" s="654">
        <v>0</v>
      </c>
      <c r="R191" s="655">
        <f>$A191*Q191</f>
        <v>0</v>
      </c>
      <c r="S191" s="654">
        <f>0.7*3.5</f>
        <v>2.4499999999999997</v>
      </c>
      <c r="T191" s="656">
        <f>$A191*S191*$T$1</f>
        <v>2.4499999999999997</v>
      </c>
    </row>
    <row r="192" spans="1:41" s="649" customFormat="1" ht="13.2">
      <c r="A192">
        <v>1</v>
      </c>
      <c r="B192" s="649" t="s">
        <v>387</v>
      </c>
      <c r="D192" s="649" t="s">
        <v>403</v>
      </c>
      <c r="G192" s="650" t="s">
        <v>404</v>
      </c>
      <c r="H192" s="651">
        <v>616</v>
      </c>
      <c r="I192" s="649" t="s">
        <v>405</v>
      </c>
      <c r="J192" s="649" t="s">
        <v>406</v>
      </c>
      <c r="K192" s="649" t="s">
        <v>407</v>
      </c>
      <c r="O192" s="652">
        <v>2</v>
      </c>
      <c r="P192" s="653">
        <v>40767</v>
      </c>
      <c r="Q192" s="654">
        <v>1</v>
      </c>
      <c r="R192" s="655">
        <f>$A192*Q192</f>
        <v>1</v>
      </c>
      <c r="S192" s="654">
        <v>2.5000000000000001E-2</v>
      </c>
      <c r="T192" s="656">
        <f>$A192*S192*$T$1</f>
        <v>2.5000000000000001E-2</v>
      </c>
    </row>
    <row r="193" spans="1:41" s="649" customFormat="1" ht="13.2">
      <c r="A193">
        <v>1</v>
      </c>
      <c r="B193" s="649" t="s">
        <v>141</v>
      </c>
      <c r="D193" s="649" t="s">
        <v>408</v>
      </c>
      <c r="G193" s="650" t="s">
        <v>375</v>
      </c>
      <c r="H193" s="651">
        <v>875</v>
      </c>
      <c r="I193" s="649" t="s">
        <v>364</v>
      </c>
      <c r="K193" s="649" t="s">
        <v>376</v>
      </c>
      <c r="O193" s="652">
        <v>1</v>
      </c>
      <c r="P193" s="653"/>
      <c r="Q193" s="654">
        <v>5</v>
      </c>
      <c r="R193" s="655">
        <f>$A193*Q193</f>
        <v>5</v>
      </c>
      <c r="S193" s="654"/>
      <c r="T193" s="656">
        <f>$A193*S193*$T$1</f>
        <v>0</v>
      </c>
    </row>
    <row r="194" spans="1:41" s="518" customFormat="1" ht="12">
      <c r="A194" s="638"/>
      <c r="B194" s="638"/>
      <c r="C194" s="638"/>
      <c r="D194" s="638"/>
      <c r="E194" s="638"/>
      <c r="F194" s="633"/>
      <c r="G194" s="638"/>
      <c r="H194" s="638"/>
      <c r="I194" s="517"/>
      <c r="J194" s="638"/>
      <c r="K194" s="638"/>
      <c r="L194" s="638"/>
      <c r="M194" s="638"/>
      <c r="N194" s="638"/>
      <c r="O194" s="638"/>
      <c r="P194" s="638"/>
      <c r="Q194" s="517"/>
      <c r="R194" s="639">
        <f t="shared" ref="R194" si="32">$A194*Q194</f>
        <v>0</v>
      </c>
      <c r="S194" s="517"/>
      <c r="T194" s="640">
        <f t="shared" ref="T194" si="33">$A194*S194*$T$1</f>
        <v>0</v>
      </c>
    </row>
    <row r="195" spans="1:41" s="518" customFormat="1" ht="13.2" customHeight="1" thickBot="1">
      <c r="A195" s="641" t="s">
        <v>145</v>
      </c>
      <c r="B195" s="642">
        <f>(R194+T194)</f>
        <v>0</v>
      </c>
      <c r="C195" s="643"/>
      <c r="D195" s="643"/>
      <c r="E195" s="643"/>
      <c r="F195" s="644"/>
      <c r="G195" s="643" t="s">
        <v>146</v>
      </c>
      <c r="H195" s="643"/>
      <c r="I195" s="645"/>
      <c r="J195" s="643"/>
      <c r="K195" s="643" t="s">
        <v>3</v>
      </c>
      <c r="L195" s="646" t="s">
        <v>143</v>
      </c>
      <c r="M195" s="646"/>
      <c r="N195" s="646"/>
      <c r="O195" s="646"/>
      <c r="P195" s="646"/>
      <c r="Q195" s="647"/>
      <c r="R195" s="648">
        <f>SUM(R190:R194)</f>
        <v>6</v>
      </c>
      <c r="S195" s="643"/>
      <c r="T195" s="648">
        <f>SUM(T190:T194)</f>
        <v>2.4749999999999996</v>
      </c>
      <c r="U195" s="528"/>
      <c r="V195" s="528"/>
      <c r="W195" s="528"/>
      <c r="X195" s="528"/>
      <c r="Y195" s="528"/>
      <c r="Z195" s="528"/>
      <c r="AA195" s="528"/>
      <c r="AB195" s="528"/>
      <c r="AC195" s="528"/>
      <c r="AD195" s="528"/>
      <c r="AE195" s="528"/>
      <c r="AF195" s="528"/>
      <c r="AG195" s="528"/>
      <c r="AH195" s="528"/>
      <c r="AI195" s="528"/>
      <c r="AJ195" s="528"/>
      <c r="AK195" s="528"/>
      <c r="AL195" s="528"/>
      <c r="AM195" s="528"/>
      <c r="AN195" s="528"/>
      <c r="AO195" s="528"/>
    </row>
    <row r="196" spans="1:41" s="518" customFormat="1" ht="12" thickTop="1">
      <c r="A196" s="50"/>
      <c r="B196" s="41"/>
      <c r="C196" s="50"/>
      <c r="E196" s="42" t="s">
        <v>138</v>
      </c>
      <c r="F196" s="42" t="s">
        <v>139</v>
      </c>
      <c r="G196" s="50"/>
      <c r="H196" s="50"/>
      <c r="I196" s="50"/>
      <c r="J196" s="50"/>
      <c r="K196" s="50" t="s">
        <v>140</v>
      </c>
      <c r="L196" s="50"/>
      <c r="M196" s="50"/>
      <c r="N196" s="50"/>
      <c r="O196" s="51"/>
      <c r="P196" s="50"/>
      <c r="Q196" s="50"/>
      <c r="R196" s="50"/>
      <c r="S196" s="50"/>
      <c r="T196" s="41"/>
      <c r="AG196" s="625" t="s">
        <v>247</v>
      </c>
      <c r="AH196" s="625" t="s">
        <v>248</v>
      </c>
      <c r="AI196" s="625" t="s">
        <v>249</v>
      </c>
      <c r="AJ196" s="625" t="s">
        <v>250</v>
      </c>
      <c r="AK196" s="625" t="s">
        <v>251</v>
      </c>
      <c r="AM196" s="626" t="s">
        <v>260</v>
      </c>
      <c r="AN196" s="627" t="s">
        <v>261</v>
      </c>
      <c r="AO196" s="519" t="s">
        <v>257</v>
      </c>
    </row>
    <row r="197" spans="1:41" s="518" customFormat="1" ht="12" customHeight="1">
      <c r="A197" s="657">
        <v>1</v>
      </c>
      <c r="B197" s="520" t="s">
        <v>285</v>
      </c>
      <c r="C197" s="628"/>
      <c r="D197" s="629" t="s">
        <v>321</v>
      </c>
      <c r="E197" s="630">
        <f>IF(AND($A197=0,$A$1="DIF"),0, ROUND(ROUND(($R203*$S$2+($T203*$T$2))/A197,2)*$C$2,2))</f>
        <v>218.8</v>
      </c>
      <c r="F197" s="631">
        <f>ROUND($A197*$E197,2)</f>
        <v>218.8</v>
      </c>
      <c r="G197" s="632" t="s">
        <v>142</v>
      </c>
      <c r="H197" s="633"/>
      <c r="I197" s="634"/>
      <c r="J197" s="633"/>
      <c r="K197" s="633" t="s">
        <v>3</v>
      </c>
      <c r="L197" s="635" t="s">
        <v>143</v>
      </c>
      <c r="M197" s="635"/>
      <c r="N197" s="635"/>
      <c r="O197" s="635"/>
      <c r="P197" s="635"/>
      <c r="Q197" s="50"/>
      <c r="T197" s="636" t="str">
        <f>IF(AND($R203=0,$T203=0),"0.00","mu :" &amp; ROUND($F197/$C$2/($R203+$T203*$D$9),2))</f>
        <v>mu :1.1</v>
      </c>
      <c r="W197" s="521"/>
      <c r="AG197" s="478">
        <f>IF($E197=0,0,ROUND($R203*$S$2*$C$2/$A197,2))</f>
        <v>6.6</v>
      </c>
      <c r="AH197" s="478">
        <f>$AG197*$A197</f>
        <v>6.6</v>
      </c>
      <c r="AI197" s="522">
        <f>$E197-$AG197</f>
        <v>212.20000000000002</v>
      </c>
      <c r="AJ197" s="522">
        <f>$A197*$AI197</f>
        <v>212.20000000000002</v>
      </c>
      <c r="AK197" s="523">
        <f>ROUND(($AG197+$AI197)*$A197,2)</f>
        <v>218.8</v>
      </c>
      <c r="AM197" s="524">
        <f>ROUND(R203,2)</f>
        <v>6</v>
      </c>
      <c r="AN197" s="525">
        <f>ROUND(T203,2)</f>
        <v>7.03</v>
      </c>
      <c r="AO197" s="526">
        <f>ROUND(AM197+AN197,2)*A197</f>
        <v>13.03</v>
      </c>
    </row>
    <row r="198" spans="1:41" s="518" customFormat="1" ht="13.2">
      <c r="A198" s="628"/>
      <c r="B198"/>
      <c r="C198" s="628"/>
      <c r="D198" s="629" t="s">
        <v>324</v>
      </c>
      <c r="F198" s="633"/>
      <c r="G198" s="3"/>
      <c r="H198" s="633"/>
      <c r="I198" s="634"/>
      <c r="J198" s="633"/>
      <c r="K198" s="633" t="s">
        <v>144</v>
      </c>
      <c r="L198" s="633"/>
      <c r="M198" s="633"/>
      <c r="N198" s="633"/>
      <c r="O198" s="633"/>
      <c r="P198" s="633"/>
      <c r="Q198" s="50"/>
      <c r="R198" s="527"/>
      <c r="S198" s="637"/>
      <c r="T198" s="633"/>
    </row>
    <row r="199" spans="1:41" s="649" customFormat="1" ht="13.2">
      <c r="A199" s="112">
        <v>1</v>
      </c>
      <c r="B199" s="649" t="s">
        <v>141</v>
      </c>
      <c r="D199" s="649" t="s">
        <v>401</v>
      </c>
      <c r="G199" s="650" t="s">
        <v>402</v>
      </c>
      <c r="H199" s="651">
        <v>835</v>
      </c>
      <c r="I199" s="649" t="s">
        <v>364</v>
      </c>
      <c r="O199" s="652">
        <v>3</v>
      </c>
      <c r="P199" s="653"/>
      <c r="Q199" s="654">
        <v>0</v>
      </c>
      <c r="R199" s="655">
        <f>$A199*Q199</f>
        <v>0</v>
      </c>
      <c r="S199" s="654">
        <f>0.7*10</f>
        <v>7</v>
      </c>
      <c r="T199" s="656">
        <f>$A199*S199*$T$1</f>
        <v>7</v>
      </c>
    </row>
    <row r="200" spans="1:41" s="649" customFormat="1" ht="13.2">
      <c r="A200">
        <v>1</v>
      </c>
      <c r="B200" s="649" t="s">
        <v>387</v>
      </c>
      <c r="D200" s="649" t="s">
        <v>403</v>
      </c>
      <c r="G200" s="650" t="s">
        <v>404</v>
      </c>
      <c r="H200" s="651">
        <v>616</v>
      </c>
      <c r="I200" s="649" t="s">
        <v>405</v>
      </c>
      <c r="J200" s="649" t="s">
        <v>406</v>
      </c>
      <c r="K200" s="649" t="s">
        <v>407</v>
      </c>
      <c r="O200" s="652">
        <v>2</v>
      </c>
      <c r="P200" s="653">
        <v>40767</v>
      </c>
      <c r="Q200" s="654">
        <v>1</v>
      </c>
      <c r="R200" s="655">
        <f>$A200*Q200</f>
        <v>1</v>
      </c>
      <c r="S200" s="654">
        <v>2.5000000000000001E-2</v>
      </c>
      <c r="T200" s="656">
        <f>$A200*S200*$T$1</f>
        <v>2.5000000000000001E-2</v>
      </c>
    </row>
    <row r="201" spans="1:41" s="649" customFormat="1" ht="13.2">
      <c r="A201">
        <v>1</v>
      </c>
      <c r="B201" s="649" t="s">
        <v>141</v>
      </c>
      <c r="D201" s="649" t="s">
        <v>408</v>
      </c>
      <c r="G201" s="650" t="s">
        <v>375</v>
      </c>
      <c r="H201" s="651">
        <v>875</v>
      </c>
      <c r="I201" s="649" t="s">
        <v>364</v>
      </c>
      <c r="K201" s="649" t="s">
        <v>376</v>
      </c>
      <c r="O201" s="652">
        <v>1</v>
      </c>
      <c r="P201" s="653"/>
      <c r="Q201" s="654">
        <v>5</v>
      </c>
      <c r="R201" s="655">
        <f>$A201*Q201</f>
        <v>5</v>
      </c>
      <c r="S201" s="654"/>
      <c r="T201" s="656">
        <f>$A201*S201*$T$1</f>
        <v>0</v>
      </c>
    </row>
    <row r="202" spans="1:41" s="518" customFormat="1" ht="12">
      <c r="A202" s="638"/>
      <c r="B202" s="638"/>
      <c r="C202" s="638"/>
      <c r="D202" s="638"/>
      <c r="E202" s="638"/>
      <c r="F202" s="633"/>
      <c r="G202" s="638"/>
      <c r="H202" s="638"/>
      <c r="I202" s="517"/>
      <c r="J202" s="638"/>
      <c r="K202" s="638"/>
      <c r="L202" s="638"/>
      <c r="M202" s="638"/>
      <c r="N202" s="638"/>
      <c r="O202" s="638"/>
      <c r="P202" s="638"/>
      <c r="Q202" s="517"/>
      <c r="R202" s="639">
        <f t="shared" ref="R202" si="34">$A202*Q202</f>
        <v>0</v>
      </c>
      <c r="S202" s="517"/>
      <c r="T202" s="640">
        <f t="shared" ref="T202" si="35">$A202*S202*$T$1</f>
        <v>0</v>
      </c>
    </row>
    <row r="203" spans="1:41" s="518" customFormat="1" ht="12.6" thickBot="1">
      <c r="A203" s="641" t="s">
        <v>145</v>
      </c>
      <c r="B203" s="642">
        <f>(R202+T202)</f>
        <v>0</v>
      </c>
      <c r="C203" s="643"/>
      <c r="D203" s="643"/>
      <c r="E203" s="643"/>
      <c r="F203" s="644"/>
      <c r="G203" s="643" t="s">
        <v>146</v>
      </c>
      <c r="H203" s="643"/>
      <c r="I203" s="645"/>
      <c r="J203" s="643"/>
      <c r="K203" s="643" t="s">
        <v>3</v>
      </c>
      <c r="L203" s="646" t="s">
        <v>143</v>
      </c>
      <c r="M203" s="646"/>
      <c r="N203" s="646"/>
      <c r="O203" s="646"/>
      <c r="P203" s="646"/>
      <c r="Q203" s="647"/>
      <c r="R203" s="648">
        <f>SUM(R198:R202)</f>
        <v>6</v>
      </c>
      <c r="S203" s="643"/>
      <c r="T203" s="648">
        <f>SUM(T198:T202)</f>
        <v>7.0250000000000004</v>
      </c>
      <c r="U203" s="528"/>
      <c r="V203" s="528"/>
      <c r="W203" s="528"/>
      <c r="X203" s="528"/>
      <c r="Y203" s="528"/>
      <c r="Z203" s="528"/>
      <c r="AA203" s="528"/>
      <c r="AB203" s="528"/>
      <c r="AC203" s="528"/>
      <c r="AD203" s="528"/>
      <c r="AE203" s="528"/>
      <c r="AF203" s="528"/>
      <c r="AG203" s="528"/>
      <c r="AH203" s="528"/>
      <c r="AI203" s="528"/>
      <c r="AJ203" s="528"/>
      <c r="AK203" s="528"/>
      <c r="AL203" s="528"/>
      <c r="AM203" s="528"/>
      <c r="AN203" s="528"/>
      <c r="AO203" s="528"/>
    </row>
    <row r="204" spans="1:41" s="518" customFormat="1" ht="12" thickTop="1">
      <c r="A204" s="50"/>
      <c r="B204" s="41"/>
      <c r="C204" s="50"/>
      <c r="E204" s="42" t="s">
        <v>138</v>
      </c>
      <c r="F204" s="42" t="s">
        <v>139</v>
      </c>
      <c r="G204" s="50"/>
      <c r="H204" s="50"/>
      <c r="I204" s="50"/>
      <c r="J204" s="50"/>
      <c r="K204" s="50" t="s">
        <v>140</v>
      </c>
      <c r="L204" s="50"/>
      <c r="M204" s="50"/>
      <c r="N204" s="50"/>
      <c r="O204" s="51"/>
      <c r="P204" s="50"/>
      <c r="Q204" s="50"/>
      <c r="R204" s="50"/>
      <c r="S204" s="50"/>
      <c r="T204" s="41"/>
      <c r="AG204" s="625" t="s">
        <v>247</v>
      </c>
      <c r="AH204" s="625" t="s">
        <v>248</v>
      </c>
      <c r="AI204" s="625" t="s">
        <v>249</v>
      </c>
      <c r="AJ204" s="625" t="s">
        <v>250</v>
      </c>
      <c r="AK204" s="625" t="s">
        <v>251</v>
      </c>
      <c r="AM204" s="626" t="s">
        <v>260</v>
      </c>
      <c r="AN204" s="627" t="s">
        <v>261</v>
      </c>
      <c r="AO204" s="519" t="s">
        <v>257</v>
      </c>
    </row>
    <row r="205" spans="1:41" s="518" customFormat="1" ht="12" customHeight="1">
      <c r="A205" s="657">
        <v>1</v>
      </c>
      <c r="B205" s="520" t="s">
        <v>285</v>
      </c>
      <c r="C205" s="628"/>
      <c r="D205" s="629" t="s">
        <v>322</v>
      </c>
      <c r="E205" s="630">
        <f>IF(AND($A205=0,$A$1="DIF"),0, ROUND(ROUND(($R211*$S$2+($T211*$T$2))/A205,2)*$C$2,2))</f>
        <v>261.08999999999997</v>
      </c>
      <c r="F205" s="631">
        <f>ROUND($A205*$E205,2)</f>
        <v>261.08999999999997</v>
      </c>
      <c r="G205" s="632" t="s">
        <v>142</v>
      </c>
      <c r="H205" s="633"/>
      <c r="I205" s="634"/>
      <c r="J205" s="633"/>
      <c r="K205" s="633" t="s">
        <v>3</v>
      </c>
      <c r="L205" s="635" t="s">
        <v>143</v>
      </c>
      <c r="M205" s="635"/>
      <c r="N205" s="635"/>
      <c r="O205" s="635"/>
      <c r="P205" s="635"/>
      <c r="Q205" s="50"/>
      <c r="T205" s="636" t="str">
        <f>IF(AND($R211=0,$T211=0),"0.00","mu :" &amp; ROUND($F205/$C$2/($R211+$T211*$D$9),2))</f>
        <v>mu :1.1</v>
      </c>
      <c r="W205" s="521"/>
      <c r="AG205" s="478">
        <f>IF($E205=0,0,ROUND($R211*$S$2*$C$2/$A205,2))</f>
        <v>6.6</v>
      </c>
      <c r="AH205" s="478">
        <f>$AG205*$A205</f>
        <v>6.6</v>
      </c>
      <c r="AI205" s="522">
        <f>$E205-$AG205</f>
        <v>254.48999999999998</v>
      </c>
      <c r="AJ205" s="522">
        <f>$A205*$AI205</f>
        <v>254.48999999999998</v>
      </c>
      <c r="AK205" s="523">
        <f>ROUND(($AG205+$AI205)*$A205,2)</f>
        <v>261.08999999999997</v>
      </c>
      <c r="AM205" s="524">
        <f>ROUND(R211,2)</f>
        <v>6</v>
      </c>
      <c r="AN205" s="525">
        <f>ROUND(T211,2)</f>
        <v>8.43</v>
      </c>
      <c r="AO205" s="526">
        <f>ROUND(AM205+AN205,2)*A205</f>
        <v>14.43</v>
      </c>
    </row>
    <row r="206" spans="1:41" s="518" customFormat="1" ht="13.2">
      <c r="A206" s="628"/>
      <c r="B206"/>
      <c r="C206" s="628"/>
      <c r="D206" s="629" t="s">
        <v>411</v>
      </c>
      <c r="F206" s="633"/>
      <c r="G206" s="3"/>
      <c r="H206" s="633"/>
      <c r="I206" s="634"/>
      <c r="J206" s="633"/>
      <c r="K206" s="633" t="s">
        <v>144</v>
      </c>
      <c r="L206" s="633"/>
      <c r="M206" s="633"/>
      <c r="N206" s="633"/>
      <c r="O206" s="633"/>
      <c r="P206" s="633"/>
      <c r="Q206" s="50"/>
      <c r="R206" s="527"/>
      <c r="S206" s="637"/>
      <c r="T206" s="633"/>
    </row>
    <row r="207" spans="1:41" s="649" customFormat="1" ht="13.2">
      <c r="A207" s="112">
        <v>1</v>
      </c>
      <c r="B207" s="649" t="s">
        <v>141</v>
      </c>
      <c r="D207" s="649" t="s">
        <v>401</v>
      </c>
      <c r="G207" s="650" t="s">
        <v>402</v>
      </c>
      <c r="H207" s="651">
        <v>835</v>
      </c>
      <c r="I207" s="649" t="s">
        <v>364</v>
      </c>
      <c r="O207" s="652">
        <v>3</v>
      </c>
      <c r="P207" s="653"/>
      <c r="Q207" s="654">
        <v>0</v>
      </c>
      <c r="R207" s="655">
        <f>$A207*Q207</f>
        <v>0</v>
      </c>
      <c r="S207" s="654">
        <f>0.7*12</f>
        <v>8.3999999999999986</v>
      </c>
      <c r="T207" s="656">
        <f>$A207*S207*$T$1</f>
        <v>8.3999999999999986</v>
      </c>
    </row>
    <row r="208" spans="1:41" s="649" customFormat="1" ht="13.2">
      <c r="A208">
        <v>1</v>
      </c>
      <c r="B208" s="649" t="s">
        <v>387</v>
      </c>
      <c r="D208" s="649" t="s">
        <v>403</v>
      </c>
      <c r="G208" s="650" t="s">
        <v>404</v>
      </c>
      <c r="H208" s="651">
        <v>616</v>
      </c>
      <c r="I208" s="649" t="s">
        <v>405</v>
      </c>
      <c r="J208" s="649" t="s">
        <v>406</v>
      </c>
      <c r="K208" s="649" t="s">
        <v>407</v>
      </c>
      <c r="O208" s="652">
        <v>2</v>
      </c>
      <c r="P208" s="653">
        <v>40767</v>
      </c>
      <c r="Q208" s="654">
        <v>1</v>
      </c>
      <c r="R208" s="655">
        <f>$A208*Q208</f>
        <v>1</v>
      </c>
      <c r="S208" s="654">
        <v>2.5000000000000001E-2</v>
      </c>
      <c r="T208" s="656">
        <f>$A208*S208*$T$1</f>
        <v>2.5000000000000001E-2</v>
      </c>
    </row>
    <row r="209" spans="1:41" s="649" customFormat="1" ht="13.2">
      <c r="A209">
        <v>1</v>
      </c>
      <c r="B209" s="649" t="s">
        <v>141</v>
      </c>
      <c r="D209" s="649" t="s">
        <v>408</v>
      </c>
      <c r="G209" s="650" t="s">
        <v>375</v>
      </c>
      <c r="H209" s="651">
        <v>875</v>
      </c>
      <c r="I209" s="649" t="s">
        <v>364</v>
      </c>
      <c r="K209" s="649" t="s">
        <v>376</v>
      </c>
      <c r="O209" s="652">
        <v>1</v>
      </c>
      <c r="P209" s="653"/>
      <c r="Q209" s="654">
        <v>5</v>
      </c>
      <c r="R209" s="655">
        <f>$A209*Q209</f>
        <v>5</v>
      </c>
      <c r="S209" s="654"/>
      <c r="T209" s="656">
        <f>$A209*S209*$T$1</f>
        <v>0</v>
      </c>
    </row>
    <row r="210" spans="1:41" s="518" customFormat="1" ht="12">
      <c r="A210" s="638"/>
      <c r="B210" s="638"/>
      <c r="C210" s="638"/>
      <c r="D210" s="638"/>
      <c r="E210" s="638"/>
      <c r="F210" s="633"/>
      <c r="G210" s="638"/>
      <c r="H210" s="638"/>
      <c r="I210" s="517"/>
      <c r="J210" s="638"/>
      <c r="K210" s="638"/>
      <c r="L210" s="638"/>
      <c r="M210" s="638"/>
      <c r="N210" s="638"/>
      <c r="O210" s="638"/>
      <c r="P210" s="638"/>
      <c r="Q210" s="517"/>
      <c r="R210" s="639">
        <f t="shared" ref="R210" si="36">$A210*Q210</f>
        <v>0</v>
      </c>
      <c r="S210" s="517"/>
      <c r="T210" s="640">
        <f t="shared" ref="T210" si="37">$A210*S210*$T$1</f>
        <v>0</v>
      </c>
    </row>
    <row r="211" spans="1:41" s="518" customFormat="1" ht="12.6" thickBot="1">
      <c r="A211" s="641" t="s">
        <v>145</v>
      </c>
      <c r="B211" s="642">
        <f>(R210+T210)</f>
        <v>0</v>
      </c>
      <c r="C211" s="643"/>
      <c r="D211" s="643"/>
      <c r="E211" s="643"/>
      <c r="F211" s="644"/>
      <c r="G211" s="643" t="s">
        <v>146</v>
      </c>
      <c r="H211" s="643"/>
      <c r="I211" s="645"/>
      <c r="J211" s="643"/>
      <c r="K211" s="643" t="s">
        <v>3</v>
      </c>
      <c r="L211" s="646" t="s">
        <v>143</v>
      </c>
      <c r="M211" s="646"/>
      <c r="N211" s="646"/>
      <c r="O211" s="646"/>
      <c r="P211" s="646"/>
      <c r="Q211" s="647"/>
      <c r="R211" s="648">
        <f>SUM(R206:R210)</f>
        <v>6</v>
      </c>
      <c r="S211" s="643"/>
      <c r="T211" s="648">
        <f>SUM(T206:T210)</f>
        <v>8.4249999999999989</v>
      </c>
      <c r="U211" s="528"/>
      <c r="V211" s="528"/>
      <c r="W211" s="528"/>
      <c r="X211" s="528"/>
      <c r="Y211" s="528"/>
      <c r="Z211" s="528"/>
      <c r="AA211" s="528"/>
      <c r="AB211" s="528"/>
      <c r="AC211" s="528"/>
      <c r="AD211" s="528"/>
      <c r="AE211" s="528"/>
      <c r="AF211" s="528"/>
      <c r="AG211" s="528"/>
      <c r="AH211" s="528"/>
      <c r="AI211" s="528"/>
      <c r="AJ211" s="528"/>
      <c r="AK211" s="528"/>
      <c r="AL211" s="528"/>
      <c r="AM211" s="528"/>
      <c r="AN211" s="528"/>
      <c r="AO211" s="528"/>
    </row>
    <row r="212" spans="1:41" s="518" customFormat="1" ht="12" thickTop="1">
      <c r="A212" s="50"/>
      <c r="B212" s="41"/>
      <c r="C212" s="50"/>
      <c r="E212" s="42" t="s">
        <v>138</v>
      </c>
      <c r="F212" s="42" t="s">
        <v>139</v>
      </c>
      <c r="G212" s="50"/>
      <c r="H212" s="50"/>
      <c r="I212" s="50"/>
      <c r="J212" s="50"/>
      <c r="K212" s="50" t="s">
        <v>140</v>
      </c>
      <c r="L212" s="50"/>
      <c r="M212" s="50"/>
      <c r="N212" s="50"/>
      <c r="O212" s="51"/>
      <c r="P212" s="50"/>
      <c r="Q212" s="50"/>
      <c r="R212" s="50"/>
      <c r="S212" s="50"/>
      <c r="T212" s="41"/>
      <c r="AG212" s="625" t="s">
        <v>247</v>
      </c>
      <c r="AH212" s="625" t="s">
        <v>248</v>
      </c>
      <c r="AI212" s="625" t="s">
        <v>249</v>
      </c>
      <c r="AJ212" s="625" t="s">
        <v>250</v>
      </c>
      <c r="AK212" s="625" t="s">
        <v>251</v>
      </c>
      <c r="AM212" s="626" t="s">
        <v>260</v>
      </c>
      <c r="AN212" s="627" t="s">
        <v>261</v>
      </c>
      <c r="AO212" s="519" t="s">
        <v>257</v>
      </c>
    </row>
    <row r="213" spans="1:41" s="518" customFormat="1" ht="12" customHeight="1">
      <c r="A213" s="657">
        <v>1</v>
      </c>
      <c r="B213" s="520" t="s">
        <v>285</v>
      </c>
      <c r="C213" s="628"/>
      <c r="D213" s="629" t="s">
        <v>323</v>
      </c>
      <c r="E213" s="630">
        <f>IF(AND($A213=0,$A$1="DIF"),0, ROUND(ROUND(($R219*$S$2+($T219*$T$2))/A213,2)*$C$2,2))</f>
        <v>28.5</v>
      </c>
      <c r="F213" s="631">
        <f>ROUND($A213*$E213,2)</f>
        <v>28.5</v>
      </c>
      <c r="G213" s="632" t="s">
        <v>142</v>
      </c>
      <c r="H213" s="633"/>
      <c r="I213" s="634"/>
      <c r="J213" s="633"/>
      <c r="K213" s="633" t="s">
        <v>3</v>
      </c>
      <c r="L213" s="635" t="s">
        <v>143</v>
      </c>
      <c r="M213" s="635"/>
      <c r="N213" s="635"/>
      <c r="O213" s="635"/>
      <c r="P213" s="635"/>
      <c r="Q213" s="50"/>
      <c r="T213" s="636" t="str">
        <f>IF(AND($R219=0,$T219=0),"0.00","mu :" &amp; ROUND($F213/$C$2/($R219+$T219*$D$9),2))</f>
        <v>mu :1.1</v>
      </c>
      <c r="W213" s="521"/>
      <c r="AG213" s="478">
        <f>IF($E213=0,0,ROUND($R219*$S$2*$C$2/$A213,2))</f>
        <v>6.6</v>
      </c>
      <c r="AH213" s="478">
        <f>$AG213*$A213</f>
        <v>6.6</v>
      </c>
      <c r="AI213" s="522">
        <f>$E213-$AG213</f>
        <v>21.9</v>
      </c>
      <c r="AJ213" s="522">
        <f>$A213*$AI213</f>
        <v>21.9</v>
      </c>
      <c r="AK213" s="523">
        <f>ROUND(($AG213+$AI213)*$A213,2)</f>
        <v>28.5</v>
      </c>
      <c r="AM213" s="524">
        <f>ROUND(R219,2)</f>
        <v>6</v>
      </c>
      <c r="AN213" s="525">
        <f>ROUND(T219,2)</f>
        <v>0.73</v>
      </c>
      <c r="AO213" s="526">
        <f>ROUND(AM213+AN213,2)*A213</f>
        <v>6.73</v>
      </c>
    </row>
    <row r="214" spans="1:41" s="518" customFormat="1" ht="13.2">
      <c r="A214" s="628"/>
      <c r="B214"/>
      <c r="C214" s="628"/>
      <c r="D214" s="629" t="s">
        <v>412</v>
      </c>
      <c r="F214" s="633"/>
      <c r="G214" s="3"/>
      <c r="H214" s="633"/>
      <c r="I214" s="634"/>
      <c r="J214" s="633"/>
      <c r="K214" s="633" t="s">
        <v>144</v>
      </c>
      <c r="L214" s="633"/>
      <c r="M214" s="633"/>
      <c r="N214" s="633"/>
      <c r="O214" s="633"/>
      <c r="P214" s="633"/>
      <c r="Q214" s="50"/>
      <c r="R214" s="527"/>
      <c r="S214" s="637"/>
      <c r="T214" s="633"/>
    </row>
    <row r="215" spans="1:41" s="649" customFormat="1" ht="13.2">
      <c r="A215" s="112">
        <v>1</v>
      </c>
      <c r="B215" s="649" t="s">
        <v>141</v>
      </c>
      <c r="D215" s="649" t="s">
        <v>401</v>
      </c>
      <c r="G215" s="650" t="s">
        <v>402</v>
      </c>
      <c r="H215" s="651">
        <v>835</v>
      </c>
      <c r="I215" s="649" t="s">
        <v>364</v>
      </c>
      <c r="O215" s="652">
        <v>3</v>
      </c>
      <c r="P215" s="653"/>
      <c r="Q215" s="654">
        <v>0</v>
      </c>
      <c r="R215" s="655">
        <f>$A215*Q215</f>
        <v>0</v>
      </c>
      <c r="S215" s="654">
        <f>0.7</f>
        <v>0.7</v>
      </c>
      <c r="T215" s="656">
        <f>$A215*S215*$T$1</f>
        <v>0.7</v>
      </c>
    </row>
    <row r="216" spans="1:41" s="649" customFormat="1" ht="13.2">
      <c r="A216">
        <v>1</v>
      </c>
      <c r="B216" s="649" t="s">
        <v>387</v>
      </c>
      <c r="D216" s="649" t="s">
        <v>403</v>
      </c>
      <c r="G216" s="650" t="s">
        <v>404</v>
      </c>
      <c r="H216" s="651">
        <v>616</v>
      </c>
      <c r="I216" s="649" t="s">
        <v>405</v>
      </c>
      <c r="J216" s="649" t="s">
        <v>406</v>
      </c>
      <c r="K216" s="649" t="s">
        <v>407</v>
      </c>
      <c r="O216" s="652">
        <v>2</v>
      </c>
      <c r="P216" s="653">
        <v>40767</v>
      </c>
      <c r="Q216" s="654">
        <v>1</v>
      </c>
      <c r="R216" s="655">
        <f>$A216*Q216</f>
        <v>1</v>
      </c>
      <c r="S216" s="654">
        <v>2.5000000000000001E-2</v>
      </c>
      <c r="T216" s="656">
        <f>$A216*S216*$T$1</f>
        <v>2.5000000000000001E-2</v>
      </c>
    </row>
    <row r="217" spans="1:41" s="649" customFormat="1" ht="13.2">
      <c r="A217">
        <v>1</v>
      </c>
      <c r="B217" s="649" t="s">
        <v>141</v>
      </c>
      <c r="D217" s="649" t="s">
        <v>408</v>
      </c>
      <c r="G217" s="650" t="s">
        <v>375</v>
      </c>
      <c r="H217" s="651">
        <v>875</v>
      </c>
      <c r="I217" s="649" t="s">
        <v>364</v>
      </c>
      <c r="K217" s="649" t="s">
        <v>376</v>
      </c>
      <c r="O217" s="652">
        <v>1</v>
      </c>
      <c r="P217" s="653"/>
      <c r="Q217" s="654">
        <v>5</v>
      </c>
      <c r="R217" s="655">
        <f>$A217*Q217</f>
        <v>5</v>
      </c>
      <c r="S217" s="654"/>
      <c r="T217" s="656">
        <f>$A217*S217*$T$1</f>
        <v>0</v>
      </c>
    </row>
    <row r="218" spans="1:41" s="518" customFormat="1" ht="12">
      <c r="A218" s="638"/>
      <c r="B218" s="638"/>
      <c r="C218" s="638"/>
      <c r="D218" s="638"/>
      <c r="E218" s="638"/>
      <c r="F218" s="633"/>
      <c r="G218" s="638"/>
      <c r="H218" s="638"/>
      <c r="I218" s="517"/>
      <c r="J218" s="638"/>
      <c r="K218" s="638"/>
      <c r="L218" s="638"/>
      <c r="M218" s="638"/>
      <c r="N218" s="638"/>
      <c r="O218" s="638"/>
      <c r="P218" s="638"/>
      <c r="Q218" s="517"/>
      <c r="R218" s="639">
        <f t="shared" ref="R218" si="38">$A218*Q218</f>
        <v>0</v>
      </c>
      <c r="S218" s="517"/>
      <c r="T218" s="640">
        <f t="shared" ref="T218" si="39">$A218*S218*$T$1</f>
        <v>0</v>
      </c>
    </row>
    <row r="219" spans="1:41" s="518" customFormat="1" ht="12.6" thickBot="1">
      <c r="A219" s="641" t="s">
        <v>145</v>
      </c>
      <c r="B219" s="642">
        <f>(R218+T218)</f>
        <v>0</v>
      </c>
      <c r="C219" s="643"/>
      <c r="D219" s="643"/>
      <c r="E219" s="643"/>
      <c r="F219" s="644"/>
      <c r="G219" s="643" t="s">
        <v>146</v>
      </c>
      <c r="H219" s="643"/>
      <c r="I219" s="645"/>
      <c r="J219" s="643"/>
      <c r="K219" s="643" t="s">
        <v>3</v>
      </c>
      <c r="L219" s="646" t="s">
        <v>143</v>
      </c>
      <c r="M219" s="646"/>
      <c r="N219" s="646"/>
      <c r="O219" s="646"/>
      <c r="P219" s="646"/>
      <c r="Q219" s="647"/>
      <c r="R219" s="648">
        <f>SUM(R214:R218)</f>
        <v>6</v>
      </c>
      <c r="S219" s="643"/>
      <c r="T219" s="648">
        <f>SUM(T214:T218)</f>
        <v>0.72499999999999998</v>
      </c>
      <c r="U219" s="528"/>
      <c r="V219" s="528"/>
      <c r="W219" s="528"/>
      <c r="X219" s="528"/>
      <c r="Y219" s="528"/>
      <c r="Z219" s="528"/>
      <c r="AA219" s="528"/>
      <c r="AB219" s="528"/>
      <c r="AC219" s="528"/>
      <c r="AD219" s="528"/>
      <c r="AE219" s="528"/>
      <c r="AF219" s="528"/>
      <c r="AG219" s="528"/>
      <c r="AH219" s="528"/>
      <c r="AI219" s="528"/>
      <c r="AJ219" s="528"/>
      <c r="AK219" s="528"/>
      <c r="AL219" s="528"/>
      <c r="AM219" s="528"/>
      <c r="AN219" s="528"/>
      <c r="AO219" s="528"/>
    </row>
    <row r="220" spans="1:41" s="518" customFormat="1" ht="12" thickTop="1">
      <c r="A220" s="50"/>
      <c r="B220" s="41"/>
      <c r="C220" s="50"/>
      <c r="E220" s="42" t="s">
        <v>138</v>
      </c>
      <c r="F220" s="42" t="s">
        <v>139</v>
      </c>
      <c r="G220" s="50"/>
      <c r="H220" s="50"/>
      <c r="I220" s="50"/>
      <c r="J220" s="50"/>
      <c r="K220" s="50" t="s">
        <v>140</v>
      </c>
      <c r="L220" s="50"/>
      <c r="M220" s="50"/>
      <c r="N220" s="50"/>
      <c r="O220" s="51"/>
      <c r="P220" s="50"/>
      <c r="Q220" s="50"/>
      <c r="R220" s="50"/>
      <c r="S220" s="50"/>
      <c r="T220" s="41"/>
      <c r="AG220" s="625" t="s">
        <v>247</v>
      </c>
      <c r="AH220" s="625" t="s">
        <v>248</v>
      </c>
      <c r="AI220" s="625" t="s">
        <v>249</v>
      </c>
      <c r="AJ220" s="625" t="s">
        <v>250</v>
      </c>
      <c r="AK220" s="625" t="s">
        <v>251</v>
      </c>
      <c r="AM220" s="626" t="s">
        <v>260</v>
      </c>
      <c r="AN220" s="627" t="s">
        <v>261</v>
      </c>
      <c r="AO220" s="519" t="s">
        <v>257</v>
      </c>
    </row>
    <row r="221" spans="1:41" s="518" customFormat="1" ht="12" customHeight="1">
      <c r="A221" s="657">
        <v>13</v>
      </c>
      <c r="B221" s="520" t="s">
        <v>285</v>
      </c>
      <c r="C221" s="628"/>
      <c r="D221" s="629" t="s">
        <v>325</v>
      </c>
      <c r="E221" s="630">
        <f>IF(AND($A221=0,$A$1="DIF"),0, ROUND(ROUND(($R226*$S$2+($T226*$T$2))/A221,2)*$C$2,2))</f>
        <v>33.159999999999997</v>
      </c>
      <c r="F221" s="631">
        <f>ROUND($A221*$E221,2)</f>
        <v>431.08</v>
      </c>
      <c r="G221" s="632" t="s">
        <v>142</v>
      </c>
      <c r="H221" s="633"/>
      <c r="I221" s="634"/>
      <c r="J221" s="633"/>
      <c r="K221" s="633" t="s">
        <v>3</v>
      </c>
      <c r="L221" s="635" t="s">
        <v>143</v>
      </c>
      <c r="M221" s="635"/>
      <c r="N221" s="635"/>
      <c r="O221" s="635"/>
      <c r="P221" s="635"/>
      <c r="Q221" s="50"/>
      <c r="T221" s="636" t="str">
        <f>IF(AND($R226=0,$T226=0),"0.00","mu :" &amp; ROUND($F221/$C$2/($R226+$T226*$D$9),2))</f>
        <v>mu :1.1</v>
      </c>
      <c r="W221" s="521"/>
      <c r="AG221" s="478">
        <f>IF($E221=0,0,ROUND($R226*$S$2*$C$2/$A221,2))</f>
        <v>2.2000000000000002</v>
      </c>
      <c r="AH221" s="478">
        <f>$AG221*$A221</f>
        <v>28.6</v>
      </c>
      <c r="AI221" s="522">
        <f>$E221-$AG221</f>
        <v>30.959999999999997</v>
      </c>
      <c r="AJ221" s="522">
        <f>$A221*$AI221</f>
        <v>402.47999999999996</v>
      </c>
      <c r="AK221" s="523">
        <f>ROUND(($AG221+$AI221)*$A221,2)</f>
        <v>431.08</v>
      </c>
      <c r="AM221" s="524">
        <f>ROUND(R226,2)</f>
        <v>26</v>
      </c>
      <c r="AN221" s="525">
        <f>ROUND(T226,2)</f>
        <v>13.33</v>
      </c>
      <c r="AO221" s="526">
        <f>ROUND(AM221+AN221,2)*A221</f>
        <v>511.28999999999996</v>
      </c>
    </row>
    <row r="222" spans="1:41" s="518" customFormat="1" ht="13.2">
      <c r="A222" s="628"/>
      <c r="B222"/>
      <c r="C222" s="628"/>
      <c r="D222" s="629" t="s">
        <v>493</v>
      </c>
      <c r="F222" s="633"/>
      <c r="G222" s="3"/>
      <c r="H222" s="633"/>
      <c r="I222" s="634"/>
      <c r="J222" s="633"/>
      <c r="K222" s="633" t="s">
        <v>144</v>
      </c>
      <c r="L222" s="633"/>
      <c r="M222" s="633"/>
      <c r="N222" s="633"/>
      <c r="O222" s="633"/>
      <c r="P222" s="633"/>
      <c r="Q222" s="50"/>
      <c r="R222" s="527"/>
      <c r="S222" s="637"/>
      <c r="T222" s="633"/>
    </row>
    <row r="223" spans="1:41" s="649" customFormat="1" ht="13.2">
      <c r="A223" s="112">
        <v>13</v>
      </c>
      <c r="B223" s="649" t="s">
        <v>141</v>
      </c>
      <c r="D223" s="649" t="s">
        <v>401</v>
      </c>
      <c r="G223" s="650" t="s">
        <v>402</v>
      </c>
      <c r="H223" s="651">
        <v>835</v>
      </c>
      <c r="I223" s="649" t="s">
        <v>364</v>
      </c>
      <c r="O223" s="652">
        <v>3</v>
      </c>
      <c r="P223" s="653"/>
      <c r="Q223" s="654">
        <v>0</v>
      </c>
      <c r="R223" s="655">
        <f>$A223*Q223</f>
        <v>0</v>
      </c>
      <c r="S223" s="654">
        <v>1</v>
      </c>
      <c r="T223" s="656">
        <f>$A223*S223*$T$1</f>
        <v>13</v>
      </c>
    </row>
    <row r="224" spans="1:41" s="649" customFormat="1" ht="13.2">
      <c r="A224">
        <v>13</v>
      </c>
      <c r="B224" s="649" t="s">
        <v>387</v>
      </c>
      <c r="D224" s="649" t="s">
        <v>403</v>
      </c>
      <c r="G224" s="650" t="s">
        <v>404</v>
      </c>
      <c r="H224" s="651">
        <v>616</v>
      </c>
      <c r="I224" s="649" t="s">
        <v>405</v>
      </c>
      <c r="J224" s="649" t="s">
        <v>406</v>
      </c>
      <c r="K224" s="649" t="s">
        <v>407</v>
      </c>
      <c r="O224" s="652">
        <v>2</v>
      </c>
      <c r="P224" s="653">
        <v>40767</v>
      </c>
      <c r="Q224" s="654">
        <v>2</v>
      </c>
      <c r="R224" s="655">
        <f>$A224*Q224</f>
        <v>26</v>
      </c>
      <c r="S224" s="654">
        <v>2.5000000000000001E-2</v>
      </c>
      <c r="T224" s="656">
        <f>$A224*S224*$T$1</f>
        <v>0.32500000000000001</v>
      </c>
    </row>
    <row r="225" spans="1:41" s="518" customFormat="1" ht="12">
      <c r="A225" s="638"/>
      <c r="B225" s="638"/>
      <c r="C225" s="638"/>
      <c r="D225" s="638"/>
      <c r="E225" s="638"/>
      <c r="F225" s="633"/>
      <c r="G225" s="638"/>
      <c r="H225" s="638"/>
      <c r="I225" s="517"/>
      <c r="J225" s="638"/>
      <c r="K225" s="638"/>
      <c r="L225" s="638"/>
      <c r="M225" s="638"/>
      <c r="N225" s="638"/>
      <c r="O225" s="638"/>
      <c r="P225" s="638"/>
      <c r="Q225" s="517"/>
      <c r="R225" s="639">
        <f t="shared" ref="R225" si="40">$A225*Q225</f>
        <v>0</v>
      </c>
      <c r="S225" s="517"/>
      <c r="T225" s="640">
        <f t="shared" ref="T225" si="41">$A225*S225*$T$1</f>
        <v>0</v>
      </c>
    </row>
    <row r="226" spans="1:41" s="518" customFormat="1" ht="12.6" thickBot="1">
      <c r="A226" s="641" t="s">
        <v>145</v>
      </c>
      <c r="B226" s="642">
        <f>(R225+T225)</f>
        <v>0</v>
      </c>
      <c r="C226" s="643"/>
      <c r="D226" s="643"/>
      <c r="E226" s="643"/>
      <c r="F226" s="644"/>
      <c r="G226" s="643" t="s">
        <v>146</v>
      </c>
      <c r="H226" s="643"/>
      <c r="I226" s="645"/>
      <c r="J226" s="643"/>
      <c r="K226" s="643" t="s">
        <v>3</v>
      </c>
      <c r="L226" s="646" t="s">
        <v>143</v>
      </c>
      <c r="M226" s="646"/>
      <c r="N226" s="646"/>
      <c r="O226" s="646"/>
      <c r="P226" s="646"/>
      <c r="Q226" s="647"/>
      <c r="R226" s="648">
        <f>SUM(R222:R225)</f>
        <v>26</v>
      </c>
      <c r="S226" s="643"/>
      <c r="T226" s="648">
        <f>SUM(T222:T225)</f>
        <v>13.324999999999999</v>
      </c>
      <c r="U226" s="528"/>
      <c r="V226" s="528"/>
      <c r="W226" s="528"/>
      <c r="X226" s="528"/>
      <c r="Y226" s="528"/>
      <c r="Z226" s="528"/>
      <c r="AA226" s="528"/>
      <c r="AB226" s="528"/>
      <c r="AC226" s="528"/>
      <c r="AD226" s="528"/>
      <c r="AE226" s="528"/>
      <c r="AF226" s="528"/>
      <c r="AG226" s="528"/>
      <c r="AH226" s="528"/>
      <c r="AI226" s="528"/>
      <c r="AJ226" s="528"/>
      <c r="AK226" s="528"/>
      <c r="AL226" s="528"/>
      <c r="AM226" s="528"/>
      <c r="AN226" s="528"/>
      <c r="AO226" s="528"/>
    </row>
    <row r="227" spans="1:41" s="518" customFormat="1" thickTop="1">
      <c r="A227" s="50"/>
      <c r="B227" s="50"/>
      <c r="C227" s="3"/>
      <c r="D227" s="3"/>
      <c r="E227" s="50"/>
      <c r="F227" s="50"/>
      <c r="G227" s="50"/>
      <c r="H227" s="50"/>
      <c r="I227" s="50"/>
      <c r="J227" s="50"/>
      <c r="K227" s="50" t="s">
        <v>134</v>
      </c>
      <c r="L227" s="50"/>
      <c r="M227" s="50"/>
      <c r="N227" s="50"/>
      <c r="O227" s="51"/>
      <c r="P227" s="50"/>
      <c r="Q227" s="50"/>
      <c r="R227" s="50"/>
      <c r="S227" s="50"/>
      <c r="T227" s="50"/>
    </row>
    <row r="228" spans="1:41" s="518" customFormat="1" ht="12">
      <c r="A228" s="50"/>
      <c r="B228" s="50"/>
      <c r="C228" s="50" t="s">
        <v>135</v>
      </c>
      <c r="D228" s="37" t="s">
        <v>326</v>
      </c>
      <c r="E228" s="50"/>
      <c r="F228" s="50"/>
      <c r="G228" s="50"/>
      <c r="H228" s="50"/>
      <c r="I228" s="50"/>
      <c r="J228" s="50"/>
      <c r="K228" s="50"/>
      <c r="L228" s="50"/>
      <c r="M228" s="50"/>
      <c r="N228" s="50"/>
      <c r="O228" s="51"/>
      <c r="P228" s="50"/>
      <c r="Q228" s="50"/>
      <c r="R228" s="50"/>
      <c r="S228" s="50"/>
      <c r="T228" s="50"/>
    </row>
    <row r="229" spans="1:41" s="518" customFormat="1" ht="12">
      <c r="A229" s="50"/>
      <c r="B229" s="50"/>
      <c r="C229" s="50"/>
      <c r="D229" s="37" t="s">
        <v>327</v>
      </c>
      <c r="E229" s="50"/>
      <c r="F229" s="50"/>
      <c r="G229" s="50"/>
      <c r="H229" s="50"/>
      <c r="I229" s="50"/>
      <c r="J229" s="50"/>
      <c r="K229" s="50"/>
      <c r="L229" s="50"/>
      <c r="M229" s="50"/>
      <c r="N229" s="50"/>
      <c r="O229" s="51"/>
      <c r="P229" s="50"/>
      <c r="Q229" s="50"/>
      <c r="R229" s="50"/>
      <c r="S229" s="38"/>
      <c r="T229" s="38"/>
    </row>
    <row r="230" spans="1:41" s="3" customFormat="1" thickBot="1">
      <c r="A230" s="528"/>
      <c r="O230" s="103"/>
    </row>
    <row r="231" spans="1:41" s="518" customFormat="1" ht="12" thickTop="1">
      <c r="A231" s="50"/>
      <c r="B231" s="41"/>
      <c r="C231" s="50"/>
      <c r="E231" s="42" t="s">
        <v>138</v>
      </c>
      <c r="F231" s="42" t="s">
        <v>139</v>
      </c>
      <c r="G231" s="50"/>
      <c r="H231" s="50"/>
      <c r="I231" s="50"/>
      <c r="J231" s="50"/>
      <c r="K231" s="50" t="s">
        <v>140</v>
      </c>
      <c r="L231" s="50"/>
      <c r="M231" s="50"/>
      <c r="N231" s="50"/>
      <c r="O231" s="51"/>
      <c r="P231" s="50"/>
      <c r="Q231" s="50"/>
      <c r="R231" s="50"/>
      <c r="S231" s="50"/>
      <c r="T231" s="41"/>
      <c r="AG231" s="625" t="s">
        <v>247</v>
      </c>
      <c r="AH231" s="625" t="s">
        <v>248</v>
      </c>
      <c r="AI231" s="625" t="s">
        <v>249</v>
      </c>
      <c r="AJ231" s="625" t="s">
        <v>250</v>
      </c>
      <c r="AK231" s="625" t="s">
        <v>251</v>
      </c>
      <c r="AM231" s="626" t="s">
        <v>260</v>
      </c>
      <c r="AN231" s="627" t="s">
        <v>261</v>
      </c>
      <c r="AO231" s="519" t="s">
        <v>257</v>
      </c>
    </row>
    <row r="232" spans="1:41" s="518" customFormat="1" ht="12" customHeight="1">
      <c r="A232" s="657">
        <v>1</v>
      </c>
      <c r="B232" s="520" t="s">
        <v>141</v>
      </c>
      <c r="C232" s="628"/>
      <c r="D232" s="629" t="s">
        <v>328</v>
      </c>
      <c r="E232" s="630">
        <f>IF(AND($A232=0,$A$1="DIF"),0, ROUND(ROUND(($R239*$S$2+($T239*$T$2))/A232,2)*$C$2,2))</f>
        <v>1283.99</v>
      </c>
      <c r="F232" s="631">
        <f>ROUND($A232*$E232,2)</f>
        <v>1283.99</v>
      </c>
      <c r="G232" s="632" t="s">
        <v>142</v>
      </c>
      <c r="H232" s="633"/>
      <c r="I232" s="634"/>
      <c r="J232" s="633"/>
      <c r="K232" s="633" t="s">
        <v>3</v>
      </c>
      <c r="L232" s="635" t="s">
        <v>143</v>
      </c>
      <c r="M232" s="635"/>
      <c r="N232" s="635"/>
      <c r="O232" s="635"/>
      <c r="P232" s="635"/>
      <c r="Q232" s="50" t="s">
        <v>413</v>
      </c>
      <c r="T232" s="636" t="str">
        <f>IF(AND($R239=0,$T239=0),"0.00","mu :" &amp; ROUND($F232/$C$2/($R239+$T239*$D$9),2))</f>
        <v>mu :1.1</v>
      </c>
      <c r="W232" s="521"/>
      <c r="AG232" s="478">
        <f>IF($E232=0,0,ROUND($R239*$S$2*$C$2/$A232,2))</f>
        <v>1039.32</v>
      </c>
      <c r="AH232" s="478">
        <f>$AG232*$A232</f>
        <v>1039.32</v>
      </c>
      <c r="AI232" s="522">
        <f>$E232-$AG232</f>
        <v>244.67000000000007</v>
      </c>
      <c r="AJ232" s="522">
        <f>$A232*$AI232</f>
        <v>244.67000000000007</v>
      </c>
      <c r="AK232" s="523">
        <f>ROUND(($AG232+$AI232)*$A232,2)</f>
        <v>1283.99</v>
      </c>
      <c r="AM232" s="524">
        <f>ROUND(R239,2)</f>
        <v>944.84</v>
      </c>
      <c r="AN232" s="525">
        <f>ROUND(T239,2)</f>
        <v>8.1</v>
      </c>
      <c r="AO232" s="526">
        <f>ROUND(AM232+AN232,2)*A232</f>
        <v>952.94</v>
      </c>
    </row>
    <row r="233" spans="1:41" s="518" customFormat="1" ht="13.2">
      <c r="A233" s="628"/>
      <c r="B233"/>
      <c r="C233" s="628"/>
      <c r="D233" s="629" t="s">
        <v>329</v>
      </c>
      <c r="F233" s="633"/>
      <c r="G233" s="3"/>
      <c r="H233" s="633"/>
      <c r="I233" s="634"/>
      <c r="J233" s="633"/>
      <c r="K233" s="633" t="s">
        <v>144</v>
      </c>
      <c r="L233" s="633"/>
      <c r="M233" s="633"/>
      <c r="N233" s="633"/>
      <c r="O233" s="633"/>
      <c r="P233" s="633"/>
      <c r="Q233" s="50"/>
      <c r="R233" s="527"/>
      <c r="S233" s="637"/>
      <c r="T233" s="633"/>
    </row>
    <row r="234" spans="1:41" s="649" customFormat="1" ht="13.2">
      <c r="A234">
        <v>1</v>
      </c>
      <c r="B234" s="649" t="s">
        <v>141</v>
      </c>
      <c r="D234" s="649" t="s">
        <v>414</v>
      </c>
      <c r="F234" s="760" t="s">
        <v>506</v>
      </c>
      <c r="G234" s="650" t="s">
        <v>528</v>
      </c>
      <c r="H234" s="651">
        <v>512</v>
      </c>
      <c r="I234" s="649" t="s">
        <v>364</v>
      </c>
      <c r="O234" s="652">
        <v>2</v>
      </c>
      <c r="P234" s="653"/>
      <c r="Q234" s="654">
        <v>850.44</v>
      </c>
      <c r="R234" s="655">
        <f>$A234*Q234</f>
        <v>850.44</v>
      </c>
      <c r="S234" s="654">
        <v>2</v>
      </c>
      <c r="T234" s="656">
        <f>$A234*S234*$T$1</f>
        <v>2</v>
      </c>
    </row>
    <row r="235" spans="1:41" s="649" customFormat="1" ht="13.2">
      <c r="A235" s="112">
        <v>1</v>
      </c>
      <c r="B235" s="649" t="s">
        <v>141</v>
      </c>
      <c r="D235" s="649" t="s">
        <v>415</v>
      </c>
      <c r="G235" s="650" t="s">
        <v>416</v>
      </c>
      <c r="H235" s="651">
        <v>900</v>
      </c>
      <c r="I235" s="649" t="s">
        <v>400</v>
      </c>
      <c r="O235" s="652">
        <v>1</v>
      </c>
      <c r="P235" s="653"/>
      <c r="Q235" s="654">
        <v>0</v>
      </c>
      <c r="R235" s="655">
        <f>$A235*Q235</f>
        <v>0</v>
      </c>
      <c r="S235" s="654">
        <v>1</v>
      </c>
      <c r="T235" s="656">
        <f>$A235*S235*$T$1</f>
        <v>1</v>
      </c>
    </row>
    <row r="236" spans="1:41" s="649" customFormat="1" ht="13.2">
      <c r="A236" s="112">
        <v>20</v>
      </c>
      <c r="B236" s="649" t="s">
        <v>387</v>
      </c>
      <c r="D236" s="649" t="s">
        <v>388</v>
      </c>
      <c r="G236" s="650" t="s">
        <v>389</v>
      </c>
      <c r="H236" s="651">
        <v>700</v>
      </c>
      <c r="I236" s="649" t="s">
        <v>390</v>
      </c>
      <c r="J236" s="649" t="s">
        <v>391</v>
      </c>
      <c r="O236" s="652">
        <v>1</v>
      </c>
      <c r="P236" s="653">
        <v>42213</v>
      </c>
      <c r="Q236" s="654">
        <f>0.86*2</f>
        <v>1.72</v>
      </c>
      <c r="R236" s="655">
        <f>$A236*Q236</f>
        <v>34.4</v>
      </c>
      <c r="S236" s="654">
        <v>0.18</v>
      </c>
      <c r="T236" s="656">
        <f>$A236*S236*$T$1</f>
        <v>3.5999999999999996</v>
      </c>
    </row>
    <row r="237" spans="1:41" s="649" customFormat="1" ht="13.2">
      <c r="A237">
        <f>40+20</f>
        <v>60</v>
      </c>
      <c r="B237" s="649" t="s">
        <v>387</v>
      </c>
      <c r="D237" s="649" t="s">
        <v>392</v>
      </c>
      <c r="G237" s="650" t="s">
        <v>393</v>
      </c>
      <c r="H237" s="651">
        <v>617</v>
      </c>
      <c r="I237" s="649" t="s">
        <v>364</v>
      </c>
      <c r="O237" s="652">
        <v>2</v>
      </c>
      <c r="P237" s="653"/>
      <c r="Q237" s="759">
        <v>1</v>
      </c>
      <c r="R237" s="655">
        <f>$A237*Q237</f>
        <v>60</v>
      </c>
      <c r="S237" s="654">
        <v>2.5000000000000001E-2</v>
      </c>
      <c r="T237" s="656">
        <f>$A237*S237*$T$1</f>
        <v>1.5</v>
      </c>
    </row>
    <row r="238" spans="1:41" s="518" customFormat="1" ht="12">
      <c r="A238" s="638"/>
      <c r="B238" s="638"/>
      <c r="C238" s="638"/>
      <c r="D238" s="638"/>
      <c r="E238" s="638"/>
      <c r="F238" s="633"/>
      <c r="G238" s="638"/>
      <c r="H238" s="638"/>
      <c r="I238" s="517"/>
      <c r="J238" s="638"/>
      <c r="K238" s="638"/>
      <c r="L238" s="638"/>
      <c r="M238" s="638"/>
      <c r="N238" s="638"/>
      <c r="O238" s="638"/>
      <c r="P238" s="638"/>
      <c r="Q238" s="517"/>
      <c r="R238" s="639">
        <f t="shared" ref="R238" si="42">$A238*Q238</f>
        <v>0</v>
      </c>
      <c r="S238" s="517"/>
      <c r="T238" s="640">
        <f t="shared" ref="T238" si="43">$A238*S238*$T$1</f>
        <v>0</v>
      </c>
    </row>
    <row r="239" spans="1:41" s="518" customFormat="1" ht="12.6" thickBot="1">
      <c r="A239" s="641" t="s">
        <v>145</v>
      </c>
      <c r="B239" s="642">
        <f>(R238+T238)</f>
        <v>0</v>
      </c>
      <c r="C239" s="643"/>
      <c r="D239" s="643"/>
      <c r="E239" s="643"/>
      <c r="F239" s="644"/>
      <c r="G239" s="643" t="s">
        <v>146</v>
      </c>
      <c r="H239" s="643"/>
      <c r="I239" s="645"/>
      <c r="J239" s="643"/>
      <c r="K239" s="643" t="s">
        <v>3</v>
      </c>
      <c r="L239" s="646" t="s">
        <v>143</v>
      </c>
      <c r="M239" s="646"/>
      <c r="N239" s="646"/>
      <c r="O239" s="646"/>
      <c r="P239" s="646"/>
      <c r="Q239" s="647"/>
      <c r="R239" s="648">
        <f>SUM(R233:R238)</f>
        <v>944.84</v>
      </c>
      <c r="S239" s="643"/>
      <c r="T239" s="648">
        <f>SUM(T233:T238)</f>
        <v>8.1</v>
      </c>
      <c r="U239" s="528"/>
      <c r="V239" s="528"/>
      <c r="W239" s="528"/>
      <c r="X239" s="528"/>
      <c r="Y239" s="528"/>
      <c r="Z239" s="528"/>
      <c r="AA239" s="528"/>
      <c r="AB239" s="528"/>
      <c r="AC239" s="528"/>
      <c r="AD239" s="528"/>
      <c r="AE239" s="528"/>
      <c r="AF239" s="528"/>
      <c r="AG239" s="528"/>
      <c r="AH239" s="528"/>
      <c r="AI239" s="528"/>
      <c r="AJ239" s="528"/>
      <c r="AK239" s="528"/>
      <c r="AL239" s="528"/>
      <c r="AM239" s="528"/>
      <c r="AN239" s="528"/>
      <c r="AO239" s="528"/>
    </row>
    <row r="240" spans="1:41" s="518" customFormat="1" ht="12" thickTop="1">
      <c r="A240" s="50"/>
      <c r="B240" s="41"/>
      <c r="C240" s="50"/>
      <c r="E240" s="42" t="s">
        <v>138</v>
      </c>
      <c r="F240" s="42" t="s">
        <v>139</v>
      </c>
      <c r="G240" s="50"/>
      <c r="H240" s="50"/>
      <c r="I240" s="50"/>
      <c r="J240" s="50"/>
      <c r="K240" s="50" t="s">
        <v>140</v>
      </c>
      <c r="L240" s="50"/>
      <c r="M240" s="50"/>
      <c r="N240" s="50"/>
      <c r="O240" s="51"/>
      <c r="P240" s="50"/>
      <c r="Q240" s="50"/>
      <c r="R240" s="50"/>
      <c r="S240" s="50"/>
      <c r="T240" s="41"/>
      <c r="AG240" s="625" t="s">
        <v>247</v>
      </c>
      <c r="AH240" s="625" t="s">
        <v>248</v>
      </c>
      <c r="AI240" s="625" t="s">
        <v>249</v>
      </c>
      <c r="AJ240" s="625" t="s">
        <v>250</v>
      </c>
      <c r="AK240" s="625" t="s">
        <v>251</v>
      </c>
      <c r="AM240" s="626" t="s">
        <v>260</v>
      </c>
      <c r="AN240" s="627" t="s">
        <v>261</v>
      </c>
      <c r="AO240" s="519" t="s">
        <v>257</v>
      </c>
    </row>
    <row r="241" spans="1:41" s="518" customFormat="1" ht="12" customHeight="1">
      <c r="A241" s="657">
        <v>1</v>
      </c>
      <c r="B241" s="520" t="s">
        <v>285</v>
      </c>
      <c r="C241" s="628"/>
      <c r="D241" s="629" t="s">
        <v>330</v>
      </c>
      <c r="E241" s="630">
        <f>IF(AND($A241=0,$A$1="DIF"),0, ROUND(ROUND(($R247*$S$2+($T247*$T$2))/A241,2)*$C$2,2))</f>
        <v>1151.8499999999999</v>
      </c>
      <c r="F241" s="631">
        <f>ROUND($A241*$E241,2)</f>
        <v>1151.8499999999999</v>
      </c>
      <c r="G241" s="632" t="s">
        <v>142</v>
      </c>
      <c r="H241" s="633"/>
      <c r="I241" s="634"/>
      <c r="J241" s="633"/>
      <c r="K241" s="633" t="s">
        <v>3</v>
      </c>
      <c r="L241" s="635" t="s">
        <v>143</v>
      </c>
      <c r="M241" s="635"/>
      <c r="N241" s="635"/>
      <c r="O241" s="635"/>
      <c r="P241" s="635"/>
      <c r="Q241" s="50"/>
      <c r="T241" s="636" t="str">
        <f>IF(AND($R247=0,$T247=0),"0.00","mu :" &amp; ROUND($F241/$C$2/($R247+$T247*$D$9),2))</f>
        <v>mu :1.1</v>
      </c>
      <c r="W241" s="521"/>
      <c r="AG241" s="478">
        <f>IF($E241=0,0,ROUND($R247*$S$2*$C$2/$A241,2))</f>
        <v>1135.8399999999999</v>
      </c>
      <c r="AH241" s="478">
        <f>$AG241*$A241</f>
        <v>1135.8399999999999</v>
      </c>
      <c r="AI241" s="522">
        <f>$E241-$AG241</f>
        <v>16.009999999999991</v>
      </c>
      <c r="AJ241" s="522">
        <f>$A241*$AI241</f>
        <v>16.009999999999991</v>
      </c>
      <c r="AK241" s="523">
        <f>ROUND(($AG241+$AI241)*$A241,2)</f>
        <v>1151.8499999999999</v>
      </c>
      <c r="AM241" s="524">
        <f>ROUND(R247,2)</f>
        <v>1032.58</v>
      </c>
      <c r="AN241" s="525">
        <f>ROUND(T247,2)</f>
        <v>0.53</v>
      </c>
      <c r="AO241" s="526">
        <f>ROUND(AM241+AN241,2)*A241</f>
        <v>1033.1099999999999</v>
      </c>
    </row>
    <row r="242" spans="1:41" s="518" customFormat="1" ht="13.2">
      <c r="A242" s="628"/>
      <c r="B242"/>
      <c r="C242" s="628"/>
      <c r="D242" s="629" t="s">
        <v>331</v>
      </c>
      <c r="F242" s="633"/>
      <c r="G242" s="3"/>
      <c r="H242" s="633"/>
      <c r="I242" s="634"/>
      <c r="J242" s="633"/>
      <c r="K242" s="633" t="s">
        <v>144</v>
      </c>
      <c r="L242" s="633"/>
      <c r="M242" s="633"/>
      <c r="N242" s="633"/>
      <c r="O242" s="633"/>
      <c r="P242" s="633"/>
      <c r="Q242" s="50"/>
      <c r="R242" s="527"/>
      <c r="S242" s="637"/>
      <c r="T242" s="633"/>
    </row>
    <row r="243" spans="1:41" s="649" customFormat="1" ht="13.2">
      <c r="A243">
        <v>1</v>
      </c>
      <c r="B243" s="649" t="s">
        <v>141</v>
      </c>
      <c r="D243" s="649" t="s">
        <v>414</v>
      </c>
      <c r="F243" s="760" t="s">
        <v>506</v>
      </c>
      <c r="G243" s="650" t="s">
        <v>528</v>
      </c>
      <c r="H243" s="651">
        <v>512</v>
      </c>
      <c r="I243" s="649" t="s">
        <v>364</v>
      </c>
      <c r="O243" s="652">
        <v>2</v>
      </c>
      <c r="P243" s="653"/>
      <c r="Q243" s="654">
        <v>1022.58</v>
      </c>
      <c r="R243" s="655">
        <f>$A243*Q243</f>
        <v>1022.58</v>
      </c>
      <c r="S243" s="654"/>
      <c r="T243" s="656">
        <f>$A243*S243*$T$1</f>
        <v>0</v>
      </c>
    </row>
    <row r="244" spans="1:41" s="649" customFormat="1" ht="13.2">
      <c r="A244" s="112">
        <v>1</v>
      </c>
      <c r="B244" s="649" t="s">
        <v>141</v>
      </c>
      <c r="D244" s="649" t="s">
        <v>415</v>
      </c>
      <c r="G244" s="650" t="s">
        <v>416</v>
      </c>
      <c r="H244" s="651">
        <v>900</v>
      </c>
      <c r="I244" s="649" t="s">
        <v>400</v>
      </c>
      <c r="O244" s="652">
        <v>1</v>
      </c>
      <c r="P244" s="653"/>
      <c r="Q244" s="654">
        <v>0</v>
      </c>
      <c r="R244" s="655">
        <f>$A244*Q244</f>
        <v>0</v>
      </c>
      <c r="S244" s="654">
        <v>0.5</v>
      </c>
      <c r="T244" s="656">
        <f>$A244*S244*$T$1</f>
        <v>0.5</v>
      </c>
    </row>
    <row r="245" spans="1:41" s="649" customFormat="1" ht="13.2">
      <c r="A245" s="112">
        <v>1</v>
      </c>
      <c r="B245" s="649" t="s">
        <v>141</v>
      </c>
      <c r="D245" s="649" t="s">
        <v>417</v>
      </c>
      <c r="G245" s="650" t="s">
        <v>418</v>
      </c>
      <c r="H245" s="651">
        <v>821</v>
      </c>
      <c r="I245" s="649" t="s">
        <v>364</v>
      </c>
      <c r="O245" s="652">
        <v>3</v>
      </c>
      <c r="P245" s="653"/>
      <c r="Q245" s="654">
        <v>10</v>
      </c>
      <c r="R245" s="655">
        <f>$A245*Q245</f>
        <v>10</v>
      </c>
      <c r="S245" s="654">
        <v>0.03</v>
      </c>
      <c r="T245" s="656">
        <f>$A245*S245*$T$1</f>
        <v>0.03</v>
      </c>
    </row>
    <row r="246" spans="1:41" s="518" customFormat="1" ht="12">
      <c r="A246" s="638"/>
      <c r="B246" s="638"/>
      <c r="C246" s="638"/>
      <c r="D246" s="638"/>
      <c r="E246" s="638"/>
      <c r="F246" s="633"/>
      <c r="G246" s="638"/>
      <c r="H246" s="638"/>
      <c r="I246" s="517"/>
      <c r="J246" s="638"/>
      <c r="K246" s="638"/>
      <c r="L246" s="638"/>
      <c r="M246" s="638"/>
      <c r="N246" s="638"/>
      <c r="O246" s="638"/>
      <c r="P246" s="638"/>
      <c r="Q246" s="517"/>
      <c r="R246" s="639">
        <f t="shared" ref="R246" si="44">$A246*Q246</f>
        <v>0</v>
      </c>
      <c r="S246" s="517"/>
      <c r="T246" s="640">
        <f t="shared" ref="T246" si="45">$A246*S246*$T$1</f>
        <v>0</v>
      </c>
    </row>
    <row r="247" spans="1:41" s="518" customFormat="1" ht="12.6" thickBot="1">
      <c r="A247" s="641" t="s">
        <v>145</v>
      </c>
      <c r="B247" s="642">
        <f>(R246+T246)</f>
        <v>0</v>
      </c>
      <c r="C247" s="643"/>
      <c r="D247" s="643"/>
      <c r="E247" s="643"/>
      <c r="F247" s="644"/>
      <c r="G247" s="643" t="s">
        <v>146</v>
      </c>
      <c r="H247" s="643"/>
      <c r="I247" s="645"/>
      <c r="J247" s="643"/>
      <c r="K247" s="643" t="s">
        <v>3</v>
      </c>
      <c r="L247" s="646" t="s">
        <v>143</v>
      </c>
      <c r="M247" s="646"/>
      <c r="N247" s="646"/>
      <c r="O247" s="646"/>
      <c r="P247" s="646"/>
      <c r="Q247" s="647"/>
      <c r="R247" s="648">
        <f>SUM(R242:R246)</f>
        <v>1032.58</v>
      </c>
      <c r="S247" s="643"/>
      <c r="T247" s="648">
        <f>SUM(T242:T246)</f>
        <v>0.53</v>
      </c>
      <c r="U247" s="528"/>
      <c r="V247" s="528"/>
      <c r="W247" s="528"/>
      <c r="X247" s="528"/>
      <c r="Y247" s="528"/>
      <c r="Z247" s="528"/>
      <c r="AA247" s="528"/>
      <c r="AB247" s="528"/>
      <c r="AC247" s="528"/>
      <c r="AD247" s="528"/>
      <c r="AE247" s="528"/>
      <c r="AF247" s="528"/>
      <c r="AG247" s="528"/>
      <c r="AH247" s="528"/>
      <c r="AI247" s="528"/>
      <c r="AJ247" s="528"/>
      <c r="AK247" s="528"/>
      <c r="AL247" s="528"/>
      <c r="AM247" s="528"/>
      <c r="AN247" s="528"/>
      <c r="AO247" s="528"/>
    </row>
    <row r="248" spans="1:41" s="518" customFormat="1" ht="12" thickTop="1">
      <c r="A248" s="50"/>
      <c r="B248" s="41"/>
      <c r="C248" s="50"/>
      <c r="E248" s="42" t="s">
        <v>138</v>
      </c>
      <c r="F248" s="42" t="s">
        <v>139</v>
      </c>
      <c r="G248" s="50"/>
      <c r="H248" s="50"/>
      <c r="I248" s="50"/>
      <c r="J248" s="50"/>
      <c r="K248" s="50" t="s">
        <v>140</v>
      </c>
      <c r="L248" s="50"/>
      <c r="M248" s="50"/>
      <c r="N248" s="50"/>
      <c r="O248" s="51"/>
      <c r="P248" s="50"/>
      <c r="Q248" s="50"/>
      <c r="R248" s="50"/>
      <c r="S248" s="50"/>
      <c r="T248" s="41"/>
      <c r="AG248" s="625" t="s">
        <v>247</v>
      </c>
      <c r="AH248" s="625" t="s">
        <v>248</v>
      </c>
      <c r="AI248" s="625" t="s">
        <v>249</v>
      </c>
      <c r="AJ248" s="625" t="s">
        <v>250</v>
      </c>
      <c r="AK248" s="625" t="s">
        <v>251</v>
      </c>
      <c r="AM248" s="626" t="s">
        <v>260</v>
      </c>
      <c r="AN248" s="627" t="s">
        <v>261</v>
      </c>
      <c r="AO248" s="519" t="s">
        <v>257</v>
      </c>
    </row>
    <row r="249" spans="1:41" s="518" customFormat="1" ht="12" customHeight="1">
      <c r="A249" s="657">
        <v>1</v>
      </c>
      <c r="B249" s="520" t="s">
        <v>285</v>
      </c>
      <c r="C249" s="628"/>
      <c r="D249" s="629" t="s">
        <v>332</v>
      </c>
      <c r="E249" s="630">
        <f>IF(AND($A249=0,$A$1="DIF"),0, ROUND(ROUND(($R255*$S$2+($T255*$T$2))/A249,2)*$C$2,2))</f>
        <v>391.3</v>
      </c>
      <c r="F249" s="631">
        <f>ROUND($A249*$E249,2)</f>
        <v>391.3</v>
      </c>
      <c r="G249" s="632" t="s">
        <v>142</v>
      </c>
      <c r="H249" s="633"/>
      <c r="I249" s="634"/>
      <c r="J249" s="633"/>
      <c r="K249" s="633" t="s">
        <v>3</v>
      </c>
      <c r="L249" s="635" t="s">
        <v>143</v>
      </c>
      <c r="M249" s="635"/>
      <c r="N249" s="635"/>
      <c r="O249" s="635"/>
      <c r="P249" s="635"/>
      <c r="Q249" s="50"/>
      <c r="T249" s="636" t="str">
        <f>IF(AND($R255=0,$T255=0),"0.00","mu :" &amp; ROUND($F249/$C$2/($R255+$T255*$D$9),2))</f>
        <v>mu :1.1</v>
      </c>
      <c r="W249" s="521"/>
      <c r="AG249" s="478">
        <f>IF($E249=0,0,ROUND($R255*$S$2*$C$2/$A249,2))</f>
        <v>375.29</v>
      </c>
      <c r="AH249" s="478">
        <f>$AG249*$A249</f>
        <v>375.29</v>
      </c>
      <c r="AI249" s="522">
        <f>$E249-$AG249</f>
        <v>16.009999999999991</v>
      </c>
      <c r="AJ249" s="522">
        <f>$A249*$AI249</f>
        <v>16.009999999999991</v>
      </c>
      <c r="AK249" s="523">
        <f>ROUND(($AG249+$AI249)*$A249,2)</f>
        <v>391.3</v>
      </c>
      <c r="AM249" s="524">
        <f>ROUND(R255,2)</f>
        <v>341.17</v>
      </c>
      <c r="AN249" s="525">
        <f>ROUND(T255,2)</f>
        <v>0.53</v>
      </c>
      <c r="AO249" s="526">
        <f>ROUND(AM249+AN249,2)*A249</f>
        <v>341.7</v>
      </c>
    </row>
    <row r="250" spans="1:41" s="518" customFormat="1" ht="13.2">
      <c r="A250" s="628"/>
      <c r="B250"/>
      <c r="C250" s="628"/>
      <c r="D250" s="629" t="s">
        <v>333</v>
      </c>
      <c r="F250" s="633"/>
      <c r="G250" s="3"/>
      <c r="H250" s="633"/>
      <c r="I250" s="634"/>
      <c r="J250" s="633"/>
      <c r="K250" s="633" t="s">
        <v>144</v>
      </c>
      <c r="L250" s="633"/>
      <c r="M250" s="633"/>
      <c r="N250" s="633"/>
      <c r="O250" s="633"/>
      <c r="P250" s="633"/>
      <c r="Q250" s="50"/>
      <c r="R250" s="527"/>
      <c r="S250" s="637"/>
      <c r="T250" s="633"/>
    </row>
    <row r="251" spans="1:41" s="649" customFormat="1" ht="13.2">
      <c r="A251">
        <v>1</v>
      </c>
      <c r="B251" s="649" t="s">
        <v>141</v>
      </c>
      <c r="D251" s="649" t="s">
        <v>414</v>
      </c>
      <c r="F251" s="760" t="s">
        <v>506</v>
      </c>
      <c r="G251" s="650" t="s">
        <v>528</v>
      </c>
      <c r="H251" s="651">
        <v>512</v>
      </c>
      <c r="I251" s="649" t="s">
        <v>364</v>
      </c>
      <c r="O251" s="652">
        <v>2</v>
      </c>
      <c r="P251" s="653"/>
      <c r="Q251" s="654">
        <v>331.17</v>
      </c>
      <c r="R251" s="655">
        <f>$A251*Q251</f>
        <v>331.17</v>
      </c>
      <c r="S251" s="654"/>
      <c r="T251" s="656">
        <f>$A251*S251*$T$1</f>
        <v>0</v>
      </c>
    </row>
    <row r="252" spans="1:41" s="649" customFormat="1" ht="13.2">
      <c r="A252" s="112">
        <v>1</v>
      </c>
      <c r="B252" s="649" t="s">
        <v>141</v>
      </c>
      <c r="D252" s="649" t="s">
        <v>415</v>
      </c>
      <c r="G252" s="650" t="s">
        <v>416</v>
      </c>
      <c r="H252" s="651">
        <v>900</v>
      </c>
      <c r="I252" s="649" t="s">
        <v>400</v>
      </c>
      <c r="O252" s="652">
        <v>1</v>
      </c>
      <c r="P252" s="653"/>
      <c r="Q252" s="654">
        <v>0</v>
      </c>
      <c r="R252" s="655">
        <f>$A252*Q252</f>
        <v>0</v>
      </c>
      <c r="S252" s="654">
        <v>0.5</v>
      </c>
      <c r="T252" s="656">
        <f>$A252*S252*$T$1</f>
        <v>0.5</v>
      </c>
    </row>
    <row r="253" spans="1:41" s="649" customFormat="1" ht="13.2">
      <c r="A253" s="112">
        <v>1</v>
      </c>
      <c r="B253" s="649" t="s">
        <v>141</v>
      </c>
      <c r="D253" s="649" t="s">
        <v>417</v>
      </c>
      <c r="G253" s="650" t="s">
        <v>418</v>
      </c>
      <c r="H253" s="651">
        <v>821</v>
      </c>
      <c r="I253" s="649" t="s">
        <v>364</v>
      </c>
      <c r="O253" s="652">
        <v>3</v>
      </c>
      <c r="P253" s="653"/>
      <c r="Q253" s="654">
        <v>10</v>
      </c>
      <c r="R253" s="655">
        <f>$A253*Q253</f>
        <v>10</v>
      </c>
      <c r="S253" s="654">
        <v>0.03</v>
      </c>
      <c r="T253" s="656">
        <f>$A253*S253*$T$1</f>
        <v>0.03</v>
      </c>
    </row>
    <row r="254" spans="1:41" s="518" customFormat="1" ht="12">
      <c r="A254" s="638"/>
      <c r="B254" s="638"/>
      <c r="C254" s="638"/>
      <c r="D254" s="638"/>
      <c r="E254" s="638"/>
      <c r="F254" s="633"/>
      <c r="G254" s="638"/>
      <c r="H254" s="638"/>
      <c r="I254" s="517"/>
      <c r="J254" s="638"/>
      <c r="K254" s="638"/>
      <c r="L254" s="638"/>
      <c r="M254" s="638"/>
      <c r="N254" s="638"/>
      <c r="O254" s="638"/>
      <c r="P254" s="638"/>
      <c r="Q254" s="517"/>
      <c r="R254" s="639">
        <f t="shared" ref="R254" si="46">$A254*Q254</f>
        <v>0</v>
      </c>
      <c r="S254" s="517"/>
      <c r="T254" s="640">
        <f t="shared" ref="T254" si="47">$A254*S254*$T$1</f>
        <v>0</v>
      </c>
    </row>
    <row r="255" spans="1:41" s="518" customFormat="1" ht="12.6" thickBot="1">
      <c r="A255" s="641" t="s">
        <v>145</v>
      </c>
      <c r="B255" s="642">
        <f>(R254+T254)</f>
        <v>0</v>
      </c>
      <c r="C255" s="643"/>
      <c r="D255" s="643"/>
      <c r="E255" s="643"/>
      <c r="F255" s="644"/>
      <c r="G255" s="643" t="s">
        <v>146</v>
      </c>
      <c r="H255" s="643"/>
      <c r="I255" s="645"/>
      <c r="J255" s="643"/>
      <c r="K255" s="643" t="s">
        <v>3</v>
      </c>
      <c r="L255" s="646" t="s">
        <v>143</v>
      </c>
      <c r="M255" s="646"/>
      <c r="N255" s="646"/>
      <c r="O255" s="646"/>
      <c r="P255" s="646"/>
      <c r="Q255" s="647"/>
      <c r="R255" s="648">
        <f>SUM(R250:R254)</f>
        <v>341.17</v>
      </c>
      <c r="S255" s="643"/>
      <c r="T255" s="648">
        <f>SUM(T250:T254)</f>
        <v>0.53</v>
      </c>
      <c r="U255" s="528"/>
      <c r="V255" s="528"/>
      <c r="W255" s="528"/>
      <c r="X255" s="528"/>
      <c r="Y255" s="528"/>
      <c r="Z255" s="528"/>
      <c r="AA255" s="528"/>
      <c r="AB255" s="528"/>
      <c r="AC255" s="528"/>
      <c r="AD255" s="528"/>
      <c r="AE255" s="528"/>
      <c r="AF255" s="528"/>
      <c r="AG255" s="528"/>
      <c r="AH255" s="528"/>
      <c r="AI255" s="528"/>
      <c r="AJ255" s="528"/>
      <c r="AK255" s="528"/>
      <c r="AL255" s="528"/>
      <c r="AM255" s="528"/>
      <c r="AN255" s="528"/>
      <c r="AO255" s="528"/>
    </row>
    <row r="256" spans="1:41" s="518" customFormat="1" thickTop="1">
      <c r="A256" s="50"/>
      <c r="B256" s="50"/>
      <c r="C256" s="3"/>
      <c r="D256" s="3"/>
      <c r="E256" s="50"/>
      <c r="F256" s="50"/>
      <c r="G256" s="50"/>
      <c r="H256" s="50"/>
      <c r="I256" s="50"/>
      <c r="J256" s="50"/>
      <c r="K256" s="50" t="s">
        <v>134</v>
      </c>
      <c r="L256" s="50"/>
      <c r="M256" s="50"/>
      <c r="N256" s="50"/>
      <c r="O256" s="51"/>
      <c r="P256" s="50"/>
      <c r="Q256" s="50"/>
      <c r="R256" s="50"/>
      <c r="S256" s="50"/>
      <c r="T256" s="50"/>
    </row>
    <row r="257" spans="1:41" s="518" customFormat="1" ht="12">
      <c r="A257" s="50"/>
      <c r="B257" s="50"/>
      <c r="C257" s="50" t="s">
        <v>135</v>
      </c>
      <c r="D257" s="37" t="s">
        <v>334</v>
      </c>
      <c r="E257" s="50"/>
      <c r="F257" s="50"/>
      <c r="G257" s="50"/>
      <c r="H257" s="50"/>
      <c r="I257" s="50"/>
      <c r="J257" s="50"/>
      <c r="K257" s="50"/>
      <c r="L257" s="50"/>
      <c r="M257" s="50"/>
      <c r="N257" s="50"/>
      <c r="O257" s="51"/>
      <c r="P257" s="50"/>
      <c r="Q257" s="50"/>
      <c r="R257" s="50"/>
      <c r="S257" s="50"/>
      <c r="T257" s="50"/>
    </row>
    <row r="258" spans="1:41" s="518" customFormat="1" ht="12">
      <c r="A258" s="50"/>
      <c r="B258" s="50"/>
      <c r="C258" s="50"/>
      <c r="D258" s="37" t="s">
        <v>335</v>
      </c>
      <c r="E258" s="50"/>
      <c r="F258" s="50"/>
      <c r="G258" s="50"/>
      <c r="H258" s="50"/>
      <c r="I258" s="50"/>
      <c r="J258" s="50"/>
      <c r="K258" s="50"/>
      <c r="L258" s="50"/>
      <c r="M258" s="50"/>
      <c r="N258" s="50"/>
      <c r="O258" s="51"/>
      <c r="P258" s="50"/>
      <c r="Q258" s="50"/>
      <c r="R258" s="50"/>
      <c r="S258" s="38"/>
      <c r="T258" s="38"/>
    </row>
    <row r="259" spans="1:41" s="3" customFormat="1" thickBot="1">
      <c r="A259" s="528"/>
      <c r="O259" s="103"/>
    </row>
    <row r="260" spans="1:41" s="518" customFormat="1" ht="12" thickTop="1">
      <c r="A260" s="50"/>
      <c r="B260" s="41"/>
      <c r="C260" s="50"/>
      <c r="E260" s="42" t="s">
        <v>138</v>
      </c>
      <c r="F260" s="42" t="s">
        <v>139</v>
      </c>
      <c r="G260" s="50"/>
      <c r="H260" s="50"/>
      <c r="I260" s="50"/>
      <c r="J260" s="50"/>
      <c r="K260" s="50" t="s">
        <v>140</v>
      </c>
      <c r="L260" s="50"/>
      <c r="M260" s="50"/>
      <c r="N260" s="50"/>
      <c r="O260" s="51"/>
      <c r="P260" s="50"/>
      <c r="Q260" s="50"/>
      <c r="R260" s="50"/>
      <c r="S260" s="50"/>
      <c r="T260" s="41"/>
      <c r="AG260" s="625" t="s">
        <v>247</v>
      </c>
      <c r="AH260" s="625" t="s">
        <v>248</v>
      </c>
      <c r="AI260" s="625" t="s">
        <v>249</v>
      </c>
      <c r="AJ260" s="625" t="s">
        <v>250</v>
      </c>
      <c r="AK260" s="625" t="s">
        <v>251</v>
      </c>
      <c r="AM260" s="626" t="s">
        <v>260</v>
      </c>
      <c r="AN260" s="627" t="s">
        <v>261</v>
      </c>
      <c r="AO260" s="519" t="s">
        <v>257</v>
      </c>
    </row>
    <row r="261" spans="1:41" s="518" customFormat="1" ht="12" customHeight="1">
      <c r="A261" s="657">
        <v>27</v>
      </c>
      <c r="B261" s="520" t="s">
        <v>285</v>
      </c>
      <c r="C261" s="628"/>
      <c r="D261" s="629" t="s">
        <v>336</v>
      </c>
      <c r="E261" s="630">
        <f>IF(AND($A261=0,$A$1="DIF"),0, ROUND(ROUND(($R265*$S$2+($T265*$T$2))/A261,2)*$C$2,2))</f>
        <v>39.36</v>
      </c>
      <c r="F261" s="631">
        <f>ROUND($A261*$E261,2)</f>
        <v>1062.72</v>
      </c>
      <c r="G261" s="632" t="s">
        <v>142</v>
      </c>
      <c r="H261" s="633"/>
      <c r="I261" s="634"/>
      <c r="J261" s="633"/>
      <c r="K261" s="633" t="s">
        <v>3</v>
      </c>
      <c r="L261" s="635" t="s">
        <v>143</v>
      </c>
      <c r="M261" s="635"/>
      <c r="N261" s="635"/>
      <c r="O261" s="635"/>
      <c r="P261" s="635"/>
      <c r="Q261" s="50"/>
      <c r="T261" s="636" t="str">
        <f>IF(AND($R265=0,$T265=0),"0.00","mu :" &amp; ROUND($F261/$C$2/($R265+$T265*$D$9),2))</f>
        <v>mu :1.1</v>
      </c>
      <c r="W261" s="521"/>
      <c r="AG261" s="478">
        <f>IF($E261=0,0,ROUND($R265*$S$2*$C$2/$A261,2))</f>
        <v>10.16</v>
      </c>
      <c r="AH261" s="478">
        <f>$AG261*$A261</f>
        <v>274.32</v>
      </c>
      <c r="AI261" s="522">
        <f>$E261-$AG261</f>
        <v>29.2</v>
      </c>
      <c r="AJ261" s="522">
        <f>$A261*$AI261</f>
        <v>788.4</v>
      </c>
      <c r="AK261" s="523">
        <f>ROUND(($AG261+$AI261)*$A261,2)</f>
        <v>1062.72</v>
      </c>
      <c r="AM261" s="524">
        <f>ROUND(R265,2)</f>
        <v>249.4</v>
      </c>
      <c r="AN261" s="525">
        <f>ROUND(T265,2)</f>
        <v>26.1</v>
      </c>
      <c r="AO261" s="526">
        <f>ROUND(AM261+AN261,2)*A261</f>
        <v>7438.5</v>
      </c>
    </row>
    <row r="262" spans="1:41" s="518" customFormat="1" ht="13.2">
      <c r="A262" s="628"/>
      <c r="B262"/>
      <c r="C262" s="628"/>
      <c r="D262" s="629" t="s">
        <v>337</v>
      </c>
      <c r="F262" s="633"/>
      <c r="G262" s="3"/>
      <c r="H262" s="633"/>
      <c r="I262" s="634"/>
      <c r="J262" s="633"/>
      <c r="K262" s="633" t="s">
        <v>144</v>
      </c>
      <c r="L262" s="633"/>
      <c r="M262" s="633"/>
      <c r="N262" s="633"/>
      <c r="O262" s="633"/>
      <c r="P262" s="633"/>
      <c r="Q262" s="50"/>
      <c r="R262" s="527"/>
      <c r="S262" s="637"/>
      <c r="T262" s="633"/>
    </row>
    <row r="263" spans="1:41" s="649" customFormat="1" ht="13.2">
      <c r="A263" s="112">
        <f>60+50+35</f>
        <v>145</v>
      </c>
      <c r="B263" s="649" t="s">
        <v>387</v>
      </c>
      <c r="D263" s="649" t="s">
        <v>388</v>
      </c>
      <c r="G263" s="650" t="s">
        <v>389</v>
      </c>
      <c r="H263" s="651">
        <v>700</v>
      </c>
      <c r="I263" s="649" t="s">
        <v>390</v>
      </c>
      <c r="J263" s="649" t="s">
        <v>391</v>
      </c>
      <c r="O263" s="652">
        <v>1</v>
      </c>
      <c r="P263" s="653">
        <v>42213</v>
      </c>
      <c r="Q263" s="654">
        <f>0.86*2</f>
        <v>1.72</v>
      </c>
      <c r="R263" s="655">
        <f>$A263*Q263</f>
        <v>249.4</v>
      </c>
      <c r="S263" s="654">
        <v>0.18</v>
      </c>
      <c r="T263" s="656">
        <f>$A263*S263*$T$1</f>
        <v>26.099999999999998</v>
      </c>
    </row>
    <row r="264" spans="1:41" s="518" customFormat="1" ht="12">
      <c r="A264" s="638"/>
      <c r="B264" s="638"/>
      <c r="C264" s="638"/>
      <c r="D264" s="638"/>
      <c r="E264" s="638"/>
      <c r="F264" s="633"/>
      <c r="G264" s="638"/>
      <c r="H264" s="638"/>
      <c r="I264" s="517"/>
      <c r="J264" s="638"/>
      <c r="K264" s="638"/>
      <c r="L264" s="638"/>
      <c r="M264" s="638"/>
      <c r="N264" s="638"/>
      <c r="O264" s="638"/>
      <c r="P264" s="638"/>
      <c r="Q264" s="517"/>
      <c r="R264" s="639">
        <f t="shared" ref="R264" si="48">$A264*Q264</f>
        <v>0</v>
      </c>
      <c r="S264" s="517"/>
      <c r="T264" s="640">
        <f t="shared" ref="T264" si="49">$A264*S264*$T$1</f>
        <v>0</v>
      </c>
    </row>
    <row r="265" spans="1:41" s="518" customFormat="1" ht="12.6" thickBot="1">
      <c r="A265" s="641" t="s">
        <v>145</v>
      </c>
      <c r="B265" s="642">
        <f>(R264+T264)</f>
        <v>0</v>
      </c>
      <c r="C265" s="643"/>
      <c r="D265" s="643"/>
      <c r="E265" s="643"/>
      <c r="F265" s="644"/>
      <c r="G265" s="643" t="s">
        <v>146</v>
      </c>
      <c r="H265" s="643"/>
      <c r="I265" s="645"/>
      <c r="J265" s="643"/>
      <c r="K265" s="643" t="s">
        <v>3</v>
      </c>
      <c r="L265" s="646" t="s">
        <v>143</v>
      </c>
      <c r="M265" s="646"/>
      <c r="N265" s="646"/>
      <c r="O265" s="646"/>
      <c r="P265" s="646"/>
      <c r="Q265" s="647"/>
      <c r="R265" s="648">
        <f>SUM(R262:R264)</f>
        <v>249.4</v>
      </c>
      <c r="S265" s="643"/>
      <c r="T265" s="648">
        <f>SUM(T262:T264)</f>
        <v>26.099999999999998</v>
      </c>
      <c r="U265" s="528"/>
      <c r="V265" s="528"/>
      <c r="W265" s="528"/>
      <c r="X265" s="528"/>
      <c r="Y265" s="528"/>
      <c r="Z265" s="528"/>
      <c r="AA265" s="528"/>
      <c r="AB265" s="528"/>
      <c r="AC265" s="528"/>
      <c r="AD265" s="528"/>
      <c r="AE265" s="528"/>
      <c r="AF265" s="528"/>
      <c r="AG265" s="528"/>
      <c r="AH265" s="528"/>
      <c r="AI265" s="528"/>
      <c r="AJ265" s="528"/>
      <c r="AK265" s="528"/>
      <c r="AL265" s="528"/>
      <c r="AM265" s="528"/>
      <c r="AN265" s="528"/>
      <c r="AO265" s="528"/>
    </row>
    <row r="266" spans="1:41" s="518" customFormat="1" ht="12" thickTop="1">
      <c r="A266" s="50"/>
      <c r="B266" s="41"/>
      <c r="C266" s="50"/>
      <c r="E266" s="42" t="s">
        <v>138</v>
      </c>
      <c r="F266" s="42" t="s">
        <v>139</v>
      </c>
      <c r="G266" s="50"/>
      <c r="H266" s="50"/>
      <c r="I266" s="50"/>
      <c r="J266" s="50"/>
      <c r="K266" s="50" t="s">
        <v>140</v>
      </c>
      <c r="L266" s="50"/>
      <c r="M266" s="50"/>
      <c r="N266" s="50"/>
      <c r="O266" s="51"/>
      <c r="P266" s="50"/>
      <c r="Q266" s="50"/>
      <c r="R266" s="50"/>
      <c r="S266" s="50"/>
      <c r="T266" s="41"/>
      <c r="AG266" s="625" t="s">
        <v>247</v>
      </c>
      <c r="AH266" s="625" t="s">
        <v>248</v>
      </c>
      <c r="AI266" s="625" t="s">
        <v>249</v>
      </c>
      <c r="AJ266" s="625" t="s">
        <v>250</v>
      </c>
      <c r="AK266" s="625" t="s">
        <v>251</v>
      </c>
      <c r="AM266" s="626" t="s">
        <v>260</v>
      </c>
      <c r="AN266" s="627" t="s">
        <v>261</v>
      </c>
      <c r="AO266" s="519" t="s">
        <v>257</v>
      </c>
    </row>
    <row r="267" spans="1:41" s="518" customFormat="1" ht="12" customHeight="1">
      <c r="A267" s="657">
        <v>1150</v>
      </c>
      <c r="B267" s="520" t="s">
        <v>280</v>
      </c>
      <c r="C267" s="628"/>
      <c r="D267" s="629" t="s">
        <v>338</v>
      </c>
      <c r="E267" s="630">
        <f>IF(AND($A267=0,$A$1="DIF"),0, ROUND(ROUND(($R271*$S$2+($T271*$T$2))/A267,2)*$C$2,2))</f>
        <v>0.76</v>
      </c>
      <c r="F267" s="631">
        <f>ROUND($A267*$E267,2)</f>
        <v>874</v>
      </c>
      <c r="G267" s="632" t="s">
        <v>142</v>
      </c>
      <c r="H267" s="633"/>
      <c r="I267" s="634"/>
      <c r="J267" s="633"/>
      <c r="K267" s="633" t="s">
        <v>3</v>
      </c>
      <c r="L267" s="635" t="s">
        <v>143</v>
      </c>
      <c r="M267" s="635"/>
      <c r="N267" s="635"/>
      <c r="O267" s="635"/>
      <c r="P267" s="635"/>
      <c r="Q267" s="50"/>
      <c r="T267" s="636" t="str">
        <f>IF(AND($R271=0,$T271=0),"0.00","mu :" &amp; ROUND($F267/$C$2/($R271+$T271*$D$9),2))</f>
        <v>mu :1.11</v>
      </c>
      <c r="W267" s="521"/>
      <c r="AG267" s="478">
        <f>IF($E267=0,0,ROUND($R271*$S$2*$C$2/$A267,2))</f>
        <v>0</v>
      </c>
      <c r="AH267" s="478">
        <f>$AG267*$A267</f>
        <v>0</v>
      </c>
      <c r="AI267" s="522">
        <f>$E267-$AG267</f>
        <v>0.76</v>
      </c>
      <c r="AJ267" s="522">
        <f>$A267*$AI267</f>
        <v>874</v>
      </c>
      <c r="AK267" s="523">
        <f>ROUND(($AG267+$AI267)*$A267,2)</f>
        <v>874</v>
      </c>
      <c r="AM267" s="524">
        <f>ROUND(R271,2)</f>
        <v>0</v>
      </c>
      <c r="AN267" s="525">
        <f>ROUND(T271,2)</f>
        <v>28.75</v>
      </c>
      <c r="AO267" s="526">
        <f>ROUND(AM267+AN267,2)*A267</f>
        <v>33062.5</v>
      </c>
    </row>
    <row r="268" spans="1:41" s="518" customFormat="1" ht="13.2">
      <c r="A268" s="628"/>
      <c r="B268"/>
      <c r="C268" s="628"/>
      <c r="D268" s="629" t="s">
        <v>339</v>
      </c>
      <c r="F268" s="633"/>
      <c r="G268" s="3"/>
      <c r="H268" s="633"/>
      <c r="I268" s="634"/>
      <c r="J268" s="633"/>
      <c r="K268" s="633" t="s">
        <v>144</v>
      </c>
      <c r="L268" s="633"/>
      <c r="M268" s="633"/>
      <c r="N268" s="633"/>
      <c r="O268" s="633"/>
      <c r="P268" s="633"/>
      <c r="Q268" s="50"/>
      <c r="R268" s="527"/>
      <c r="S268" s="637"/>
      <c r="T268" s="633"/>
    </row>
    <row r="269" spans="1:41" s="649" customFormat="1" ht="13.2">
      <c r="A269">
        <f>46*25</f>
        <v>1150</v>
      </c>
      <c r="B269" s="649" t="s">
        <v>387</v>
      </c>
      <c r="D269" s="649" t="s">
        <v>392</v>
      </c>
      <c r="G269" s="650" t="s">
        <v>393</v>
      </c>
      <c r="H269" s="651">
        <v>617</v>
      </c>
      <c r="I269" s="649" t="s">
        <v>364</v>
      </c>
      <c r="O269" s="652">
        <v>2</v>
      </c>
      <c r="P269" s="653"/>
      <c r="Q269" s="654">
        <v>0</v>
      </c>
      <c r="R269" s="655">
        <f>$A269*Q269</f>
        <v>0</v>
      </c>
      <c r="S269" s="654">
        <v>2.5000000000000001E-2</v>
      </c>
      <c r="T269" s="656">
        <f>$A269*S269*$T$1</f>
        <v>28.75</v>
      </c>
    </row>
    <row r="270" spans="1:41" s="518" customFormat="1" ht="12">
      <c r="A270" s="638"/>
      <c r="B270" s="638"/>
      <c r="C270" s="638"/>
      <c r="D270" s="638"/>
      <c r="E270" s="638"/>
      <c r="F270" s="633"/>
      <c r="G270" s="638"/>
      <c r="H270" s="638"/>
      <c r="I270" s="517"/>
      <c r="J270" s="638"/>
      <c r="K270" s="638"/>
      <c r="L270" s="638"/>
      <c r="M270" s="638"/>
      <c r="N270" s="638"/>
      <c r="O270" s="638"/>
      <c r="P270" s="638"/>
      <c r="Q270" s="517"/>
      <c r="R270" s="639">
        <f t="shared" ref="R270" si="50">$A270*Q270</f>
        <v>0</v>
      </c>
      <c r="S270" s="517"/>
      <c r="T270" s="640">
        <f t="shared" ref="T270" si="51">$A270*S270*$T$1</f>
        <v>0</v>
      </c>
    </row>
    <row r="271" spans="1:41" s="518" customFormat="1" ht="12.6" thickBot="1">
      <c r="A271" s="641" t="s">
        <v>145</v>
      </c>
      <c r="B271" s="642">
        <f>(R270+T270)</f>
        <v>0</v>
      </c>
      <c r="C271" s="643"/>
      <c r="D271" s="643"/>
      <c r="E271" s="643"/>
      <c r="F271" s="644"/>
      <c r="G271" s="643" t="s">
        <v>146</v>
      </c>
      <c r="H271" s="643"/>
      <c r="I271" s="645"/>
      <c r="J271" s="643"/>
      <c r="K271" s="643" t="s">
        <v>3</v>
      </c>
      <c r="L271" s="646" t="s">
        <v>143</v>
      </c>
      <c r="M271" s="646"/>
      <c r="N271" s="646"/>
      <c r="O271" s="646"/>
      <c r="P271" s="646"/>
      <c r="Q271" s="647"/>
      <c r="R271" s="648">
        <f>SUM(R268:R270)</f>
        <v>0</v>
      </c>
      <c r="S271" s="643"/>
      <c r="T271" s="648">
        <f>SUM(T268:T270)</f>
        <v>28.75</v>
      </c>
      <c r="U271" s="528"/>
      <c r="V271" s="528"/>
      <c r="W271" s="528"/>
      <c r="X271" s="528"/>
      <c r="Y271" s="528"/>
      <c r="Z271" s="528"/>
      <c r="AA271" s="528"/>
      <c r="AB271" s="528"/>
      <c r="AC271" s="528"/>
      <c r="AD271" s="528"/>
      <c r="AE271" s="528"/>
      <c r="AF271" s="528"/>
      <c r="AG271" s="528"/>
      <c r="AH271" s="528"/>
      <c r="AI271" s="528"/>
      <c r="AJ271" s="528"/>
      <c r="AK271" s="528"/>
      <c r="AL271" s="528"/>
      <c r="AM271" s="528"/>
      <c r="AN271" s="528"/>
      <c r="AO271" s="528"/>
    </row>
    <row r="272" spans="1:41" s="518" customFormat="1" ht="12" thickTop="1">
      <c r="A272" s="50"/>
      <c r="B272" s="41"/>
      <c r="C272" s="50"/>
      <c r="E272" s="42" t="s">
        <v>138</v>
      </c>
      <c r="F272" s="42" t="s">
        <v>139</v>
      </c>
      <c r="G272" s="50"/>
      <c r="H272" s="50"/>
      <c r="I272" s="50"/>
      <c r="J272" s="50"/>
      <c r="K272" s="50" t="s">
        <v>140</v>
      </c>
      <c r="L272" s="50"/>
      <c r="M272" s="50"/>
      <c r="N272" s="50"/>
      <c r="O272" s="51"/>
      <c r="P272" s="50"/>
      <c r="Q272" s="50"/>
      <c r="R272" s="50"/>
      <c r="S272" s="50"/>
      <c r="T272" s="41"/>
      <c r="AG272" s="625" t="s">
        <v>247</v>
      </c>
      <c r="AH272" s="625" t="s">
        <v>248</v>
      </c>
      <c r="AI272" s="625" t="s">
        <v>249</v>
      </c>
      <c r="AJ272" s="625" t="s">
        <v>250</v>
      </c>
      <c r="AK272" s="625" t="s">
        <v>251</v>
      </c>
      <c r="AM272" s="626" t="s">
        <v>260</v>
      </c>
      <c r="AN272" s="627" t="s">
        <v>261</v>
      </c>
      <c r="AO272" s="519" t="s">
        <v>257</v>
      </c>
    </row>
    <row r="273" spans="1:41" s="518" customFormat="1" ht="12" customHeight="1">
      <c r="A273" s="657">
        <v>6</v>
      </c>
      <c r="B273" s="520" t="s">
        <v>285</v>
      </c>
      <c r="C273" s="628"/>
      <c r="D273" s="629" t="s">
        <v>340</v>
      </c>
      <c r="E273" s="630">
        <f>IF(AND($A273=0,$A$1="DIF"),0, ROUND(ROUND(($R280*$S$2+($T280*$T$2))/A273,2)*$C$2,2))</f>
        <v>7.33</v>
      </c>
      <c r="F273" s="631">
        <f>ROUND($A273*$E273,2)</f>
        <v>43.98</v>
      </c>
      <c r="G273" s="632" t="s">
        <v>142</v>
      </c>
      <c r="H273" s="633"/>
      <c r="I273" s="634"/>
      <c r="J273" s="633"/>
      <c r="K273" s="633" t="s">
        <v>3</v>
      </c>
      <c r="L273" s="635" t="s">
        <v>143</v>
      </c>
      <c r="M273" s="635"/>
      <c r="N273" s="635"/>
      <c r="O273" s="635"/>
      <c r="P273" s="635"/>
      <c r="Q273" s="50"/>
      <c r="T273" s="636" t="str">
        <f>IF(AND($R280=0,$T280=0),"0.00","mu :" &amp; ROUND($F273/$C$2/($R280+$T280*$D$9),2))</f>
        <v>mu :1.1</v>
      </c>
      <c r="W273" s="521"/>
      <c r="AG273" s="478">
        <f>IF($E273=0,0,ROUND($R280*$S$2*$C$2/$A273,2))</f>
        <v>0.68</v>
      </c>
      <c r="AH273" s="478">
        <f>$AG273*$A273</f>
        <v>4.08</v>
      </c>
      <c r="AI273" s="522">
        <f>$E273-$AG273</f>
        <v>6.65</v>
      </c>
      <c r="AJ273" s="522">
        <f>$A273*$AI273</f>
        <v>39.900000000000006</v>
      </c>
      <c r="AK273" s="523">
        <f>ROUND(($AG273+$AI273)*$A273,2)</f>
        <v>43.98</v>
      </c>
      <c r="AM273" s="524">
        <f>ROUND(R280,2)</f>
        <v>3.72</v>
      </c>
      <c r="AN273" s="525">
        <f>ROUND(T280,2)</f>
        <v>1.32</v>
      </c>
      <c r="AO273" s="526">
        <f>ROUND(AM273+AN273,2)*A273</f>
        <v>30.240000000000002</v>
      </c>
    </row>
    <row r="274" spans="1:41" s="518" customFormat="1" ht="13.2">
      <c r="A274" s="628"/>
      <c r="B274"/>
      <c r="C274" s="628"/>
      <c r="D274" s="629" t="s">
        <v>341</v>
      </c>
      <c r="F274" s="633"/>
      <c r="G274" s="3"/>
      <c r="H274" s="633"/>
      <c r="I274" s="634"/>
      <c r="J274" s="633"/>
      <c r="K274" s="633" t="s">
        <v>144</v>
      </c>
      <c r="L274" s="633"/>
      <c r="M274" s="633"/>
      <c r="N274" s="633"/>
      <c r="O274" s="633"/>
      <c r="P274" s="633"/>
      <c r="Q274" s="50"/>
      <c r="R274" s="527"/>
      <c r="S274" s="637"/>
      <c r="T274" s="633"/>
    </row>
    <row r="275" spans="1:41" s="649" customFormat="1" ht="13.2">
      <c r="A275" s="112">
        <v>6</v>
      </c>
      <c r="B275" s="649" t="s">
        <v>141</v>
      </c>
      <c r="D275" s="649" t="s">
        <v>394</v>
      </c>
      <c r="G275" s="650" t="s">
        <v>395</v>
      </c>
      <c r="H275" s="651">
        <v>705</v>
      </c>
      <c r="I275" s="649" t="s">
        <v>364</v>
      </c>
      <c r="O275" s="652">
        <v>3</v>
      </c>
      <c r="P275" s="653">
        <v>38146</v>
      </c>
      <c r="Q275" s="654">
        <v>0</v>
      </c>
      <c r="R275" s="655">
        <f>$A275*Q275</f>
        <v>0</v>
      </c>
      <c r="S275" s="654">
        <v>0.17</v>
      </c>
      <c r="T275" s="656">
        <f>$A275*S275*$T$1</f>
        <v>1.02</v>
      </c>
    </row>
    <row r="276" spans="1:41" s="649" customFormat="1" ht="13.2">
      <c r="A276" s="112">
        <v>6</v>
      </c>
      <c r="B276" s="649" t="s">
        <v>141</v>
      </c>
      <c r="D276" s="649" t="s">
        <v>377</v>
      </c>
      <c r="G276" s="650" t="s">
        <v>378</v>
      </c>
      <c r="H276" s="651">
        <v>875</v>
      </c>
      <c r="I276" s="649" t="s">
        <v>364</v>
      </c>
      <c r="K276" s="649" t="s">
        <v>379</v>
      </c>
      <c r="O276" s="652">
        <v>3</v>
      </c>
      <c r="P276" s="653">
        <v>34820</v>
      </c>
      <c r="Q276" s="654">
        <v>0.5</v>
      </c>
      <c r="R276" s="655">
        <f>$A276*Q276</f>
        <v>3</v>
      </c>
      <c r="S276" s="654">
        <v>0.05</v>
      </c>
      <c r="T276" s="656">
        <f>$A276*S276*$T$1</f>
        <v>0.30000000000000004</v>
      </c>
    </row>
    <row r="277" spans="1:41" s="649" customFormat="1" ht="13.2">
      <c r="A277">
        <v>12</v>
      </c>
      <c r="B277" s="649" t="s">
        <v>141</v>
      </c>
      <c r="D277" s="649" t="s">
        <v>366</v>
      </c>
      <c r="G277" s="650" t="s">
        <v>367</v>
      </c>
      <c r="H277" s="651">
        <v>875</v>
      </c>
      <c r="I277" s="649" t="s">
        <v>364</v>
      </c>
      <c r="K277" s="649" t="s">
        <v>368</v>
      </c>
      <c r="O277" s="652">
        <v>1</v>
      </c>
      <c r="P277" s="653">
        <v>34669</v>
      </c>
      <c r="Q277" s="654">
        <v>0.03</v>
      </c>
      <c r="R277" s="655">
        <f>$A277*Q277</f>
        <v>0.36</v>
      </c>
      <c r="S277" s="654"/>
      <c r="T277" s="656">
        <f>$A277*S277*$T$1</f>
        <v>0</v>
      </c>
    </row>
    <row r="278" spans="1:41" s="649" customFormat="1" ht="13.2">
      <c r="A278">
        <v>12</v>
      </c>
      <c r="B278" s="649" t="s">
        <v>141</v>
      </c>
      <c r="D278" s="649" t="s">
        <v>369</v>
      </c>
      <c r="G278" s="650" t="s">
        <v>370</v>
      </c>
      <c r="H278" s="651">
        <v>875</v>
      </c>
      <c r="I278" s="649" t="s">
        <v>364</v>
      </c>
      <c r="K278" s="649" t="s">
        <v>371</v>
      </c>
      <c r="O278" s="652">
        <v>1</v>
      </c>
      <c r="P278" s="653">
        <v>34669</v>
      </c>
      <c r="Q278" s="654">
        <v>0.03</v>
      </c>
      <c r="R278" s="655">
        <f>$A278*Q278</f>
        <v>0.36</v>
      </c>
      <c r="S278" s="654"/>
      <c r="T278" s="656">
        <f>$A278*S278*$T$1</f>
        <v>0</v>
      </c>
    </row>
    <row r="279" spans="1:41" s="518" customFormat="1" ht="12">
      <c r="A279" s="638"/>
      <c r="B279" s="638"/>
      <c r="C279" s="638"/>
      <c r="D279" s="638"/>
      <c r="E279" s="638"/>
      <c r="F279" s="633"/>
      <c r="G279" s="638"/>
      <c r="H279" s="638"/>
      <c r="I279" s="517"/>
      <c r="J279" s="638"/>
      <c r="K279" s="638"/>
      <c r="L279" s="638"/>
      <c r="M279" s="638"/>
      <c r="N279" s="638"/>
      <c r="O279" s="638"/>
      <c r="P279" s="638"/>
      <c r="Q279" s="517"/>
      <c r="R279" s="639">
        <f t="shared" ref="R279" si="52">$A279*Q279</f>
        <v>0</v>
      </c>
      <c r="S279" s="517"/>
      <c r="T279" s="640">
        <f t="shared" ref="T279" si="53">$A279*S279*$T$1</f>
        <v>0</v>
      </c>
    </row>
    <row r="280" spans="1:41" s="518" customFormat="1" ht="12.6" thickBot="1">
      <c r="A280" s="641" t="s">
        <v>145</v>
      </c>
      <c r="B280" s="642">
        <f>(R279+T279)</f>
        <v>0</v>
      </c>
      <c r="C280" s="643"/>
      <c r="D280" s="643"/>
      <c r="E280" s="643"/>
      <c r="F280" s="644"/>
      <c r="G280" s="643" t="s">
        <v>146</v>
      </c>
      <c r="H280" s="643"/>
      <c r="I280" s="645"/>
      <c r="J280" s="643"/>
      <c r="K280" s="643" t="s">
        <v>3</v>
      </c>
      <c r="L280" s="646" t="s">
        <v>143</v>
      </c>
      <c r="M280" s="646"/>
      <c r="N280" s="646"/>
      <c r="O280" s="646"/>
      <c r="P280" s="646"/>
      <c r="Q280" s="647"/>
      <c r="R280" s="648">
        <f>SUM(R274:R279)</f>
        <v>3.7199999999999998</v>
      </c>
      <c r="S280" s="643"/>
      <c r="T280" s="648">
        <f>SUM(T274:T279)</f>
        <v>1.32</v>
      </c>
      <c r="U280" s="528"/>
      <c r="V280" s="528"/>
      <c r="W280" s="528"/>
      <c r="X280" s="528"/>
      <c r="Y280" s="528"/>
      <c r="Z280" s="528"/>
      <c r="AA280" s="528"/>
      <c r="AB280" s="528"/>
      <c r="AC280" s="528"/>
      <c r="AD280" s="528"/>
      <c r="AE280" s="528"/>
      <c r="AF280" s="528"/>
      <c r="AG280" s="528"/>
      <c r="AH280" s="528"/>
      <c r="AI280" s="528"/>
      <c r="AJ280" s="528"/>
      <c r="AK280" s="528"/>
      <c r="AL280" s="528"/>
      <c r="AM280" s="528"/>
      <c r="AN280" s="528"/>
      <c r="AO280" s="528"/>
    </row>
    <row r="281" spans="1:41" s="518" customFormat="1" ht="12" thickTop="1">
      <c r="A281" s="50"/>
      <c r="B281" s="41"/>
      <c r="C281" s="50"/>
      <c r="E281" s="42" t="s">
        <v>138</v>
      </c>
      <c r="F281" s="42" t="s">
        <v>139</v>
      </c>
      <c r="G281" s="50"/>
      <c r="H281" s="50"/>
      <c r="I281" s="50"/>
      <c r="J281" s="50"/>
      <c r="K281" s="50" t="s">
        <v>140</v>
      </c>
      <c r="L281" s="50"/>
      <c r="M281" s="50"/>
      <c r="N281" s="50"/>
      <c r="O281" s="51"/>
      <c r="P281" s="50"/>
      <c r="Q281" s="50"/>
      <c r="R281" s="50"/>
      <c r="S281" s="50"/>
      <c r="T281" s="41"/>
      <c r="AG281" s="625" t="s">
        <v>247</v>
      </c>
      <c r="AH281" s="625" t="s">
        <v>248</v>
      </c>
      <c r="AI281" s="625" t="s">
        <v>249</v>
      </c>
      <c r="AJ281" s="625" t="s">
        <v>250</v>
      </c>
      <c r="AK281" s="625" t="s">
        <v>251</v>
      </c>
      <c r="AM281" s="626" t="s">
        <v>260</v>
      </c>
      <c r="AN281" s="627" t="s">
        <v>261</v>
      </c>
      <c r="AO281" s="519" t="s">
        <v>257</v>
      </c>
    </row>
    <row r="282" spans="1:41" s="518" customFormat="1" ht="12" customHeight="1">
      <c r="A282" s="657">
        <v>21</v>
      </c>
      <c r="B282" s="520" t="s">
        <v>285</v>
      </c>
      <c r="C282" s="628"/>
      <c r="D282" s="629" t="s">
        <v>342</v>
      </c>
      <c r="E282" s="630">
        <f>IF(AND($A282=0,$A$1="DIF"),0, ROUND(ROUND(($R289*$S$2+($T289*$T$2))/A282,2)*$C$2,2))</f>
        <v>10.72</v>
      </c>
      <c r="F282" s="631">
        <f>ROUND($A282*$E282,2)</f>
        <v>225.12</v>
      </c>
      <c r="G282" s="632" t="s">
        <v>142</v>
      </c>
      <c r="H282" s="633"/>
      <c r="I282" s="634"/>
      <c r="J282" s="633"/>
      <c r="K282" s="633" t="s">
        <v>3</v>
      </c>
      <c r="L282" s="635" t="s">
        <v>143</v>
      </c>
      <c r="M282" s="635"/>
      <c r="N282" s="635"/>
      <c r="O282" s="635"/>
      <c r="P282" s="635"/>
      <c r="Q282" s="50"/>
      <c r="T282" s="636" t="str">
        <f>IF(AND($R289=0,$T289=0),"0.00","mu :" &amp; ROUND($F282/$C$2/($R289+$T289*$D$9),2))</f>
        <v>mu :1.1</v>
      </c>
      <c r="W282" s="521"/>
      <c r="AG282" s="478">
        <f>IF($E282=0,0,ROUND($R289*$S$2*$C$2/$A282,2))</f>
        <v>0.65</v>
      </c>
      <c r="AH282" s="478">
        <f>$AG282*$A282</f>
        <v>13.65</v>
      </c>
      <c r="AI282" s="522">
        <f>$E282-$AG282</f>
        <v>10.07</v>
      </c>
      <c r="AJ282" s="522">
        <f>$A282*$AI282</f>
        <v>211.47</v>
      </c>
      <c r="AK282" s="523">
        <f>ROUND(($AG282+$AI282)*$A282,2)</f>
        <v>225.12</v>
      </c>
      <c r="AM282" s="524">
        <f>ROUND(R289,2)</f>
        <v>12.4</v>
      </c>
      <c r="AN282" s="525">
        <f>ROUND(T289,2)</f>
        <v>7</v>
      </c>
      <c r="AO282" s="526">
        <f>ROUND(AM282+AN282,2)*A282</f>
        <v>407.4</v>
      </c>
    </row>
    <row r="283" spans="1:41" s="518" customFormat="1" ht="13.2">
      <c r="A283" s="628"/>
      <c r="B283"/>
      <c r="C283" s="628"/>
      <c r="D283" s="629" t="s">
        <v>343</v>
      </c>
      <c r="F283" s="633"/>
      <c r="G283" s="3"/>
      <c r="H283" s="633"/>
      <c r="I283" s="634"/>
      <c r="J283" s="633"/>
      <c r="K283" s="633" t="s">
        <v>144</v>
      </c>
      <c r="L283" s="633"/>
      <c r="M283" s="633"/>
      <c r="N283" s="633"/>
      <c r="O283" s="633"/>
      <c r="P283" s="633"/>
      <c r="Q283" s="50"/>
      <c r="R283" s="527"/>
      <c r="S283" s="637"/>
      <c r="T283" s="633"/>
    </row>
    <row r="284" spans="1:41" s="649" customFormat="1" ht="13.2">
      <c r="A284" s="112">
        <v>20</v>
      </c>
      <c r="B284" s="649" t="s">
        <v>141</v>
      </c>
      <c r="D284" s="649" t="s">
        <v>396</v>
      </c>
      <c r="G284" s="650" t="s">
        <v>397</v>
      </c>
      <c r="H284" s="651">
        <v>705</v>
      </c>
      <c r="I284" s="649" t="s">
        <v>364</v>
      </c>
      <c r="O284" s="652">
        <v>3</v>
      </c>
      <c r="P284" s="653">
        <v>38146</v>
      </c>
      <c r="Q284" s="654">
        <v>0</v>
      </c>
      <c r="R284" s="655">
        <f>$A284*Q284</f>
        <v>0</v>
      </c>
      <c r="S284" s="654">
        <v>0.3</v>
      </c>
      <c r="T284" s="656">
        <f>$A284*S284*$T$1</f>
        <v>6</v>
      </c>
    </row>
    <row r="285" spans="1:41" s="649" customFormat="1" ht="13.2">
      <c r="A285" s="112">
        <v>20</v>
      </c>
      <c r="B285" s="649" t="s">
        <v>141</v>
      </c>
      <c r="D285" s="649" t="s">
        <v>377</v>
      </c>
      <c r="G285" s="650" t="s">
        <v>378</v>
      </c>
      <c r="H285" s="651">
        <v>875</v>
      </c>
      <c r="I285" s="649" t="s">
        <v>364</v>
      </c>
      <c r="K285" s="649" t="s">
        <v>379</v>
      </c>
      <c r="O285" s="652">
        <v>3</v>
      </c>
      <c r="P285" s="653">
        <v>34820</v>
      </c>
      <c r="Q285" s="654">
        <v>0.5</v>
      </c>
      <c r="R285" s="655">
        <f>$A285*Q285</f>
        <v>10</v>
      </c>
      <c r="S285" s="654">
        <v>0.05</v>
      </c>
      <c r="T285" s="656">
        <f>$A285*S285*$T$1</f>
        <v>1</v>
      </c>
    </row>
    <row r="286" spans="1:41" s="649" customFormat="1" ht="13.2">
      <c r="A286">
        <v>40</v>
      </c>
      <c r="B286" s="649" t="s">
        <v>141</v>
      </c>
      <c r="D286" s="649" t="s">
        <v>366</v>
      </c>
      <c r="G286" s="650" t="s">
        <v>367</v>
      </c>
      <c r="H286" s="651">
        <v>875</v>
      </c>
      <c r="I286" s="649" t="s">
        <v>364</v>
      </c>
      <c r="K286" s="649" t="s">
        <v>368</v>
      </c>
      <c r="O286" s="652">
        <v>1</v>
      </c>
      <c r="P286" s="653">
        <v>34669</v>
      </c>
      <c r="Q286" s="654">
        <v>0.03</v>
      </c>
      <c r="R286" s="655">
        <f>$A286*Q286</f>
        <v>1.2</v>
      </c>
      <c r="S286" s="654"/>
      <c r="T286" s="656">
        <f>$A286*S286*$T$1</f>
        <v>0</v>
      </c>
    </row>
    <row r="287" spans="1:41" s="649" customFormat="1" ht="13.2">
      <c r="A287">
        <v>40</v>
      </c>
      <c r="B287" s="649" t="s">
        <v>141</v>
      </c>
      <c r="D287" s="649" t="s">
        <v>369</v>
      </c>
      <c r="G287" s="650" t="s">
        <v>370</v>
      </c>
      <c r="H287" s="651">
        <v>875</v>
      </c>
      <c r="I287" s="649" t="s">
        <v>364</v>
      </c>
      <c r="K287" s="649" t="s">
        <v>371</v>
      </c>
      <c r="O287" s="652">
        <v>1</v>
      </c>
      <c r="P287" s="653">
        <v>34669</v>
      </c>
      <c r="Q287" s="654">
        <v>0.03</v>
      </c>
      <c r="R287" s="655">
        <f>$A287*Q287</f>
        <v>1.2</v>
      </c>
      <c r="S287" s="654"/>
      <c r="T287" s="656">
        <f>$A287*S287*$T$1</f>
        <v>0</v>
      </c>
    </row>
    <row r="288" spans="1:41" s="518" customFormat="1" ht="12">
      <c r="A288" s="638"/>
      <c r="B288" s="638"/>
      <c r="C288" s="638"/>
      <c r="D288" s="638"/>
      <c r="E288" s="638"/>
      <c r="F288" s="633"/>
      <c r="G288" s="638"/>
      <c r="H288" s="638"/>
      <c r="I288" s="517"/>
      <c r="J288" s="638"/>
      <c r="K288" s="638"/>
      <c r="L288" s="638"/>
      <c r="M288" s="638"/>
      <c r="N288" s="638"/>
      <c r="O288" s="638"/>
      <c r="P288" s="638"/>
      <c r="Q288" s="517"/>
      <c r="R288" s="639">
        <f t="shared" ref="R288" si="54">$A288*Q288</f>
        <v>0</v>
      </c>
      <c r="S288" s="517"/>
      <c r="T288" s="640">
        <f t="shared" ref="T288" si="55">$A288*S288*$T$1</f>
        <v>0</v>
      </c>
    </row>
    <row r="289" spans="1:41" s="518" customFormat="1" ht="12.6" thickBot="1">
      <c r="A289" s="641" t="s">
        <v>145</v>
      </c>
      <c r="B289" s="642">
        <f>(R288+T288)</f>
        <v>0</v>
      </c>
      <c r="C289" s="643"/>
      <c r="D289" s="643"/>
      <c r="E289" s="643"/>
      <c r="F289" s="644"/>
      <c r="G289" s="643" t="s">
        <v>146</v>
      </c>
      <c r="H289" s="643"/>
      <c r="I289" s="645"/>
      <c r="J289" s="643"/>
      <c r="K289" s="643" t="s">
        <v>3</v>
      </c>
      <c r="L289" s="646" t="s">
        <v>143</v>
      </c>
      <c r="M289" s="646"/>
      <c r="N289" s="646"/>
      <c r="O289" s="646"/>
      <c r="P289" s="646"/>
      <c r="Q289" s="647"/>
      <c r="R289" s="648">
        <f>SUM(R283:R288)</f>
        <v>12.399999999999999</v>
      </c>
      <c r="S289" s="643"/>
      <c r="T289" s="648">
        <f>SUM(T283:T288)</f>
        <v>7</v>
      </c>
      <c r="U289" s="528"/>
      <c r="V289" s="528"/>
      <c r="W289" s="528"/>
      <c r="X289" s="528"/>
      <c r="Y289" s="528"/>
      <c r="Z289" s="528"/>
      <c r="AA289" s="528"/>
      <c r="AB289" s="528"/>
      <c r="AC289" s="528"/>
      <c r="AD289" s="528"/>
      <c r="AE289" s="528"/>
      <c r="AF289" s="528"/>
      <c r="AG289" s="528"/>
      <c r="AH289" s="528"/>
      <c r="AI289" s="528"/>
      <c r="AJ289" s="528"/>
      <c r="AK289" s="528"/>
      <c r="AL289" s="528"/>
      <c r="AM289" s="528"/>
      <c r="AN289" s="528"/>
      <c r="AO289" s="528"/>
    </row>
    <row r="290" spans="1:41" s="518" customFormat="1" ht="12" thickTop="1">
      <c r="A290" s="50"/>
      <c r="B290" s="41"/>
      <c r="C290" s="50"/>
      <c r="E290" s="42" t="s">
        <v>138</v>
      </c>
      <c r="F290" s="42" t="s">
        <v>139</v>
      </c>
      <c r="G290" s="50"/>
      <c r="H290" s="50"/>
      <c r="I290" s="50"/>
      <c r="J290" s="50"/>
      <c r="K290" s="50" t="s">
        <v>140</v>
      </c>
      <c r="L290" s="50"/>
      <c r="M290" s="50"/>
      <c r="N290" s="50"/>
      <c r="O290" s="51"/>
      <c r="P290" s="50"/>
      <c r="Q290" s="50"/>
      <c r="R290" s="50"/>
      <c r="S290" s="50"/>
      <c r="T290" s="41"/>
      <c r="AG290" s="625" t="s">
        <v>247</v>
      </c>
      <c r="AH290" s="625" t="s">
        <v>248</v>
      </c>
      <c r="AI290" s="625" t="s">
        <v>249</v>
      </c>
      <c r="AJ290" s="625" t="s">
        <v>250</v>
      </c>
      <c r="AK290" s="625" t="s">
        <v>251</v>
      </c>
      <c r="AM290" s="626" t="s">
        <v>260</v>
      </c>
      <c r="AN290" s="627" t="s">
        <v>261</v>
      </c>
      <c r="AO290" s="519" t="s">
        <v>257</v>
      </c>
    </row>
    <row r="291" spans="1:41" s="518" customFormat="1" ht="12" customHeight="1">
      <c r="A291" s="657">
        <v>46</v>
      </c>
      <c r="B291" s="520" t="s">
        <v>285</v>
      </c>
      <c r="C291" s="628"/>
      <c r="D291" s="629" t="s">
        <v>344</v>
      </c>
      <c r="E291" s="630">
        <f>IF(AND($A291=0,$A$1="DIF"),0, ROUND(ROUND(($R295*$S$2+($T295*$T$2))/A291,2)*$C$2,2))</f>
        <v>7.55</v>
      </c>
      <c r="F291" s="631">
        <f>ROUND($A291*$E291,2)</f>
        <v>347.3</v>
      </c>
      <c r="G291" s="632" t="s">
        <v>142</v>
      </c>
      <c r="H291" s="633"/>
      <c r="I291" s="634"/>
      <c r="J291" s="633"/>
      <c r="K291" s="633" t="s">
        <v>3</v>
      </c>
      <c r="L291" s="635" t="s">
        <v>143</v>
      </c>
      <c r="M291" s="635"/>
      <c r="N291" s="635"/>
      <c r="O291" s="635"/>
      <c r="P291" s="635"/>
      <c r="Q291" s="50"/>
      <c r="T291" s="636" t="str">
        <f>IF(AND($R295=0,$T295=0),"0.00","mu :" &amp; ROUND($F291/$C$2/($R295+$T295*$D$9),2))</f>
        <v>mu :1.1</v>
      </c>
      <c r="W291" s="521"/>
      <c r="AG291" s="478">
        <f>IF($E291=0,0,ROUND($R295*$S$2*$C$2/$A291,2))</f>
        <v>0</v>
      </c>
      <c r="AH291" s="478">
        <f>$AG291*$A291</f>
        <v>0</v>
      </c>
      <c r="AI291" s="522">
        <f>$E291-$AG291</f>
        <v>7.55</v>
      </c>
      <c r="AJ291" s="522">
        <f>$A291*$AI291</f>
        <v>347.3</v>
      </c>
      <c r="AK291" s="523">
        <f>ROUND(($AG291+$AI291)*$A291,2)</f>
        <v>347.3</v>
      </c>
      <c r="AM291" s="524">
        <f>ROUND(R295,2)</f>
        <v>0</v>
      </c>
      <c r="AN291" s="525">
        <f>ROUND(T295,2)</f>
        <v>11.5</v>
      </c>
      <c r="AO291" s="526">
        <f>ROUND(AM291+AN291,2)*A291</f>
        <v>529</v>
      </c>
    </row>
    <row r="292" spans="1:41" s="518" customFormat="1" ht="13.2">
      <c r="A292" s="628"/>
      <c r="B292"/>
      <c r="C292" s="628"/>
      <c r="D292" s="629" t="s">
        <v>345</v>
      </c>
      <c r="F292" s="633"/>
      <c r="G292" s="3"/>
      <c r="H292" s="633"/>
      <c r="I292" s="634"/>
      <c r="J292" s="633"/>
      <c r="K292" s="633" t="s">
        <v>144</v>
      </c>
      <c r="L292" s="633"/>
      <c r="M292" s="633"/>
      <c r="N292" s="633"/>
      <c r="O292" s="633"/>
      <c r="P292" s="633"/>
      <c r="Q292" s="50"/>
      <c r="R292" s="527"/>
      <c r="S292" s="637"/>
      <c r="T292" s="633"/>
    </row>
    <row r="293" spans="1:41" s="649" customFormat="1" ht="13.2">
      <c r="A293" s="112">
        <v>46</v>
      </c>
      <c r="B293" s="649" t="s">
        <v>141</v>
      </c>
      <c r="D293" s="649" t="s">
        <v>398</v>
      </c>
      <c r="G293" s="650" t="s">
        <v>399</v>
      </c>
      <c r="H293" s="651">
        <v>900</v>
      </c>
      <c r="I293" s="649" t="s">
        <v>400</v>
      </c>
      <c r="O293" s="652">
        <v>3</v>
      </c>
      <c r="P293" s="653">
        <v>34790</v>
      </c>
      <c r="Q293" s="654">
        <v>0</v>
      </c>
      <c r="R293" s="655">
        <f>$A293*Q293</f>
        <v>0</v>
      </c>
      <c r="S293" s="654">
        <v>0.25</v>
      </c>
      <c r="T293" s="656">
        <f>$A293*S293*$T$1</f>
        <v>11.5</v>
      </c>
    </row>
    <row r="294" spans="1:41" s="518" customFormat="1" ht="12">
      <c r="A294" s="638"/>
      <c r="B294" s="638"/>
      <c r="C294" s="638"/>
      <c r="D294" s="638"/>
      <c r="E294" s="638"/>
      <c r="F294" s="633"/>
      <c r="G294" s="638"/>
      <c r="H294" s="638"/>
      <c r="I294" s="517"/>
      <c r="J294" s="638"/>
      <c r="K294" s="638"/>
      <c r="L294" s="638"/>
      <c r="M294" s="638"/>
      <c r="N294" s="638"/>
      <c r="O294" s="638"/>
      <c r="P294" s="638"/>
      <c r="Q294" s="517"/>
      <c r="R294" s="639">
        <f t="shared" ref="R294" si="56">$A294*Q294</f>
        <v>0</v>
      </c>
      <c r="S294" s="517"/>
      <c r="T294" s="640">
        <f t="shared" ref="T294" si="57">$A294*S294*$T$1</f>
        <v>0</v>
      </c>
    </row>
    <row r="295" spans="1:41" s="518" customFormat="1" ht="12.6" thickBot="1">
      <c r="A295" s="641" t="s">
        <v>145</v>
      </c>
      <c r="B295" s="642">
        <f>(R294+T294)</f>
        <v>0</v>
      </c>
      <c r="C295" s="643"/>
      <c r="D295" s="643"/>
      <c r="E295" s="643"/>
      <c r="F295" s="644"/>
      <c r="G295" s="643" t="s">
        <v>146</v>
      </c>
      <c r="H295" s="643"/>
      <c r="I295" s="645"/>
      <c r="J295" s="643"/>
      <c r="K295" s="643" t="s">
        <v>3</v>
      </c>
      <c r="L295" s="646" t="s">
        <v>143</v>
      </c>
      <c r="M295" s="646"/>
      <c r="N295" s="646"/>
      <c r="O295" s="646"/>
      <c r="P295" s="646"/>
      <c r="Q295" s="647"/>
      <c r="R295" s="648">
        <f>SUM(R292:R294)</f>
        <v>0</v>
      </c>
      <c r="S295" s="643"/>
      <c r="T295" s="648">
        <f>SUM(T292:T294)</f>
        <v>11.5</v>
      </c>
      <c r="U295" s="528"/>
      <c r="V295" s="528"/>
      <c r="W295" s="528"/>
      <c r="X295" s="528"/>
      <c r="Y295" s="528"/>
      <c r="Z295" s="528"/>
      <c r="AA295" s="528"/>
      <c r="AB295" s="528"/>
      <c r="AC295" s="528"/>
      <c r="AD295" s="528"/>
      <c r="AE295" s="528"/>
      <c r="AF295" s="528"/>
      <c r="AG295" s="528"/>
      <c r="AH295" s="528"/>
      <c r="AI295" s="528"/>
      <c r="AJ295" s="528"/>
      <c r="AK295" s="528"/>
      <c r="AL295" s="528"/>
      <c r="AM295" s="528"/>
      <c r="AN295" s="528"/>
      <c r="AO295" s="528"/>
    </row>
    <row r="296" spans="1:41" s="518" customFormat="1" ht="12" thickTop="1">
      <c r="A296" s="48" t="s">
        <v>148</v>
      </c>
      <c r="D296" s="13"/>
      <c r="E296" s="42"/>
      <c r="O296" s="662"/>
    </row>
    <row r="297" spans="1:41" s="518" customFormat="1" ht="13.2">
      <c r="B297" s="3"/>
      <c r="O297" s="662"/>
    </row>
    <row r="298" spans="1:41" s="518" customFormat="1" ht="12">
      <c r="B298" s="784">
        <f>$F298/$C$2-($R298*$S$2+$T298*$T$2)</f>
        <v>5.5650999999998021</v>
      </c>
      <c r="D298" s="785" t="s">
        <v>515</v>
      </c>
      <c r="E298" s="786"/>
      <c r="F298" s="787">
        <f>SUMIF($L152:$L296,"ITEM",F152:F296)</f>
        <v>7029.1299999999992</v>
      </c>
      <c r="G298" s="638"/>
      <c r="H298" s="638"/>
      <c r="I298" s="517"/>
      <c r="J298" s="638"/>
      <c r="K298" s="638"/>
      <c r="L298" s="635" t="s">
        <v>516</v>
      </c>
      <c r="M298" s="635"/>
      <c r="N298" s="635"/>
      <c r="O298" s="635"/>
      <c r="P298" s="635"/>
      <c r="R298" s="787">
        <f>SUMIF($L152:$L296,"ITEM",R152:R296)</f>
        <v>2660.11</v>
      </c>
      <c r="S298" s="672"/>
      <c r="T298" s="787">
        <f>SUMIF($L152:$L296,"ITEM",T152:T296)</f>
        <v>135.64999999999998</v>
      </c>
    </row>
    <row r="299" spans="1:41" s="518" customFormat="1" ht="13.2">
      <c r="A299" s="50"/>
      <c r="B299" s="788" t="s">
        <v>517</v>
      </c>
      <c r="C299" s="50"/>
      <c r="D299" s="3"/>
      <c r="F299" s="701" t="s">
        <v>518</v>
      </c>
      <c r="G299" s="638"/>
      <c r="H299" s="638"/>
      <c r="I299" s="517"/>
      <c r="J299" s="638"/>
      <c r="K299" s="638"/>
      <c r="L299" s="638"/>
      <c r="M299" s="638"/>
      <c r="N299" s="638"/>
      <c r="O299" s="638"/>
      <c r="P299" s="638"/>
      <c r="Q299" s="666"/>
      <c r="R299" s="701" t="s">
        <v>519</v>
      </c>
      <c r="S299" s="38"/>
      <c r="T299" s="701" t="s">
        <v>520</v>
      </c>
    </row>
    <row r="300" spans="1:41" s="518" customFormat="1" ht="13.2">
      <c r="A300" s="638"/>
      <c r="B300" s="3"/>
      <c r="C300" s="638"/>
      <c r="D300" s="3"/>
      <c r="E300" s="3"/>
      <c r="G300" s="3"/>
      <c r="H300" s="3"/>
      <c r="I300" s="3"/>
      <c r="J300" s="3"/>
      <c r="K300" s="3"/>
      <c r="L300" s="3"/>
      <c r="M300" s="3"/>
      <c r="N300" s="3"/>
      <c r="O300" s="103"/>
      <c r="P300" s="3"/>
      <c r="Q300" s="3"/>
      <c r="R300" s="3"/>
      <c r="S300" s="3"/>
      <c r="T300" s="3"/>
    </row>
    <row r="301" spans="1:41" s="518" customFormat="1" ht="12" thickBot="1">
      <c r="A301" s="528"/>
      <c r="B301" s="643"/>
      <c r="C301" s="643"/>
      <c r="D301" s="528"/>
      <c r="E301" s="39"/>
      <c r="F301" s="789"/>
      <c r="G301" s="643"/>
      <c r="H301" s="643"/>
      <c r="I301" s="645"/>
      <c r="J301" s="643"/>
      <c r="K301" s="643"/>
      <c r="L301" s="646"/>
      <c r="M301" s="646"/>
      <c r="N301" s="646"/>
      <c r="O301" s="646"/>
      <c r="P301" s="646"/>
      <c r="Q301" s="647"/>
      <c r="R301" s="789"/>
      <c r="S301" s="790"/>
      <c r="T301" s="789"/>
      <c r="U301" s="528"/>
      <c r="V301" s="528"/>
      <c r="W301" s="528"/>
      <c r="X301" s="528"/>
      <c r="Y301" s="528"/>
      <c r="Z301" s="528"/>
      <c r="AA301" s="528"/>
      <c r="AB301" s="528"/>
      <c r="AC301" s="528"/>
      <c r="AD301" s="528"/>
      <c r="AE301" s="528"/>
      <c r="AF301" s="528"/>
      <c r="AG301" s="528"/>
      <c r="AH301" s="528"/>
      <c r="AI301" s="528"/>
      <c r="AJ301" s="528"/>
      <c r="AK301" s="528"/>
    </row>
    <row r="302" spans="1:41" s="518" customFormat="1" thickTop="1">
      <c r="A302" s="50"/>
      <c r="B302" s="50"/>
      <c r="C302" s="3"/>
      <c r="D302" s="3"/>
      <c r="E302" s="50"/>
      <c r="F302" s="50"/>
      <c r="G302" s="50"/>
      <c r="H302" s="50"/>
      <c r="I302" s="50"/>
      <c r="J302" s="50"/>
      <c r="K302" s="50" t="s">
        <v>134</v>
      </c>
      <c r="L302" s="50"/>
      <c r="M302" s="50"/>
      <c r="N302" s="50"/>
      <c r="O302" s="51"/>
      <c r="P302" s="50"/>
      <c r="Q302" s="50"/>
      <c r="R302" s="50"/>
      <c r="S302" s="50"/>
      <c r="T302" s="50"/>
    </row>
    <row r="303" spans="1:41" s="518" customFormat="1" ht="12">
      <c r="A303" s="50"/>
      <c r="B303" s="50"/>
      <c r="C303" s="50" t="s">
        <v>135</v>
      </c>
      <c r="D303" s="37" t="s">
        <v>346</v>
      </c>
      <c r="E303" s="50"/>
      <c r="F303" s="50"/>
      <c r="G303" s="50"/>
      <c r="H303" s="50"/>
      <c r="I303" s="50"/>
      <c r="J303" s="50"/>
      <c r="K303" s="50"/>
      <c r="L303" s="50"/>
      <c r="M303" s="50"/>
      <c r="N303" s="50"/>
      <c r="O303" s="51"/>
      <c r="P303" s="50"/>
      <c r="Q303" s="50"/>
      <c r="R303" s="50"/>
      <c r="S303" s="50"/>
      <c r="T303" s="50"/>
    </row>
    <row r="304" spans="1:41" s="518" customFormat="1" ht="12">
      <c r="A304" s="50"/>
      <c r="B304" s="50"/>
      <c r="C304" s="50"/>
      <c r="D304" s="37" t="s">
        <v>485</v>
      </c>
      <c r="E304" s="50"/>
      <c r="F304" s="50"/>
      <c r="G304" s="50"/>
      <c r="H304" s="50"/>
      <c r="I304" s="50"/>
      <c r="J304" s="50"/>
      <c r="K304" s="50"/>
      <c r="L304" s="50"/>
      <c r="M304" s="50"/>
      <c r="N304" s="50"/>
      <c r="O304" s="51"/>
      <c r="P304" s="50"/>
      <c r="Q304" s="50"/>
      <c r="R304" s="50"/>
      <c r="S304" s="38"/>
      <c r="T304" s="38"/>
    </row>
    <row r="305" spans="1:41" s="3" customFormat="1" thickBot="1">
      <c r="A305" s="528"/>
      <c r="O305" s="103"/>
    </row>
    <row r="306" spans="1:41" s="518" customFormat="1" ht="12" thickTop="1">
      <c r="A306" s="50"/>
      <c r="B306" s="41"/>
      <c r="C306" s="50"/>
      <c r="E306" s="42" t="s">
        <v>138</v>
      </c>
      <c r="F306" s="42" t="s">
        <v>139</v>
      </c>
      <c r="G306" s="50"/>
      <c r="H306" s="50"/>
      <c r="I306" s="50"/>
      <c r="J306" s="50"/>
      <c r="K306" s="50" t="s">
        <v>140</v>
      </c>
      <c r="L306" s="50"/>
      <c r="M306" s="50"/>
      <c r="N306" s="50"/>
      <c r="O306" s="51"/>
      <c r="P306" s="50"/>
      <c r="Q306" s="50"/>
      <c r="R306" s="50"/>
      <c r="S306" s="50"/>
      <c r="T306" s="41"/>
      <c r="AG306" s="625" t="s">
        <v>247</v>
      </c>
      <c r="AH306" s="625" t="s">
        <v>248</v>
      </c>
      <c r="AI306" s="625" t="s">
        <v>249</v>
      </c>
      <c r="AJ306" s="625" t="s">
        <v>250</v>
      </c>
      <c r="AK306" s="625" t="s">
        <v>251</v>
      </c>
      <c r="AM306" s="626" t="s">
        <v>260</v>
      </c>
      <c r="AN306" s="627" t="s">
        <v>261</v>
      </c>
      <c r="AO306" s="519" t="s">
        <v>257</v>
      </c>
    </row>
    <row r="307" spans="1:41" s="518" customFormat="1" ht="12" customHeight="1">
      <c r="A307" s="657">
        <v>1</v>
      </c>
      <c r="B307" s="520" t="s">
        <v>285</v>
      </c>
      <c r="C307" s="628"/>
      <c r="D307" s="629" t="s">
        <v>347</v>
      </c>
      <c r="E307" s="630">
        <f>IF(AND($A307=0,$A$1="DIF"),0, ROUND(ROUND(($R315*$S$2+($T315*$T$2))/A307,2)*$C$2,2))</f>
        <v>49.03</v>
      </c>
      <c r="F307" s="631">
        <f>ROUND($A307*$E307,2)</f>
        <v>49.03</v>
      </c>
      <c r="G307" s="632" t="s">
        <v>142</v>
      </c>
      <c r="H307" s="633"/>
      <c r="I307" s="634"/>
      <c r="J307" s="633"/>
      <c r="K307" s="633" t="s">
        <v>3</v>
      </c>
      <c r="L307" s="635" t="s">
        <v>143</v>
      </c>
      <c r="M307" s="635"/>
      <c r="N307" s="635"/>
      <c r="O307" s="635"/>
      <c r="P307" s="635"/>
      <c r="Q307" s="50"/>
      <c r="T307" s="636" t="str">
        <f>IF(AND($R315=0,$T315=0),"0.00","mu :" &amp; ROUND($F307/$C$2/($R315+$T315*$D$9),2))</f>
        <v>mu :1.1</v>
      </c>
      <c r="W307" s="521"/>
      <c r="AG307" s="478">
        <f>IF($E307=0,0,ROUND($R315*$S$2*$C$2/$A307,2))</f>
        <v>7.04</v>
      </c>
      <c r="AH307" s="478">
        <f>$AG307*$A307</f>
        <v>7.04</v>
      </c>
      <c r="AI307" s="522">
        <f>$E307-$AG307</f>
        <v>41.99</v>
      </c>
      <c r="AJ307" s="522">
        <f>$A307*$AI307</f>
        <v>41.99</v>
      </c>
      <c r="AK307" s="523">
        <f>ROUND(($AG307+$AI307)*$A307,2)</f>
        <v>49.03</v>
      </c>
      <c r="AM307" s="524">
        <f>ROUND(R315,2)</f>
        <v>6.4</v>
      </c>
      <c r="AN307" s="525">
        <f>ROUND(T315,2)</f>
        <v>1.39</v>
      </c>
      <c r="AO307" s="526">
        <f>ROUND(AM307+AN307,2)*A307</f>
        <v>7.79</v>
      </c>
    </row>
    <row r="308" spans="1:41" s="518" customFormat="1" ht="13.2">
      <c r="A308" s="628"/>
      <c r="B308"/>
      <c r="C308" s="628"/>
      <c r="D308" s="629" t="s">
        <v>523</v>
      </c>
      <c r="F308" s="633"/>
      <c r="G308" s="3"/>
      <c r="H308" s="633"/>
      <c r="I308" s="634"/>
      <c r="J308" s="633"/>
      <c r="K308" s="633" t="s">
        <v>144</v>
      </c>
      <c r="L308" s="633"/>
      <c r="M308" s="633"/>
      <c r="N308" s="633"/>
      <c r="O308" s="633"/>
      <c r="P308" s="633"/>
      <c r="Q308" s="50"/>
      <c r="R308" s="527"/>
      <c r="S308" s="637"/>
      <c r="T308" s="633"/>
    </row>
    <row r="309" spans="1:41" s="649" customFormat="1" ht="13.2">
      <c r="A309" s="112">
        <v>1</v>
      </c>
      <c r="B309" s="649" t="s">
        <v>141</v>
      </c>
      <c r="D309" s="649" t="s">
        <v>482</v>
      </c>
      <c r="F309" s="649" t="s">
        <v>484</v>
      </c>
      <c r="G309" s="650" t="s">
        <v>483</v>
      </c>
      <c r="H309" s="651">
        <v>751</v>
      </c>
      <c r="I309" s="649" t="s">
        <v>364</v>
      </c>
      <c r="O309" s="652">
        <v>3</v>
      </c>
      <c r="P309" s="653"/>
      <c r="Q309" s="654">
        <v>0</v>
      </c>
      <c r="R309" s="655">
        <f t="shared" ref="R309:R313" si="58">$A309*Q309</f>
        <v>0</v>
      </c>
      <c r="S309" s="654">
        <v>0.75</v>
      </c>
      <c r="T309" s="656">
        <f t="shared" ref="T309:T313" si="59">$A309*S309*$T$1</f>
        <v>0.75</v>
      </c>
    </row>
    <row r="310" spans="1:41" s="649" customFormat="1" ht="13.2">
      <c r="A310" s="112">
        <v>2</v>
      </c>
      <c r="B310" s="649" t="s">
        <v>141</v>
      </c>
      <c r="D310" s="649" t="s">
        <v>377</v>
      </c>
      <c r="G310" s="650" t="s">
        <v>378</v>
      </c>
      <c r="H310" s="651">
        <v>875</v>
      </c>
      <c r="I310" s="649" t="s">
        <v>364</v>
      </c>
      <c r="K310" s="649" t="s">
        <v>379</v>
      </c>
      <c r="O310" s="652">
        <v>3</v>
      </c>
      <c r="P310" s="653">
        <v>34820</v>
      </c>
      <c r="Q310" s="654">
        <v>0.5</v>
      </c>
      <c r="R310" s="655">
        <f t="shared" si="58"/>
        <v>1</v>
      </c>
      <c r="S310" s="654">
        <v>0.05</v>
      </c>
      <c r="T310" s="656">
        <f t="shared" si="59"/>
        <v>0.1</v>
      </c>
    </row>
    <row r="311" spans="1:41" s="649" customFormat="1" ht="13.2">
      <c r="A311">
        <v>4</v>
      </c>
      <c r="B311" s="649" t="s">
        <v>141</v>
      </c>
      <c r="D311" s="649" t="s">
        <v>366</v>
      </c>
      <c r="G311" s="650" t="s">
        <v>367</v>
      </c>
      <c r="H311" s="651">
        <v>875</v>
      </c>
      <c r="I311" s="649" t="s">
        <v>364</v>
      </c>
      <c r="K311" s="649" t="s">
        <v>368</v>
      </c>
      <c r="O311" s="652">
        <v>1</v>
      </c>
      <c r="P311" s="653">
        <v>34669</v>
      </c>
      <c r="Q311" s="654">
        <v>0.03</v>
      </c>
      <c r="R311" s="655">
        <f t="shared" si="58"/>
        <v>0.12</v>
      </c>
      <c r="S311" s="654"/>
      <c r="T311" s="656">
        <f t="shared" si="59"/>
        <v>0</v>
      </c>
    </row>
    <row r="312" spans="1:41" s="649" customFormat="1" ht="13.2">
      <c r="A312">
        <v>4</v>
      </c>
      <c r="B312" s="649" t="s">
        <v>141</v>
      </c>
      <c r="D312" s="649" t="s">
        <v>369</v>
      </c>
      <c r="G312" s="650" t="s">
        <v>370</v>
      </c>
      <c r="H312" s="651">
        <v>875</v>
      </c>
      <c r="I312" s="649" t="s">
        <v>364</v>
      </c>
      <c r="K312" s="649" t="s">
        <v>371</v>
      </c>
      <c r="O312" s="652">
        <v>1</v>
      </c>
      <c r="P312" s="653">
        <v>34669</v>
      </c>
      <c r="Q312" s="654">
        <v>0.03</v>
      </c>
      <c r="R312" s="655">
        <f t="shared" si="58"/>
        <v>0.12</v>
      </c>
      <c r="S312" s="654"/>
      <c r="T312" s="656">
        <f t="shared" si="59"/>
        <v>0</v>
      </c>
    </row>
    <row r="313" spans="1:41" s="649" customFormat="1" ht="13.2">
      <c r="A313">
        <v>3</v>
      </c>
      <c r="B313" s="649" t="s">
        <v>387</v>
      </c>
      <c r="D313" s="649" t="s">
        <v>388</v>
      </c>
      <c r="G313" s="650" t="s">
        <v>389</v>
      </c>
      <c r="H313" s="651">
        <v>700</v>
      </c>
      <c r="I313" s="649" t="s">
        <v>390</v>
      </c>
      <c r="J313" s="649" t="s">
        <v>391</v>
      </c>
      <c r="O313" s="652">
        <v>1</v>
      </c>
      <c r="P313" s="653">
        <v>42213</v>
      </c>
      <c r="Q313" s="654">
        <f>0.86*2</f>
        <v>1.72</v>
      </c>
      <c r="R313" s="655">
        <f t="shared" si="58"/>
        <v>5.16</v>
      </c>
      <c r="S313" s="654">
        <v>0.18</v>
      </c>
      <c r="T313" s="656">
        <f t="shared" si="59"/>
        <v>0.54</v>
      </c>
    </row>
    <row r="314" spans="1:41" s="518" customFormat="1" ht="12">
      <c r="A314" s="638"/>
      <c r="B314" s="638"/>
      <c r="C314" s="638"/>
      <c r="D314" s="638"/>
      <c r="E314" s="638"/>
      <c r="F314" s="633"/>
      <c r="G314" s="638"/>
      <c r="H314" s="638"/>
      <c r="I314" s="517"/>
      <c r="J314" s="638"/>
      <c r="K314" s="638"/>
      <c r="L314" s="638"/>
      <c r="M314" s="638"/>
      <c r="N314" s="638"/>
      <c r="O314" s="638"/>
      <c r="P314" s="638"/>
      <c r="Q314" s="517"/>
      <c r="R314" s="639">
        <f t="shared" ref="R314" si="60">$A314*Q314</f>
        <v>0</v>
      </c>
      <c r="S314" s="517"/>
      <c r="T314" s="640">
        <f t="shared" ref="T314" si="61">$A314*S314*$T$1</f>
        <v>0</v>
      </c>
    </row>
    <row r="315" spans="1:41" s="518" customFormat="1" ht="12.6" thickBot="1">
      <c r="A315" s="641" t="s">
        <v>145</v>
      </c>
      <c r="B315" s="642">
        <f>(R314+T314)</f>
        <v>0</v>
      </c>
      <c r="C315" s="643"/>
      <c r="D315" s="643"/>
      <c r="E315" s="643"/>
      <c r="F315" s="644"/>
      <c r="G315" s="643" t="s">
        <v>146</v>
      </c>
      <c r="H315" s="643"/>
      <c r="I315" s="645"/>
      <c r="J315" s="643"/>
      <c r="K315" s="643" t="s">
        <v>3</v>
      </c>
      <c r="L315" s="646" t="s">
        <v>143</v>
      </c>
      <c r="M315" s="646"/>
      <c r="N315" s="646"/>
      <c r="O315" s="646"/>
      <c r="P315" s="646"/>
      <c r="Q315" s="647"/>
      <c r="R315" s="648">
        <f>SUM(R308:R314)</f>
        <v>6.4</v>
      </c>
      <c r="S315" s="643"/>
      <c r="T315" s="648">
        <f>SUM(T308:T314)</f>
        <v>1.3900000000000001</v>
      </c>
      <c r="U315" s="528"/>
      <c r="V315" s="528"/>
      <c r="W315" s="528"/>
      <c r="X315" s="528"/>
      <c r="Y315" s="528"/>
      <c r="Z315" s="528"/>
      <c r="AA315" s="528"/>
      <c r="AB315" s="528"/>
      <c r="AC315" s="528"/>
      <c r="AD315" s="528"/>
      <c r="AE315" s="528"/>
      <c r="AF315" s="528"/>
      <c r="AG315" s="528"/>
      <c r="AH315" s="528"/>
      <c r="AI315" s="528"/>
      <c r="AJ315" s="528"/>
      <c r="AK315" s="528"/>
      <c r="AL315" s="528"/>
      <c r="AM315" s="528"/>
      <c r="AN315" s="528"/>
      <c r="AO315" s="528"/>
    </row>
    <row r="316" spans="1:41" s="518" customFormat="1" ht="12" thickTop="1">
      <c r="A316" s="50"/>
      <c r="B316" s="41"/>
      <c r="C316" s="50"/>
      <c r="E316" s="42" t="s">
        <v>138</v>
      </c>
      <c r="F316" s="42" t="s">
        <v>139</v>
      </c>
      <c r="G316" s="50"/>
      <c r="H316" s="50"/>
      <c r="I316" s="50"/>
      <c r="J316" s="50"/>
      <c r="K316" s="50" t="s">
        <v>140</v>
      </c>
      <c r="L316" s="50"/>
      <c r="M316" s="50"/>
      <c r="N316" s="50"/>
      <c r="O316" s="51"/>
      <c r="P316" s="50"/>
      <c r="Q316" s="50"/>
      <c r="R316" s="50"/>
      <c r="S316" s="50"/>
      <c r="T316" s="41"/>
      <c r="AG316" s="625" t="s">
        <v>247</v>
      </c>
      <c r="AH316" s="625" t="s">
        <v>248</v>
      </c>
      <c r="AI316" s="625" t="s">
        <v>249</v>
      </c>
      <c r="AJ316" s="625" t="s">
        <v>250</v>
      </c>
      <c r="AK316" s="625" t="s">
        <v>251</v>
      </c>
      <c r="AM316" s="626" t="s">
        <v>260</v>
      </c>
      <c r="AN316" s="627" t="s">
        <v>261</v>
      </c>
      <c r="AO316" s="519" t="s">
        <v>257</v>
      </c>
    </row>
    <row r="317" spans="1:41" s="518" customFormat="1" ht="12" customHeight="1">
      <c r="A317" s="657">
        <v>1</v>
      </c>
      <c r="B317" s="520" t="s">
        <v>285</v>
      </c>
      <c r="C317" s="628"/>
      <c r="D317" s="629" t="s">
        <v>348</v>
      </c>
      <c r="E317" s="630">
        <f>IF(AND($A317=0,$A$1="DIF"),0, ROUND(ROUND(($R325*$S$2+($T325*$T$2))/A317,2)*$C$2,2))</f>
        <v>39.28</v>
      </c>
      <c r="F317" s="631">
        <f>ROUND($A317*$E317,2)</f>
        <v>39.28</v>
      </c>
      <c r="G317" s="632" t="s">
        <v>142</v>
      </c>
      <c r="H317" s="633"/>
      <c r="I317" s="634"/>
      <c r="J317" s="633"/>
      <c r="K317" s="633" t="s">
        <v>3</v>
      </c>
      <c r="L317" s="635" t="s">
        <v>143</v>
      </c>
      <c r="M317" s="635"/>
      <c r="N317" s="635"/>
      <c r="O317" s="635"/>
      <c r="P317" s="635"/>
      <c r="Q317" s="50"/>
      <c r="T317" s="636" t="str">
        <f>IF(AND($R325=0,$T325=0),"0.00","mu :" &amp; ROUND($F317/$C$2/($R325+$T325*$D$9),2))</f>
        <v>mu :1.1</v>
      </c>
      <c r="W317" s="521"/>
      <c r="AG317" s="478">
        <f>IF($E317=0,0,ROUND($R325*$S$2*$C$2/$A317,2))</f>
        <v>6.36</v>
      </c>
      <c r="AH317" s="478">
        <f>$AG317*$A317</f>
        <v>6.36</v>
      </c>
      <c r="AI317" s="522">
        <f>$E317-$AG317</f>
        <v>32.92</v>
      </c>
      <c r="AJ317" s="522">
        <f>$A317*$AI317</f>
        <v>32.92</v>
      </c>
      <c r="AK317" s="523">
        <f>ROUND(($AG317+$AI317)*$A317,2)</f>
        <v>39.28</v>
      </c>
      <c r="AM317" s="524">
        <f>ROUND(R325,2)</f>
        <v>5.78</v>
      </c>
      <c r="AN317" s="525">
        <f>ROUND(T325,2)</f>
        <v>1.0900000000000001</v>
      </c>
      <c r="AO317" s="526">
        <f>ROUND(AM317+AN317,2)*A317</f>
        <v>6.87</v>
      </c>
    </row>
    <row r="318" spans="1:41" s="518" customFormat="1" ht="13.2">
      <c r="A318" s="628"/>
      <c r="B318"/>
      <c r="C318" s="628"/>
      <c r="D318" s="629" t="s">
        <v>524</v>
      </c>
      <c r="F318" s="633"/>
      <c r="G318" s="3"/>
      <c r="H318" s="633"/>
      <c r="I318" s="634"/>
      <c r="J318" s="633"/>
      <c r="K318" s="633" t="s">
        <v>144</v>
      </c>
      <c r="L318" s="633"/>
      <c r="M318" s="633"/>
      <c r="N318" s="633"/>
      <c r="O318" s="633"/>
      <c r="P318" s="633"/>
      <c r="Q318" s="50"/>
      <c r="R318" s="527"/>
      <c r="S318" s="637"/>
      <c r="T318" s="633"/>
    </row>
    <row r="319" spans="1:41" s="649" customFormat="1" ht="13.2">
      <c r="A319" s="112">
        <v>1</v>
      </c>
      <c r="B319" s="649" t="s">
        <v>141</v>
      </c>
      <c r="D319" s="649" t="s">
        <v>486</v>
      </c>
      <c r="G319" s="650" t="s">
        <v>487</v>
      </c>
      <c r="H319" s="651">
        <v>751</v>
      </c>
      <c r="I319" s="649" t="s">
        <v>364</v>
      </c>
      <c r="M319" s="649">
        <v>0</v>
      </c>
      <c r="N319" s="649">
        <v>0</v>
      </c>
      <c r="O319" s="652">
        <v>3</v>
      </c>
      <c r="P319" s="653">
        <v>40822</v>
      </c>
      <c r="Q319" s="654">
        <v>0</v>
      </c>
      <c r="R319" s="655">
        <f>$A319*Q319</f>
        <v>0</v>
      </c>
      <c r="S319" s="654">
        <v>0.5</v>
      </c>
      <c r="T319" s="656">
        <f>$A319*S319*$T$1</f>
        <v>0.5</v>
      </c>
    </row>
    <row r="320" spans="1:41" s="649" customFormat="1" ht="13.2">
      <c r="A320" s="112">
        <v>1</v>
      </c>
      <c r="B320" s="649" t="s">
        <v>141</v>
      </c>
      <c r="D320" s="649" t="s">
        <v>377</v>
      </c>
      <c r="G320" s="650" t="s">
        <v>378</v>
      </c>
      <c r="H320" s="651">
        <v>875</v>
      </c>
      <c r="I320" s="649" t="s">
        <v>364</v>
      </c>
      <c r="K320" s="649" t="s">
        <v>379</v>
      </c>
      <c r="O320" s="652">
        <v>3</v>
      </c>
      <c r="P320" s="653">
        <v>34820</v>
      </c>
      <c r="Q320" s="654">
        <v>0.5</v>
      </c>
      <c r="R320" s="655">
        <f>$A320*Q320</f>
        <v>0.5</v>
      </c>
      <c r="S320" s="654">
        <v>0.05</v>
      </c>
      <c r="T320" s="656">
        <f>$A320*S320*$T$1</f>
        <v>0.05</v>
      </c>
    </row>
    <row r="321" spans="1:41" s="649" customFormat="1" ht="13.2">
      <c r="A321">
        <v>2</v>
      </c>
      <c r="B321" s="649" t="s">
        <v>141</v>
      </c>
      <c r="D321" s="649" t="s">
        <v>366</v>
      </c>
      <c r="G321" s="650" t="s">
        <v>367</v>
      </c>
      <c r="H321" s="651">
        <v>875</v>
      </c>
      <c r="I321" s="649" t="s">
        <v>364</v>
      </c>
      <c r="K321" s="649" t="s">
        <v>368</v>
      </c>
      <c r="O321" s="652">
        <v>1</v>
      </c>
      <c r="P321" s="653">
        <v>34669</v>
      </c>
      <c r="Q321" s="654">
        <v>0.03</v>
      </c>
      <c r="R321" s="655">
        <f>$A321*Q321</f>
        <v>0.06</v>
      </c>
      <c r="S321" s="654"/>
      <c r="T321" s="656">
        <f>$A321*S321*$T$1</f>
        <v>0</v>
      </c>
    </row>
    <row r="322" spans="1:41" s="649" customFormat="1" ht="13.2">
      <c r="A322">
        <v>2</v>
      </c>
      <c r="B322" s="649" t="s">
        <v>141</v>
      </c>
      <c r="D322" s="649" t="s">
        <v>369</v>
      </c>
      <c r="G322" s="650" t="s">
        <v>370</v>
      </c>
      <c r="H322" s="651">
        <v>875</v>
      </c>
      <c r="I322" s="649" t="s">
        <v>364</v>
      </c>
      <c r="K322" s="649" t="s">
        <v>371</v>
      </c>
      <c r="O322" s="652">
        <v>1</v>
      </c>
      <c r="P322" s="653">
        <v>34669</v>
      </c>
      <c r="Q322" s="654">
        <v>0.03</v>
      </c>
      <c r="R322" s="655">
        <f>$A322*Q322</f>
        <v>0.06</v>
      </c>
      <c r="S322" s="654"/>
      <c r="T322" s="656">
        <f>$A322*S322*$T$1</f>
        <v>0</v>
      </c>
    </row>
    <row r="323" spans="1:41" s="649" customFormat="1" ht="13.2">
      <c r="A323">
        <v>3</v>
      </c>
      <c r="B323" s="649" t="s">
        <v>387</v>
      </c>
      <c r="D323" s="649" t="s">
        <v>388</v>
      </c>
      <c r="G323" s="650" t="s">
        <v>389</v>
      </c>
      <c r="H323" s="651">
        <v>700</v>
      </c>
      <c r="I323" s="649" t="s">
        <v>390</v>
      </c>
      <c r="J323" s="649" t="s">
        <v>391</v>
      </c>
      <c r="O323" s="652">
        <v>1</v>
      </c>
      <c r="P323" s="653">
        <v>42213</v>
      </c>
      <c r="Q323" s="654">
        <f>0.86*2</f>
        <v>1.72</v>
      </c>
      <c r="R323" s="655">
        <f t="shared" ref="R323" si="62">$A323*Q323</f>
        <v>5.16</v>
      </c>
      <c r="S323" s="654">
        <v>0.18</v>
      </c>
      <c r="T323" s="656">
        <f t="shared" ref="T323" si="63">$A323*S323*$T$1</f>
        <v>0.54</v>
      </c>
    </row>
    <row r="324" spans="1:41" s="518" customFormat="1" ht="12">
      <c r="A324" s="638"/>
      <c r="B324" s="638"/>
      <c r="C324" s="638"/>
      <c r="D324" s="638"/>
      <c r="E324" s="638"/>
      <c r="F324" s="633"/>
      <c r="G324" s="638"/>
      <c r="H324" s="638"/>
      <c r="I324" s="517"/>
      <c r="J324" s="638"/>
      <c r="K324" s="638"/>
      <c r="L324" s="638"/>
      <c r="M324" s="638"/>
      <c r="N324" s="638"/>
      <c r="O324" s="638"/>
      <c r="P324" s="638"/>
      <c r="Q324" s="517"/>
      <c r="R324" s="639">
        <f t="shared" ref="R324" si="64">$A324*Q324</f>
        <v>0</v>
      </c>
      <c r="S324" s="517"/>
      <c r="T324" s="640">
        <f t="shared" ref="T324" si="65">$A324*S324*$T$1</f>
        <v>0</v>
      </c>
    </row>
    <row r="325" spans="1:41" s="518" customFormat="1" ht="12.6" thickBot="1">
      <c r="A325" s="641" t="s">
        <v>145</v>
      </c>
      <c r="B325" s="642">
        <f>(R324+T324)</f>
        <v>0</v>
      </c>
      <c r="C325" s="643"/>
      <c r="D325" s="643"/>
      <c r="E325" s="643"/>
      <c r="F325" s="644"/>
      <c r="G325" s="643" t="s">
        <v>146</v>
      </c>
      <c r="H325" s="643"/>
      <c r="I325" s="645"/>
      <c r="J325" s="643"/>
      <c r="K325" s="643" t="s">
        <v>3</v>
      </c>
      <c r="L325" s="646" t="s">
        <v>143</v>
      </c>
      <c r="M325" s="646"/>
      <c r="N325" s="646"/>
      <c r="O325" s="646"/>
      <c r="P325" s="646"/>
      <c r="Q325" s="647"/>
      <c r="R325" s="648">
        <f>SUM(R318:R324)</f>
        <v>5.78</v>
      </c>
      <c r="S325" s="643"/>
      <c r="T325" s="648">
        <f>SUM(T318:T324)</f>
        <v>1.0900000000000001</v>
      </c>
      <c r="U325" s="528"/>
      <c r="V325" s="528"/>
      <c r="W325" s="528"/>
      <c r="X325" s="528"/>
      <c r="Y325" s="528"/>
      <c r="Z325" s="528"/>
      <c r="AA325" s="528"/>
      <c r="AB325" s="528"/>
      <c r="AC325" s="528"/>
      <c r="AD325" s="528"/>
      <c r="AE325" s="528"/>
      <c r="AF325" s="528"/>
      <c r="AG325" s="528"/>
      <c r="AH325" s="528"/>
      <c r="AI325" s="528"/>
      <c r="AJ325" s="528"/>
      <c r="AK325" s="528"/>
      <c r="AL325" s="528"/>
      <c r="AM325" s="528"/>
      <c r="AN325" s="528"/>
      <c r="AO325" s="528"/>
    </row>
    <row r="326" spans="1:41" s="518" customFormat="1" thickTop="1">
      <c r="A326" s="50"/>
      <c r="B326" s="50"/>
      <c r="C326" s="3"/>
      <c r="D326" s="3"/>
      <c r="E326" s="50"/>
      <c r="F326" s="50"/>
      <c r="G326" s="50"/>
      <c r="H326" s="50"/>
      <c r="I326" s="50"/>
      <c r="J326" s="50"/>
      <c r="K326" s="50" t="s">
        <v>134</v>
      </c>
      <c r="L326" s="50"/>
      <c r="M326" s="50"/>
      <c r="N326" s="50"/>
      <c r="O326" s="51"/>
      <c r="P326" s="50"/>
      <c r="Q326" s="50"/>
      <c r="R326" s="50"/>
      <c r="S326" s="50"/>
      <c r="T326" s="50"/>
    </row>
    <row r="327" spans="1:41" s="518" customFormat="1" ht="12">
      <c r="A327" s="50"/>
      <c r="B327" s="50"/>
      <c r="C327" s="50" t="s">
        <v>135</v>
      </c>
      <c r="D327" s="37" t="s">
        <v>349</v>
      </c>
      <c r="E327" s="50"/>
      <c r="F327" s="50"/>
      <c r="G327" s="50"/>
      <c r="H327" s="50"/>
      <c r="I327" s="50"/>
      <c r="J327" s="50"/>
      <c r="K327" s="50"/>
      <c r="L327" s="50"/>
      <c r="M327" s="50"/>
      <c r="N327" s="50"/>
      <c r="O327" s="51"/>
      <c r="P327" s="50"/>
      <c r="Q327" s="50"/>
      <c r="R327" s="50"/>
      <c r="S327" s="50"/>
      <c r="T327" s="50"/>
    </row>
    <row r="328" spans="1:41" s="518" customFormat="1" ht="12">
      <c r="A328" s="50"/>
      <c r="B328" s="50"/>
      <c r="C328" s="50"/>
      <c r="D328" s="37" t="s">
        <v>350</v>
      </c>
      <c r="E328" s="50"/>
      <c r="F328" s="50"/>
      <c r="G328" s="50"/>
      <c r="H328" s="50"/>
      <c r="I328" s="50"/>
      <c r="J328" s="50"/>
      <c r="K328" s="50"/>
      <c r="L328" s="50"/>
      <c r="M328" s="50"/>
      <c r="N328" s="50"/>
      <c r="O328" s="51"/>
      <c r="P328" s="50"/>
      <c r="Q328" s="50"/>
      <c r="R328" s="50"/>
      <c r="S328" s="38"/>
      <c r="T328" s="38"/>
    </row>
    <row r="329" spans="1:41" s="3" customFormat="1" thickBot="1">
      <c r="A329" s="528"/>
      <c r="O329" s="103"/>
    </row>
    <row r="330" spans="1:41" s="518" customFormat="1" ht="12" thickTop="1">
      <c r="A330" s="50"/>
      <c r="B330" s="41"/>
      <c r="C330" s="50"/>
      <c r="E330" s="42" t="s">
        <v>138</v>
      </c>
      <c r="F330" s="42" t="s">
        <v>139</v>
      </c>
      <c r="G330" s="50"/>
      <c r="H330" s="50"/>
      <c r="I330" s="50"/>
      <c r="J330" s="50"/>
      <c r="K330" s="50" t="s">
        <v>140</v>
      </c>
      <c r="L330" s="50"/>
      <c r="M330" s="50"/>
      <c r="N330" s="50"/>
      <c r="O330" s="51"/>
      <c r="P330" s="50"/>
      <c r="Q330" s="50"/>
      <c r="R330" s="50"/>
      <c r="S330" s="50"/>
      <c r="T330" s="41"/>
      <c r="AG330" s="625" t="s">
        <v>247</v>
      </c>
      <c r="AH330" s="625" t="s">
        <v>248</v>
      </c>
      <c r="AI330" s="625" t="s">
        <v>249</v>
      </c>
      <c r="AJ330" s="625" t="s">
        <v>250</v>
      </c>
      <c r="AK330" s="625" t="s">
        <v>251</v>
      </c>
      <c r="AM330" s="626" t="s">
        <v>260</v>
      </c>
      <c r="AN330" s="627" t="s">
        <v>261</v>
      </c>
      <c r="AO330" s="519" t="s">
        <v>257</v>
      </c>
    </row>
    <row r="331" spans="1:41" s="518" customFormat="1" ht="12" customHeight="1">
      <c r="A331" s="657">
        <v>7</v>
      </c>
      <c r="B331" s="520" t="s">
        <v>285</v>
      </c>
      <c r="C331" s="628"/>
      <c r="D331" s="629" t="s">
        <v>351</v>
      </c>
      <c r="E331" s="630">
        <f>IF(AND($A331=0,$A$1="DIF"),0, ROUND(ROUND(($R340*$S$2+($T340*$T$2))/A331,2)*$C$2,2))</f>
        <v>51.19</v>
      </c>
      <c r="F331" s="631">
        <f>ROUND($A331*$E331,2)</f>
        <v>358.33</v>
      </c>
      <c r="G331" s="632" t="s">
        <v>142</v>
      </c>
      <c r="H331" s="633"/>
      <c r="I331" s="634"/>
      <c r="J331" s="633"/>
      <c r="K331" s="633" t="s">
        <v>3</v>
      </c>
      <c r="L331" s="635" t="s">
        <v>143</v>
      </c>
      <c r="M331" s="635"/>
      <c r="N331" s="635"/>
      <c r="O331" s="635"/>
      <c r="P331" s="635"/>
      <c r="Q331" s="50"/>
      <c r="T331" s="636" t="str">
        <f>IF(AND($R340=0,$T340=0),"0.00","mu :" &amp; ROUND($F331/$C$2/($R340+$T340*$D$9),2))</f>
        <v>mu :1.1</v>
      </c>
      <c r="W331" s="521"/>
      <c r="AG331" s="478">
        <f>IF($E331=0,0,ROUND($R340*$S$2*$C$2/$A331,2))</f>
        <v>17.36</v>
      </c>
      <c r="AH331" s="478">
        <f>$AG331*$A331</f>
        <v>121.52</v>
      </c>
      <c r="AI331" s="522">
        <f>$E331-$AG331</f>
        <v>33.83</v>
      </c>
      <c r="AJ331" s="522">
        <f>$A331*$AI331</f>
        <v>236.81</v>
      </c>
      <c r="AK331" s="523">
        <f>ROUND(($AG331+$AI331)*$A331,2)</f>
        <v>358.33</v>
      </c>
      <c r="AM331" s="524">
        <f>ROUND(R340,2)</f>
        <v>110.46</v>
      </c>
      <c r="AN331" s="525">
        <f>ROUND(T340,2)</f>
        <v>7.84</v>
      </c>
      <c r="AO331" s="526">
        <f>ROUND(AM331+AN331,2)*A331</f>
        <v>828.1</v>
      </c>
    </row>
    <row r="332" spans="1:41" s="518" customFormat="1" ht="13.2">
      <c r="A332" s="628"/>
      <c r="B332"/>
      <c r="C332" s="628"/>
      <c r="D332" s="629" t="s">
        <v>521</v>
      </c>
      <c r="F332" s="633"/>
      <c r="G332" s="3"/>
      <c r="H332" s="633"/>
      <c r="I332" s="634"/>
      <c r="J332" s="633"/>
      <c r="K332" s="633" t="s">
        <v>144</v>
      </c>
      <c r="L332" s="633"/>
      <c r="M332" s="633"/>
      <c r="N332" s="633"/>
      <c r="O332" s="633"/>
      <c r="P332" s="633"/>
      <c r="Q332" s="50"/>
      <c r="R332" s="527"/>
      <c r="S332" s="637"/>
      <c r="T332" s="633"/>
    </row>
    <row r="333" spans="1:41" s="649" customFormat="1" ht="13.2">
      <c r="A333" s="112">
        <v>7</v>
      </c>
      <c r="B333" s="649" t="s">
        <v>141</v>
      </c>
      <c r="D333" s="649" t="s">
        <v>488</v>
      </c>
      <c r="G333" s="650" t="s">
        <v>489</v>
      </c>
      <c r="H333" s="651">
        <v>865</v>
      </c>
      <c r="I333" s="649" t="s">
        <v>364</v>
      </c>
      <c r="O333" s="652">
        <v>3</v>
      </c>
      <c r="P333" s="653"/>
      <c r="Q333" s="654"/>
      <c r="R333" s="655">
        <f t="shared" ref="R333:R338" si="66">$A333*Q333</f>
        <v>0</v>
      </c>
      <c r="S333" s="654">
        <v>0.5</v>
      </c>
      <c r="T333" s="656">
        <f t="shared" ref="T333:T338" si="67">$A333*S333*$T$1</f>
        <v>3.5</v>
      </c>
    </row>
    <row r="334" spans="1:41" s="649" customFormat="1" ht="13.2">
      <c r="A334" s="112">
        <v>7</v>
      </c>
      <c r="B334" s="649" t="s">
        <v>141</v>
      </c>
      <c r="D334" s="649" t="s">
        <v>377</v>
      </c>
      <c r="G334" s="650" t="s">
        <v>378</v>
      </c>
      <c r="H334" s="651">
        <v>875</v>
      </c>
      <c r="I334" s="649" t="s">
        <v>364</v>
      </c>
      <c r="K334" s="649" t="s">
        <v>379</v>
      </c>
      <c r="O334" s="652">
        <v>3</v>
      </c>
      <c r="P334" s="653">
        <v>34820</v>
      </c>
      <c r="Q334" s="654">
        <v>0.5</v>
      </c>
      <c r="R334" s="655">
        <f t="shared" si="66"/>
        <v>3.5</v>
      </c>
      <c r="S334" s="654">
        <v>0.05</v>
      </c>
      <c r="T334" s="656">
        <f t="shared" si="67"/>
        <v>0.35000000000000003</v>
      </c>
    </row>
    <row r="335" spans="1:41" s="649" customFormat="1" ht="13.2">
      <c r="A335">
        <v>14</v>
      </c>
      <c r="B335" s="649" t="s">
        <v>141</v>
      </c>
      <c r="D335" s="649" t="s">
        <v>366</v>
      </c>
      <c r="G335" s="650" t="s">
        <v>367</v>
      </c>
      <c r="H335" s="651">
        <v>875</v>
      </c>
      <c r="I335" s="649" t="s">
        <v>364</v>
      </c>
      <c r="K335" s="649" t="s">
        <v>368</v>
      </c>
      <c r="O335" s="652">
        <v>1</v>
      </c>
      <c r="P335" s="653">
        <v>34669</v>
      </c>
      <c r="Q335" s="654">
        <v>0.03</v>
      </c>
      <c r="R335" s="655">
        <f t="shared" si="66"/>
        <v>0.42</v>
      </c>
      <c r="S335" s="654"/>
      <c r="T335" s="656">
        <f t="shared" si="67"/>
        <v>0</v>
      </c>
    </row>
    <row r="336" spans="1:41" s="649" customFormat="1" ht="13.2">
      <c r="A336">
        <v>14</v>
      </c>
      <c r="B336" s="649" t="s">
        <v>141</v>
      </c>
      <c r="D336" s="649" t="s">
        <v>369</v>
      </c>
      <c r="G336" s="650" t="s">
        <v>370</v>
      </c>
      <c r="H336" s="651">
        <v>875</v>
      </c>
      <c r="I336" s="649" t="s">
        <v>364</v>
      </c>
      <c r="K336" s="649" t="s">
        <v>371</v>
      </c>
      <c r="O336" s="652">
        <v>1</v>
      </c>
      <c r="P336" s="653">
        <v>34669</v>
      </c>
      <c r="Q336" s="654">
        <v>0.03</v>
      </c>
      <c r="R336" s="655">
        <f t="shared" si="66"/>
        <v>0.42</v>
      </c>
      <c r="S336" s="654"/>
      <c r="T336" s="656">
        <f t="shared" si="67"/>
        <v>0</v>
      </c>
    </row>
    <row r="337" spans="1:41" s="649" customFormat="1" ht="13.2">
      <c r="A337" s="112">
        <v>7</v>
      </c>
      <c r="B337" s="649" t="s">
        <v>141</v>
      </c>
      <c r="D337" s="649" t="s">
        <v>417</v>
      </c>
      <c r="G337" s="650" t="s">
        <v>418</v>
      </c>
      <c r="H337" s="651">
        <v>821</v>
      </c>
      <c r="I337" s="649" t="s">
        <v>364</v>
      </c>
      <c r="O337" s="652">
        <v>3</v>
      </c>
      <c r="P337" s="653"/>
      <c r="Q337" s="654">
        <v>10</v>
      </c>
      <c r="R337" s="655">
        <f t="shared" si="66"/>
        <v>70</v>
      </c>
      <c r="S337" s="654">
        <v>0.03</v>
      </c>
      <c r="T337" s="656">
        <f t="shared" si="67"/>
        <v>0.21</v>
      </c>
    </row>
    <row r="338" spans="1:41" s="649" customFormat="1" ht="13.2">
      <c r="A338">
        <v>21</v>
      </c>
      <c r="B338" s="649" t="s">
        <v>387</v>
      </c>
      <c r="D338" s="649" t="s">
        <v>388</v>
      </c>
      <c r="G338" s="650" t="s">
        <v>389</v>
      </c>
      <c r="H338" s="651">
        <v>700</v>
      </c>
      <c r="I338" s="649" t="s">
        <v>390</v>
      </c>
      <c r="J338" s="649" t="s">
        <v>391</v>
      </c>
      <c r="O338" s="652">
        <v>1</v>
      </c>
      <c r="P338" s="653">
        <v>42213</v>
      </c>
      <c r="Q338" s="654">
        <f>0.86*2</f>
        <v>1.72</v>
      </c>
      <c r="R338" s="655">
        <f t="shared" si="66"/>
        <v>36.119999999999997</v>
      </c>
      <c r="S338" s="654">
        <v>0.18</v>
      </c>
      <c r="T338" s="656">
        <f t="shared" si="67"/>
        <v>3.78</v>
      </c>
    </row>
    <row r="339" spans="1:41" s="518" customFormat="1" ht="12">
      <c r="A339" s="638"/>
      <c r="B339" s="638"/>
      <c r="C339" s="638"/>
      <c r="D339" s="638"/>
      <c r="E339" s="638"/>
      <c r="F339" s="633"/>
      <c r="G339" s="638"/>
      <c r="H339" s="638"/>
      <c r="I339" s="517"/>
      <c r="J339" s="638"/>
      <c r="K339" s="638"/>
      <c r="L339" s="638"/>
      <c r="M339" s="638"/>
      <c r="N339" s="638"/>
      <c r="O339" s="638"/>
      <c r="P339" s="638"/>
      <c r="Q339" s="517"/>
      <c r="R339" s="639">
        <f t="shared" ref="R339" si="68">$A339*Q339</f>
        <v>0</v>
      </c>
      <c r="S339" s="517"/>
      <c r="T339" s="640">
        <f t="shared" ref="T339" si="69">$A339*S339*$T$1</f>
        <v>0</v>
      </c>
    </row>
    <row r="340" spans="1:41" s="518" customFormat="1" ht="12.6" thickBot="1">
      <c r="A340" s="641" t="s">
        <v>145</v>
      </c>
      <c r="B340" s="642">
        <f>(R339+T339)</f>
        <v>0</v>
      </c>
      <c r="C340" s="643"/>
      <c r="D340" s="643"/>
      <c r="E340" s="643"/>
      <c r="F340" s="644"/>
      <c r="G340" s="643" t="s">
        <v>146</v>
      </c>
      <c r="H340" s="643"/>
      <c r="I340" s="645"/>
      <c r="J340" s="643"/>
      <c r="K340" s="643" t="s">
        <v>3</v>
      </c>
      <c r="L340" s="646" t="s">
        <v>143</v>
      </c>
      <c r="M340" s="646"/>
      <c r="N340" s="646"/>
      <c r="O340" s="646"/>
      <c r="P340" s="646"/>
      <c r="Q340" s="647"/>
      <c r="R340" s="648">
        <f>SUM(R332:R339)</f>
        <v>110.46000000000001</v>
      </c>
      <c r="S340" s="643"/>
      <c r="T340" s="648">
        <f>SUM(T332:T339)</f>
        <v>7.84</v>
      </c>
      <c r="U340" s="528"/>
      <c r="V340" s="528"/>
      <c r="W340" s="528"/>
      <c r="X340" s="528"/>
      <c r="Y340" s="528"/>
      <c r="Z340" s="528"/>
      <c r="AA340" s="528"/>
      <c r="AB340" s="528"/>
      <c r="AC340" s="528"/>
      <c r="AD340" s="528"/>
      <c r="AE340" s="528"/>
      <c r="AF340" s="528"/>
      <c r="AG340" s="528"/>
      <c r="AH340" s="528"/>
      <c r="AI340" s="528"/>
      <c r="AJ340" s="528"/>
      <c r="AK340" s="528"/>
      <c r="AL340" s="528"/>
      <c r="AM340" s="528"/>
      <c r="AN340" s="528"/>
      <c r="AO340" s="528"/>
    </row>
    <row r="341" spans="1:41" s="518" customFormat="1" ht="12" thickTop="1">
      <c r="A341" s="50"/>
      <c r="B341" s="41"/>
      <c r="C341" s="50"/>
      <c r="E341" s="42" t="s">
        <v>138</v>
      </c>
      <c r="F341" s="42" t="s">
        <v>139</v>
      </c>
      <c r="G341" s="50"/>
      <c r="H341" s="50"/>
      <c r="I341" s="50"/>
      <c r="J341" s="50"/>
      <c r="K341" s="50" t="s">
        <v>140</v>
      </c>
      <c r="L341" s="50"/>
      <c r="M341" s="50"/>
      <c r="N341" s="50"/>
      <c r="O341" s="51"/>
      <c r="P341" s="50"/>
      <c r="Q341" s="50"/>
      <c r="R341" s="50"/>
      <c r="S341" s="50"/>
      <c r="T341" s="41"/>
      <c r="AG341" s="625" t="s">
        <v>247</v>
      </c>
      <c r="AH341" s="625" t="s">
        <v>248</v>
      </c>
      <c r="AI341" s="625" t="s">
        <v>249</v>
      </c>
      <c r="AJ341" s="625" t="s">
        <v>250</v>
      </c>
      <c r="AK341" s="625" t="s">
        <v>251</v>
      </c>
      <c r="AM341" s="626" t="s">
        <v>260</v>
      </c>
      <c r="AN341" s="627" t="s">
        <v>261</v>
      </c>
      <c r="AO341" s="519" t="s">
        <v>257</v>
      </c>
    </row>
    <row r="342" spans="1:41" s="518" customFormat="1" ht="12" customHeight="1">
      <c r="A342" s="657">
        <v>3</v>
      </c>
      <c r="B342" s="520" t="s">
        <v>285</v>
      </c>
      <c r="C342" s="628"/>
      <c r="D342" s="629" t="s">
        <v>352</v>
      </c>
      <c r="E342" s="630">
        <f>IF(AND($A342=0,$A$1="DIF"),0, ROUND(ROUND(($R351*$S$2+($T351*$T$2))/A342,2)*$C$2,2))</f>
        <v>65.849999999999994</v>
      </c>
      <c r="F342" s="631">
        <f>ROUND($A342*$E342,2)</f>
        <v>197.55</v>
      </c>
      <c r="G342" s="632" t="s">
        <v>142</v>
      </c>
      <c r="H342" s="633"/>
      <c r="I342" s="634"/>
      <c r="J342" s="633"/>
      <c r="K342" s="633" t="s">
        <v>3</v>
      </c>
      <c r="L342" s="635" t="s">
        <v>143</v>
      </c>
      <c r="M342" s="635"/>
      <c r="N342" s="635"/>
      <c r="O342" s="635"/>
      <c r="P342" s="635"/>
      <c r="Q342" s="50"/>
      <c r="T342" s="636" t="str">
        <f>IF(AND($R351=0,$T351=0),"0.00","mu :" &amp; ROUND($F342/$C$2/($R351+$T351*$D$9),2))</f>
        <v>mu :1.1</v>
      </c>
      <c r="W342" s="521"/>
      <c r="AG342" s="478">
        <f>IF($E342=0,0,ROUND($R351*$S$2*$C$2/$A342,2))</f>
        <v>21.14</v>
      </c>
      <c r="AH342" s="478">
        <f>$AG342*$A342</f>
        <v>63.42</v>
      </c>
      <c r="AI342" s="522">
        <f>$E342-$AG342</f>
        <v>44.709999999999994</v>
      </c>
      <c r="AJ342" s="522">
        <f>$A342*$AI342</f>
        <v>134.13</v>
      </c>
      <c r="AK342" s="523">
        <f>ROUND(($AG342+$AI342)*$A342,2)</f>
        <v>197.55</v>
      </c>
      <c r="AM342" s="524">
        <f>ROUND(R351,2)</f>
        <v>57.66</v>
      </c>
      <c r="AN342" s="525">
        <f>ROUND(T351,2)</f>
        <v>4.4400000000000004</v>
      </c>
      <c r="AO342" s="526">
        <f>ROUND(AM342+AN342,2)*A342</f>
        <v>186.3</v>
      </c>
    </row>
    <row r="343" spans="1:41" s="518" customFormat="1" ht="13.2">
      <c r="A343" s="628"/>
      <c r="B343"/>
      <c r="C343" s="628"/>
      <c r="D343" s="629" t="s">
        <v>522</v>
      </c>
      <c r="F343" s="633"/>
      <c r="G343" s="3"/>
      <c r="H343" s="633"/>
      <c r="I343" s="634"/>
      <c r="J343" s="633"/>
      <c r="K343" s="633" t="s">
        <v>144</v>
      </c>
      <c r="L343" s="633"/>
      <c r="M343" s="633"/>
      <c r="N343" s="633"/>
      <c r="O343" s="633"/>
      <c r="P343" s="633"/>
      <c r="Q343" s="50"/>
      <c r="R343" s="527"/>
      <c r="S343" s="637"/>
      <c r="T343" s="633"/>
    </row>
    <row r="344" spans="1:41" s="649" customFormat="1" ht="13.2">
      <c r="A344" s="112">
        <v>3</v>
      </c>
      <c r="B344" s="649" t="s">
        <v>141</v>
      </c>
      <c r="D344" s="649" t="s">
        <v>488</v>
      </c>
      <c r="G344" s="650" t="s">
        <v>489</v>
      </c>
      <c r="H344" s="651">
        <v>865</v>
      </c>
      <c r="I344" s="649" t="s">
        <v>364</v>
      </c>
      <c r="O344" s="652">
        <v>3</v>
      </c>
      <c r="P344" s="653"/>
      <c r="Q344" s="654"/>
      <c r="R344" s="655">
        <f t="shared" ref="R344:R349" si="70">$A344*Q344</f>
        <v>0</v>
      </c>
      <c r="S344" s="654">
        <v>0.5</v>
      </c>
      <c r="T344" s="656">
        <f t="shared" ref="T344:T349" si="71">$A344*S344*$T$1</f>
        <v>1.5</v>
      </c>
    </row>
    <row r="345" spans="1:41" s="649" customFormat="1" ht="13.2">
      <c r="A345" s="112">
        <v>3</v>
      </c>
      <c r="B345" s="649" t="s">
        <v>141</v>
      </c>
      <c r="D345" s="649" t="s">
        <v>377</v>
      </c>
      <c r="G345" s="650" t="s">
        <v>378</v>
      </c>
      <c r="H345" s="651">
        <v>875</v>
      </c>
      <c r="I345" s="649" t="s">
        <v>364</v>
      </c>
      <c r="K345" s="649" t="s">
        <v>379</v>
      </c>
      <c r="O345" s="652">
        <v>3</v>
      </c>
      <c r="P345" s="653">
        <v>34820</v>
      </c>
      <c r="Q345" s="654">
        <v>0.5</v>
      </c>
      <c r="R345" s="655">
        <f t="shared" si="70"/>
        <v>1.5</v>
      </c>
      <c r="S345" s="654">
        <v>0.05</v>
      </c>
      <c r="T345" s="656">
        <f t="shared" si="71"/>
        <v>0.15000000000000002</v>
      </c>
    </row>
    <row r="346" spans="1:41" s="649" customFormat="1" ht="13.2">
      <c r="A346">
        <v>6</v>
      </c>
      <c r="B346" s="649" t="s">
        <v>141</v>
      </c>
      <c r="D346" s="649" t="s">
        <v>366</v>
      </c>
      <c r="G346" s="650" t="s">
        <v>367</v>
      </c>
      <c r="H346" s="651">
        <v>875</v>
      </c>
      <c r="I346" s="649" t="s">
        <v>364</v>
      </c>
      <c r="K346" s="649" t="s">
        <v>368</v>
      </c>
      <c r="O346" s="652">
        <v>1</v>
      </c>
      <c r="P346" s="653">
        <v>34669</v>
      </c>
      <c r="Q346" s="654">
        <v>0.03</v>
      </c>
      <c r="R346" s="655">
        <f t="shared" si="70"/>
        <v>0.18</v>
      </c>
      <c r="S346" s="654"/>
      <c r="T346" s="656">
        <f t="shared" si="71"/>
        <v>0</v>
      </c>
    </row>
    <row r="347" spans="1:41" s="649" customFormat="1" ht="13.2">
      <c r="A347">
        <v>6</v>
      </c>
      <c r="B347" s="649" t="s">
        <v>141</v>
      </c>
      <c r="D347" s="649" t="s">
        <v>369</v>
      </c>
      <c r="G347" s="650" t="s">
        <v>370</v>
      </c>
      <c r="H347" s="651">
        <v>875</v>
      </c>
      <c r="I347" s="649" t="s">
        <v>364</v>
      </c>
      <c r="K347" s="649" t="s">
        <v>371</v>
      </c>
      <c r="O347" s="652">
        <v>1</v>
      </c>
      <c r="P347" s="653">
        <v>34669</v>
      </c>
      <c r="Q347" s="654">
        <v>0.03</v>
      </c>
      <c r="R347" s="655">
        <f t="shared" si="70"/>
        <v>0.18</v>
      </c>
      <c r="S347" s="654"/>
      <c r="T347" s="656">
        <f t="shared" si="71"/>
        <v>0</v>
      </c>
    </row>
    <row r="348" spans="1:41" s="649" customFormat="1" ht="13.2">
      <c r="A348" s="112">
        <v>3</v>
      </c>
      <c r="B348" s="649" t="s">
        <v>141</v>
      </c>
      <c r="D348" s="649" t="s">
        <v>417</v>
      </c>
      <c r="G348" s="650" t="s">
        <v>418</v>
      </c>
      <c r="H348" s="651">
        <v>821</v>
      </c>
      <c r="I348" s="649" t="s">
        <v>364</v>
      </c>
      <c r="O348" s="652">
        <v>3</v>
      </c>
      <c r="P348" s="653"/>
      <c r="Q348" s="654">
        <v>10</v>
      </c>
      <c r="R348" s="655">
        <f t="shared" si="70"/>
        <v>30</v>
      </c>
      <c r="S348" s="654">
        <v>0.03</v>
      </c>
      <c r="T348" s="656">
        <f t="shared" si="71"/>
        <v>0.09</v>
      </c>
    </row>
    <row r="349" spans="1:41" s="649" customFormat="1" ht="13.2">
      <c r="A349">
        <v>15</v>
      </c>
      <c r="B349" s="649" t="s">
        <v>387</v>
      </c>
      <c r="D349" s="649" t="s">
        <v>388</v>
      </c>
      <c r="G349" s="650" t="s">
        <v>389</v>
      </c>
      <c r="H349" s="651">
        <v>700</v>
      </c>
      <c r="I349" s="649" t="s">
        <v>390</v>
      </c>
      <c r="J349" s="649" t="s">
        <v>391</v>
      </c>
      <c r="O349" s="652">
        <v>1</v>
      </c>
      <c r="P349" s="653">
        <v>42213</v>
      </c>
      <c r="Q349" s="654">
        <f>0.86*2</f>
        <v>1.72</v>
      </c>
      <c r="R349" s="655">
        <f t="shared" si="70"/>
        <v>25.8</v>
      </c>
      <c r="S349" s="654">
        <v>0.18</v>
      </c>
      <c r="T349" s="656">
        <f t="shared" si="71"/>
        <v>2.6999999999999997</v>
      </c>
    </row>
    <row r="350" spans="1:41" s="518" customFormat="1" ht="12">
      <c r="A350" s="638"/>
      <c r="B350" s="638"/>
      <c r="C350" s="638"/>
      <c r="D350" s="638"/>
      <c r="E350" s="638"/>
      <c r="F350" s="633"/>
      <c r="G350" s="638"/>
      <c r="H350" s="638"/>
      <c r="I350" s="517"/>
      <c r="J350" s="638"/>
      <c r="K350" s="638"/>
      <c r="L350" s="638"/>
      <c r="M350" s="638"/>
      <c r="N350" s="638"/>
      <c r="O350" s="638"/>
      <c r="P350" s="638"/>
      <c r="Q350" s="517"/>
      <c r="R350" s="639">
        <f t="shared" ref="R350" si="72">$A350*Q350</f>
        <v>0</v>
      </c>
      <c r="S350" s="517"/>
      <c r="T350" s="640">
        <f t="shared" ref="T350" si="73">$A350*S350*$T$1</f>
        <v>0</v>
      </c>
    </row>
    <row r="351" spans="1:41" s="518" customFormat="1" ht="12.6" thickBot="1">
      <c r="A351" s="641" t="s">
        <v>145</v>
      </c>
      <c r="B351" s="642">
        <f>(R350+T350)</f>
        <v>0</v>
      </c>
      <c r="C351" s="643"/>
      <c r="D351" s="643"/>
      <c r="E351" s="643"/>
      <c r="F351" s="644"/>
      <c r="G351" s="643" t="s">
        <v>146</v>
      </c>
      <c r="H351" s="643"/>
      <c r="I351" s="645"/>
      <c r="J351" s="643"/>
      <c r="K351" s="643" t="s">
        <v>3</v>
      </c>
      <c r="L351" s="646" t="s">
        <v>143</v>
      </c>
      <c r="M351" s="646"/>
      <c r="N351" s="646"/>
      <c r="O351" s="646"/>
      <c r="P351" s="646"/>
      <c r="Q351" s="647"/>
      <c r="R351" s="648">
        <f>SUM(R343:R350)</f>
        <v>57.66</v>
      </c>
      <c r="S351" s="643"/>
      <c r="T351" s="648">
        <f>SUM(T343:T350)</f>
        <v>4.4399999999999995</v>
      </c>
      <c r="U351" s="528"/>
      <c r="V351" s="528"/>
      <c r="W351" s="528"/>
      <c r="X351" s="528"/>
      <c r="Y351" s="528"/>
      <c r="Z351" s="528"/>
      <c r="AA351" s="528"/>
      <c r="AB351" s="528"/>
      <c r="AC351" s="528"/>
      <c r="AD351" s="528"/>
      <c r="AE351" s="528"/>
      <c r="AF351" s="528"/>
      <c r="AG351" s="528"/>
      <c r="AH351" s="528"/>
      <c r="AI351" s="528"/>
      <c r="AJ351" s="528"/>
      <c r="AK351" s="528"/>
      <c r="AL351" s="528"/>
      <c r="AM351" s="528"/>
      <c r="AN351" s="528"/>
      <c r="AO351" s="528"/>
    </row>
    <row r="352" spans="1:41" s="518" customFormat="1" thickTop="1">
      <c r="A352" s="50"/>
      <c r="B352" s="50"/>
      <c r="C352" s="3"/>
      <c r="D352" s="3"/>
      <c r="E352" s="50"/>
      <c r="F352" s="50"/>
      <c r="G352" s="50"/>
      <c r="H352" s="50"/>
      <c r="I352" s="50"/>
      <c r="J352" s="50"/>
      <c r="K352" s="50" t="s">
        <v>134</v>
      </c>
      <c r="L352" s="50"/>
      <c r="M352" s="50"/>
      <c r="N352" s="50"/>
      <c r="O352" s="51"/>
      <c r="P352" s="50"/>
      <c r="Q352" s="50"/>
      <c r="R352" s="50"/>
      <c r="S352" s="50"/>
      <c r="T352" s="50"/>
    </row>
    <row r="353" spans="1:41" s="518" customFormat="1" ht="12">
      <c r="A353" s="50"/>
      <c r="B353" s="50"/>
      <c r="C353" s="50" t="s">
        <v>135</v>
      </c>
      <c r="D353" s="37" t="s">
        <v>353</v>
      </c>
      <c r="E353" s="50"/>
      <c r="F353" s="50"/>
      <c r="G353" s="50"/>
      <c r="H353" s="50"/>
      <c r="I353" s="50"/>
      <c r="J353" s="50"/>
      <c r="K353" s="50"/>
      <c r="L353" s="50"/>
      <c r="M353" s="50"/>
      <c r="N353" s="50"/>
      <c r="O353" s="51"/>
      <c r="P353" s="50"/>
      <c r="Q353" s="50"/>
      <c r="R353" s="50"/>
      <c r="S353" s="50"/>
      <c r="T353" s="50"/>
    </row>
    <row r="354" spans="1:41" s="518" customFormat="1" ht="12">
      <c r="A354" s="50"/>
      <c r="B354" s="50"/>
      <c r="C354" s="50"/>
      <c r="D354" s="37" t="s">
        <v>525</v>
      </c>
      <c r="E354" s="50"/>
      <c r="F354" s="50"/>
      <c r="G354" s="50"/>
      <c r="H354" s="50"/>
      <c r="I354" s="50"/>
      <c r="J354" s="50"/>
      <c r="K354" s="50"/>
      <c r="L354" s="50"/>
      <c r="M354" s="50"/>
      <c r="N354" s="50"/>
      <c r="O354" s="51"/>
      <c r="P354" s="50"/>
      <c r="Q354" s="50"/>
      <c r="R354" s="50"/>
      <c r="S354" s="38"/>
      <c r="T354" s="38"/>
    </row>
    <row r="355" spans="1:41" s="3" customFormat="1" thickBot="1">
      <c r="A355" s="528"/>
      <c r="O355" s="103"/>
    </row>
    <row r="356" spans="1:41" s="518" customFormat="1" ht="12" thickTop="1">
      <c r="A356" s="50"/>
      <c r="B356" s="41"/>
      <c r="C356" s="50"/>
      <c r="E356" s="42" t="s">
        <v>138</v>
      </c>
      <c r="F356" s="42" t="s">
        <v>139</v>
      </c>
      <c r="G356" s="50"/>
      <c r="H356" s="50"/>
      <c r="I356" s="50"/>
      <c r="J356" s="50"/>
      <c r="K356" s="50" t="s">
        <v>140</v>
      </c>
      <c r="L356" s="50"/>
      <c r="M356" s="50"/>
      <c r="N356" s="50"/>
      <c r="O356" s="51"/>
      <c r="P356" s="50"/>
      <c r="Q356" s="50"/>
      <c r="R356" s="50"/>
      <c r="S356" s="50"/>
      <c r="T356" s="41"/>
      <c r="AG356" s="625" t="s">
        <v>247</v>
      </c>
      <c r="AH356" s="625" t="s">
        <v>248</v>
      </c>
      <c r="AI356" s="625" t="s">
        <v>249</v>
      </c>
      <c r="AJ356" s="625" t="s">
        <v>250</v>
      </c>
      <c r="AK356" s="625" t="s">
        <v>251</v>
      </c>
      <c r="AM356" s="626" t="s">
        <v>260</v>
      </c>
      <c r="AN356" s="627" t="s">
        <v>261</v>
      </c>
      <c r="AO356" s="519" t="s">
        <v>257</v>
      </c>
    </row>
    <row r="357" spans="1:41" s="518" customFormat="1" ht="12" customHeight="1">
      <c r="A357" s="657">
        <v>1</v>
      </c>
      <c r="B357" s="520" t="s">
        <v>355</v>
      </c>
      <c r="C357" s="628"/>
      <c r="D357" s="629" t="s">
        <v>354</v>
      </c>
      <c r="E357" s="630">
        <f>IF(AND($A357=0,$A$1="DIF"),0, ROUND(ROUND(($R362*$S$2+($T362*$T$2))/A357,2)*$C$2,2))</f>
        <v>2150.5</v>
      </c>
      <c r="F357" s="631">
        <f>ROUND($A357*$E357,2)</f>
        <v>2150.5</v>
      </c>
      <c r="G357" s="632" t="s">
        <v>142</v>
      </c>
      <c r="H357" s="633"/>
      <c r="I357" s="634"/>
      <c r="J357" s="633"/>
      <c r="K357" s="633" t="s">
        <v>3</v>
      </c>
      <c r="L357" s="635" t="s">
        <v>143</v>
      </c>
      <c r="M357" s="635"/>
      <c r="N357" s="635"/>
      <c r="O357" s="635"/>
      <c r="P357" s="635"/>
      <c r="Q357" s="50"/>
      <c r="T357" s="636" t="str">
        <f>IF(AND($R362=0,$T362=0),"0.00","mu :" &amp; ROUND($F357/$C$2/($R362+$T362*$D$9),2))</f>
        <v>mu :1.1</v>
      </c>
      <c r="W357" s="521"/>
      <c r="AG357" s="478">
        <f>IF($E357=0,0,ROUND($R362*$S$2*$C$2/$A357,2))</f>
        <v>1072.5</v>
      </c>
      <c r="AH357" s="478">
        <f>$AG357*$A357</f>
        <v>1072.5</v>
      </c>
      <c r="AI357" s="522">
        <f>$E357-$AG357</f>
        <v>1078</v>
      </c>
      <c r="AJ357" s="522">
        <f>$A357*$AI357</f>
        <v>1078</v>
      </c>
      <c r="AK357" s="523">
        <f>ROUND(($AG357+$AI357)*$A357,2)</f>
        <v>2150.5</v>
      </c>
      <c r="AM357" s="524">
        <f>ROUND(R362,2)</f>
        <v>975</v>
      </c>
      <c r="AN357" s="525">
        <f>ROUND(T362,2)</f>
        <v>35.69</v>
      </c>
      <c r="AO357" s="526">
        <f>ROUND(AM357+AN357,2)*A357</f>
        <v>1010.69</v>
      </c>
    </row>
    <row r="358" spans="1:41" s="518" customFormat="1" ht="76.2" customHeight="1">
      <c r="A358" s="628"/>
      <c r="B358"/>
      <c r="C358" s="628"/>
      <c r="D358" s="818" t="s">
        <v>492</v>
      </c>
      <c r="E358" s="818"/>
      <c r="F358" s="818"/>
      <c r="G358" s="818"/>
      <c r="H358" s="818"/>
      <c r="I358" s="818"/>
      <c r="J358" s="818"/>
      <c r="K358" s="818"/>
      <c r="L358" s="818"/>
      <c r="M358" s="818"/>
      <c r="N358" s="818"/>
      <c r="O358" s="818"/>
      <c r="P358" s="818"/>
      <c r="Q358" s="818"/>
      <c r="R358" s="818"/>
      <c r="S358" s="637"/>
      <c r="T358" s="633"/>
    </row>
    <row r="359" spans="1:41" s="649" customFormat="1" ht="13.2">
      <c r="A359" s="112">
        <v>1</v>
      </c>
      <c r="B359" s="649" t="s">
        <v>141</v>
      </c>
      <c r="D359" s="649" t="s">
        <v>490</v>
      </c>
      <c r="F359" s="760" t="s">
        <v>491</v>
      </c>
      <c r="G359" s="650" t="s">
        <v>481</v>
      </c>
      <c r="H359" s="651">
        <v>725</v>
      </c>
      <c r="I359" s="649" t="s">
        <v>364</v>
      </c>
      <c r="O359" s="652">
        <v>3</v>
      </c>
      <c r="P359" s="653"/>
      <c r="Q359" s="654">
        <v>975</v>
      </c>
      <c r="R359" s="655">
        <f>$A359*Q359</f>
        <v>975</v>
      </c>
      <c r="S359" s="654">
        <v>0</v>
      </c>
      <c r="T359" s="656">
        <f>$A359*S359*$T$1</f>
        <v>0</v>
      </c>
    </row>
    <row r="360" spans="1:41" s="649" customFormat="1" ht="13.2">
      <c r="A360" s="112">
        <v>1</v>
      </c>
      <c r="B360" s="649" t="s">
        <v>141</v>
      </c>
      <c r="D360" s="649" t="s">
        <v>480</v>
      </c>
      <c r="F360" s="760" t="s">
        <v>491</v>
      </c>
      <c r="G360" s="650" t="s">
        <v>481</v>
      </c>
      <c r="H360" s="651">
        <v>725</v>
      </c>
      <c r="I360" s="649" t="s">
        <v>364</v>
      </c>
      <c r="O360" s="652">
        <v>3</v>
      </c>
      <c r="P360" s="653"/>
      <c r="Q360" s="654">
        <v>0</v>
      </c>
      <c r="R360" s="655">
        <f>$A360*Q360</f>
        <v>0</v>
      </c>
      <c r="S360" s="654">
        <f>980/27.46</f>
        <v>35.688273852876911</v>
      </c>
      <c r="T360" s="656">
        <f>$A360*S360*$T$1</f>
        <v>35.688273852876911</v>
      </c>
    </row>
    <row r="361" spans="1:41" s="518" customFormat="1" ht="12">
      <c r="A361" s="638"/>
      <c r="B361" s="638"/>
      <c r="C361" s="638"/>
      <c r="D361" s="638"/>
      <c r="E361" s="638"/>
      <c r="F361" s="633"/>
      <c r="G361" s="638"/>
      <c r="H361" s="638"/>
      <c r="I361" s="517"/>
      <c r="J361" s="638"/>
      <c r="K361" s="638"/>
      <c r="L361" s="638"/>
      <c r="M361" s="638"/>
      <c r="N361" s="638"/>
      <c r="O361" s="638"/>
      <c r="P361" s="638"/>
      <c r="Q361" s="517"/>
      <c r="R361" s="639">
        <f t="shared" ref="R361" si="74">$A361*Q361</f>
        <v>0</v>
      </c>
      <c r="S361" s="517"/>
      <c r="T361" s="640">
        <f t="shared" ref="T361" si="75">$A361*S361*$T$1</f>
        <v>0</v>
      </c>
    </row>
    <row r="362" spans="1:41" s="518" customFormat="1" ht="12.6" thickBot="1">
      <c r="A362" s="641" t="s">
        <v>145</v>
      </c>
      <c r="B362" s="642">
        <f>(R361+T361)</f>
        <v>0</v>
      </c>
      <c r="C362" s="643"/>
      <c r="D362" s="643"/>
      <c r="E362" s="643"/>
      <c r="F362" s="644"/>
      <c r="G362" s="643" t="s">
        <v>146</v>
      </c>
      <c r="H362" s="643"/>
      <c r="I362" s="645"/>
      <c r="J362" s="643"/>
      <c r="K362" s="643" t="s">
        <v>3</v>
      </c>
      <c r="L362" s="646" t="s">
        <v>143</v>
      </c>
      <c r="M362" s="646"/>
      <c r="N362" s="646"/>
      <c r="O362" s="646"/>
      <c r="P362" s="646"/>
      <c r="Q362" s="647"/>
      <c r="R362" s="648">
        <f>SUM(R358:R361)</f>
        <v>975</v>
      </c>
      <c r="S362" s="643"/>
      <c r="T362" s="648">
        <f>SUM(T358:T361)</f>
        <v>35.688273852876911</v>
      </c>
      <c r="U362" s="528"/>
      <c r="V362" s="528"/>
      <c r="W362" s="528"/>
      <c r="X362" s="528"/>
      <c r="Y362" s="528"/>
      <c r="Z362" s="528"/>
      <c r="AA362" s="528"/>
      <c r="AB362" s="528"/>
      <c r="AC362" s="528"/>
      <c r="AD362" s="528"/>
      <c r="AE362" s="528"/>
      <c r="AF362" s="528"/>
      <c r="AG362" s="528"/>
      <c r="AH362" s="528"/>
      <c r="AI362" s="528"/>
      <c r="AJ362" s="528"/>
      <c r="AK362" s="528"/>
      <c r="AL362" s="528"/>
      <c r="AM362" s="528"/>
      <c r="AN362" s="528"/>
      <c r="AO362" s="528"/>
    </row>
    <row r="363" spans="1:41" s="518" customFormat="1" ht="12" thickTop="1">
      <c r="A363" s="48" t="s">
        <v>148</v>
      </c>
      <c r="D363" s="13"/>
      <c r="E363" s="42"/>
      <c r="O363" s="662"/>
    </row>
    <row r="364" spans="1:41" s="518" customFormat="1" ht="13.2">
      <c r="B364" s="3"/>
      <c r="O364" s="662"/>
    </row>
    <row r="365" spans="1:41" s="518" customFormat="1" ht="12">
      <c r="B365" s="784">
        <f ca="1">$F365/$C$2-($R365*$S$2+$T365*$T$2)</f>
        <v>1374.4087733333331</v>
      </c>
      <c r="D365" s="785" t="s">
        <v>515</v>
      </c>
      <c r="E365" s="786"/>
      <c r="F365" s="787">
        <f ca="1">SUMIF($L302:$L363,"ITEM",F362:F363)</f>
        <v>3910</v>
      </c>
      <c r="G365" s="638"/>
      <c r="H365" s="638"/>
      <c r="I365" s="517"/>
      <c r="J365" s="638"/>
      <c r="K365" s="638"/>
      <c r="L365" s="635" t="s">
        <v>516</v>
      </c>
      <c r="M365" s="635"/>
      <c r="N365" s="635"/>
      <c r="O365" s="635"/>
      <c r="P365" s="635"/>
      <c r="R365" s="787">
        <f ca="1">SUMIF($L302:$L363,"ITEM",R362:R363)</f>
        <v>919.77333333333343</v>
      </c>
      <c r="S365" s="672"/>
      <c r="T365" s="787">
        <f>SUMIF($L302:$L363,"ITEM",T302:T363)</f>
        <v>50.448273852876909</v>
      </c>
    </row>
    <row r="366" spans="1:41" s="518" customFormat="1" ht="13.2">
      <c r="A366" s="50"/>
      <c r="B366" s="788" t="s">
        <v>517</v>
      </c>
      <c r="C366" s="50"/>
      <c r="D366" s="3"/>
      <c r="F366" s="701" t="s">
        <v>518</v>
      </c>
      <c r="G366" s="638"/>
      <c r="H366" s="638"/>
      <c r="I366" s="517"/>
      <c r="J366" s="638"/>
      <c r="K366" s="638"/>
      <c r="L366" s="638"/>
      <c r="M366" s="638"/>
      <c r="N366" s="638"/>
      <c r="O366" s="638"/>
      <c r="P366" s="638"/>
      <c r="Q366" s="666"/>
      <c r="R366" s="701" t="s">
        <v>519</v>
      </c>
      <c r="S366" s="38"/>
      <c r="T366" s="701" t="s">
        <v>520</v>
      </c>
    </row>
    <row r="367" spans="1:41" s="518" customFormat="1" ht="13.2">
      <c r="A367" s="638"/>
      <c r="B367" s="3"/>
      <c r="C367" s="638"/>
      <c r="D367" s="3"/>
      <c r="E367" s="3"/>
      <c r="G367" s="3"/>
      <c r="H367" s="3"/>
      <c r="I367" s="3"/>
      <c r="J367" s="3"/>
      <c r="K367" s="3"/>
      <c r="L367" s="3"/>
      <c r="M367" s="3"/>
      <c r="N367" s="3"/>
      <c r="O367" s="103"/>
      <c r="P367" s="3"/>
      <c r="Q367" s="3"/>
      <c r="R367" s="3"/>
      <c r="S367" s="3"/>
      <c r="T367" s="3"/>
    </row>
    <row r="368" spans="1:41" s="518" customFormat="1" ht="12" thickBot="1">
      <c r="A368" s="528"/>
      <c r="B368" s="643"/>
      <c r="C368" s="643"/>
      <c r="D368" s="528"/>
      <c r="E368" s="39"/>
      <c r="F368" s="789"/>
      <c r="G368" s="643"/>
      <c r="H368" s="643"/>
      <c r="I368" s="645"/>
      <c r="J368" s="643"/>
      <c r="K368" s="643"/>
      <c r="L368" s="646"/>
      <c r="M368" s="646"/>
      <c r="N368" s="646"/>
      <c r="O368" s="646"/>
      <c r="P368" s="646"/>
      <c r="Q368" s="647"/>
      <c r="R368" s="789"/>
      <c r="S368" s="790"/>
      <c r="T368" s="789"/>
      <c r="U368" s="528"/>
      <c r="V368" s="528"/>
      <c r="W368" s="528"/>
      <c r="X368" s="528"/>
      <c r="Y368" s="528"/>
      <c r="Z368" s="528"/>
      <c r="AA368" s="528"/>
      <c r="AB368" s="528"/>
      <c r="AC368" s="528"/>
      <c r="AD368" s="528"/>
      <c r="AE368" s="528"/>
      <c r="AF368" s="528"/>
      <c r="AG368" s="528"/>
      <c r="AH368" s="528"/>
      <c r="AI368" s="528"/>
      <c r="AJ368" s="528"/>
      <c r="AK368" s="528"/>
    </row>
    <row r="369" spans="1:37" s="518" customFormat="1" ht="14.4" thickTop="1" thickBot="1">
      <c r="A369" s="48"/>
      <c r="B369" s="3"/>
      <c r="C369" s="50"/>
      <c r="D369" s="3"/>
      <c r="E369" s="3"/>
      <c r="F369" s="3"/>
      <c r="G369" s="3"/>
      <c r="H369" s="3"/>
      <c r="I369" s="3"/>
      <c r="J369" s="3"/>
      <c r="K369" s="3"/>
      <c r="L369" s="3"/>
      <c r="M369" s="3"/>
      <c r="N369" s="3"/>
      <c r="O369" s="103"/>
      <c r="P369" s="3"/>
      <c r="Q369" s="3"/>
      <c r="R369" s="3"/>
      <c r="S369" s="3"/>
      <c r="T369" s="3"/>
      <c r="AH369" s="658">
        <f ca="1">SUM(AH$15:AH362)</f>
        <v>12840.160000000007</v>
      </c>
      <c r="AI369" s="36"/>
      <c r="AJ369" s="658">
        <f ca="1">SUM(AJ$15:AJ362)</f>
        <v>11183.329999999996</v>
      </c>
      <c r="AK369" s="658">
        <f ca="1">SUM(AK$15:AK362)</f>
        <v>24023.489999999998</v>
      </c>
    </row>
    <row r="370" spans="1:37" s="518" customFormat="1" ht="12" thickTop="1">
      <c r="B370" s="659">
        <f ca="1">$F370/$C$2-($R370*$S$2+$T370*$T$2)</f>
        <v>5.6782333333321731</v>
      </c>
      <c r="C370" s="518" t="s">
        <v>73</v>
      </c>
      <c r="D370" s="660"/>
      <c r="E370" s="660" t="str">
        <f>$F$2 &amp; " (mu_A) :"</f>
        <v>Electrical (mu_A) :</v>
      </c>
      <c r="F370" s="661">
        <f ca="1">SUMIF($K$13:$K369,"mu_A",F$13:F369)</f>
        <v>24023.489999999998</v>
      </c>
      <c r="O370" s="662"/>
      <c r="R370" s="663">
        <f ca="1">SUMIF($K$13:$K369,"mu_A",$R$13:$R369)</f>
        <v>11673.123333333331</v>
      </c>
      <c r="T370" s="663">
        <f ca="1">SUMIF($K$13:$K369,"mu_A",$T$13:$T369)</f>
        <v>370.0382738528769</v>
      </c>
      <c r="AH370" s="664">
        <f ca="1">R370*$S$2</f>
        <v>12840.435666666664</v>
      </c>
      <c r="AJ370" s="664">
        <f ca="1">T370*$T$2</f>
        <v>11177.376100000001</v>
      </c>
    </row>
    <row r="371" spans="1:37" s="518" customFormat="1" ht="11.4">
      <c r="B371" s="659">
        <f>$F371/$C$3-($R371*$S$3+$T371*$T$3)</f>
        <v>0</v>
      </c>
      <c r="C371" s="518" t="s">
        <v>73</v>
      </c>
      <c r="D371" s="660"/>
      <c r="E371" s="660" t="str">
        <f>$F$3&amp; " (mu_B) :"</f>
        <v>0 (mu_B) :</v>
      </c>
      <c r="F371" s="665">
        <f>SUMIF($K$13:$K369,"mu_B",F$13:F369)</f>
        <v>0</v>
      </c>
      <c r="G371" s="638"/>
      <c r="H371" s="638"/>
      <c r="I371" s="517"/>
      <c r="J371" s="638"/>
      <c r="K371" s="638"/>
      <c r="L371" s="638"/>
      <c r="M371" s="638"/>
      <c r="N371" s="638"/>
      <c r="O371" s="638"/>
      <c r="P371" s="638"/>
      <c r="Q371" s="666"/>
      <c r="R371" s="667">
        <f>SUMIF($K$13:$K369,"mu_B",$R$13:$R369)</f>
        <v>0</v>
      </c>
      <c r="S371" s="668"/>
      <c r="T371" s="667">
        <f>SUMIF($K$13:$K369,"mu_B",$T$13:$T369)</f>
        <v>0</v>
      </c>
      <c r="AH371" s="669">
        <f>R371*$S$3</f>
        <v>0</v>
      </c>
      <c r="AJ371" s="669">
        <f>T371*$T$3</f>
        <v>0</v>
      </c>
    </row>
    <row r="372" spans="1:37" s="518" customFormat="1" ht="11.4">
      <c r="B372" s="659">
        <f>$F372/$C$4-($R372*$S$4+$T372*$T$4)</f>
        <v>0</v>
      </c>
      <c r="C372" s="518" t="s">
        <v>73</v>
      </c>
      <c r="D372" s="660"/>
      <c r="E372" s="660" t="str">
        <f>$F$4&amp; " (mu_C) :"</f>
        <v>0 (mu_C) :</v>
      </c>
      <c r="F372" s="670">
        <f>SUMIF($K$13:$K369,"mu_C",F$13:F369)</f>
        <v>0</v>
      </c>
      <c r="G372" s="638"/>
      <c r="H372" s="638"/>
      <c r="I372" s="517"/>
      <c r="J372" s="638"/>
      <c r="K372" s="638"/>
      <c r="L372" s="671"/>
      <c r="M372" s="671"/>
      <c r="N372" s="671"/>
      <c r="O372" s="671"/>
      <c r="P372" s="671"/>
      <c r="R372" s="667">
        <f>SUMIF($K$13:$K369,"mu_C",$R$13:$R369)</f>
        <v>0</v>
      </c>
      <c r="S372" s="672"/>
      <c r="T372" s="667">
        <f>SUMIF($K$13:$K369,"mu_C",$T$13:$T369)</f>
        <v>0</v>
      </c>
      <c r="AH372" s="673">
        <f>R372*$S$4</f>
        <v>0</v>
      </c>
      <c r="AJ372" s="673">
        <f>T372*$T$4</f>
        <v>0</v>
      </c>
    </row>
    <row r="373" spans="1:37" s="518" customFormat="1" ht="11.4">
      <c r="B373" s="659">
        <f>$F373/$C$5-($R373*$S$5+$T373*$T$5)</f>
        <v>0</v>
      </c>
      <c r="C373" s="518" t="s">
        <v>73</v>
      </c>
      <c r="D373" s="660"/>
      <c r="E373" s="660" t="str">
        <f>$F$5&amp; " (mu_D) :"</f>
        <v>0 (mu_D) :</v>
      </c>
      <c r="F373" s="674">
        <f>SUMIF($K$13:$K369,"mu_D",F$13:F369)</f>
        <v>0</v>
      </c>
      <c r="G373" s="638"/>
      <c r="H373" s="638"/>
      <c r="I373" s="517"/>
      <c r="J373" s="638"/>
      <c r="K373" s="638"/>
      <c r="L373" s="671"/>
      <c r="M373" s="671"/>
      <c r="N373" s="671"/>
      <c r="O373" s="671"/>
      <c r="P373" s="671"/>
      <c r="R373" s="667">
        <f>SUMIF($K$13:$K369,"mu_D",$R$13:$R369)</f>
        <v>0</v>
      </c>
      <c r="S373" s="672"/>
      <c r="T373" s="667">
        <f>SUMIF($K$13:$K369,"mu_D",$T$13:$T369)</f>
        <v>0</v>
      </c>
      <c r="AH373" s="675">
        <f>R373*$S$5</f>
        <v>0</v>
      </c>
      <c r="AJ373" s="675">
        <f>T373*$T$5</f>
        <v>0</v>
      </c>
    </row>
    <row r="374" spans="1:37" s="518" customFormat="1" ht="11.4">
      <c r="B374" s="659">
        <f>$F374/$C$6-($R374*$S$6+$T374*$T$6)</f>
        <v>0</v>
      </c>
      <c r="C374" s="518" t="s">
        <v>73</v>
      </c>
      <c r="D374" s="660"/>
      <c r="E374" s="660" t="str">
        <f>$F$6&amp; " (mu_E) :"</f>
        <v>0 (mu_E) :</v>
      </c>
      <c r="F374" s="676">
        <f>SUMIF($K$13:$K369,"mu_E",F$13:F369)</f>
        <v>0</v>
      </c>
      <c r="G374" s="638"/>
      <c r="H374" s="638"/>
      <c r="I374" s="517"/>
      <c r="J374" s="638"/>
      <c r="K374" s="638"/>
      <c r="L374" s="671"/>
      <c r="M374" s="671"/>
      <c r="N374" s="671"/>
      <c r="O374" s="671"/>
      <c r="P374" s="671"/>
      <c r="R374" s="667">
        <f>SUMIF($K$13:$K369,"mu_E",$R$13:$R369)</f>
        <v>0</v>
      </c>
      <c r="S374" s="672"/>
      <c r="T374" s="667">
        <f>SUMIF($K$13:$K369,"mu_E",$T$13:$T369)</f>
        <v>0</v>
      </c>
      <c r="AH374" s="677">
        <f>R374*$S$6</f>
        <v>0</v>
      </c>
      <c r="AJ374" s="677">
        <f>T374*$T$6</f>
        <v>0</v>
      </c>
    </row>
    <row r="375" spans="1:37" s="518" customFormat="1" ht="11.4">
      <c r="B375" s="659">
        <f>$F375/$C$7-($R375*$S$7+$T375*$T$7)</f>
        <v>0</v>
      </c>
      <c r="C375" s="518" t="s">
        <v>73</v>
      </c>
      <c r="D375" s="660"/>
      <c r="E375" s="660" t="str">
        <f>$F$7&amp; " (mu_F) :"</f>
        <v>0 (mu_F) :</v>
      </c>
      <c r="F375" s="678">
        <f>SUMIF($K$13:$K369,"mu_F",F$13:F369)</f>
        <v>0</v>
      </c>
      <c r="G375" s="638"/>
      <c r="H375" s="638"/>
      <c r="I375" s="517"/>
      <c r="J375" s="638"/>
      <c r="K375" s="638"/>
      <c r="L375" s="671"/>
      <c r="M375" s="671"/>
      <c r="N375" s="671"/>
      <c r="O375" s="671"/>
      <c r="P375" s="671"/>
      <c r="R375" s="667">
        <f>SUMIF($K$13:$K369,"mu_F",$R$13:$R369)</f>
        <v>0</v>
      </c>
      <c r="S375" s="672"/>
      <c r="T375" s="667">
        <f>SUMIF($K$13:$K369,"mu_F",$T$13:$T369)</f>
        <v>0</v>
      </c>
      <c r="AH375" s="679">
        <f>R375*$S$7</f>
        <v>0</v>
      </c>
      <c r="AJ375" s="679">
        <f>T375*$T$7</f>
        <v>0</v>
      </c>
    </row>
    <row r="376" spans="1:37" s="518" customFormat="1" ht="11.4">
      <c r="B376" s="659">
        <f>$F376/$C$8-($R376*$S$8+$T376*$T$8)</f>
        <v>0</v>
      </c>
      <c r="C376" s="518" t="s">
        <v>73</v>
      </c>
      <c r="D376" s="660"/>
      <c r="E376" s="660" t="str">
        <f>$F$8&amp; " (mu_G) :"</f>
        <v>0 (mu_G) :</v>
      </c>
      <c r="F376" s="680">
        <f>SUMIF($K$13:$K369,"mu_G",F$13:F369)</f>
        <v>0</v>
      </c>
      <c r="G376" s="638"/>
      <c r="H376" s="638"/>
      <c r="I376" s="517"/>
      <c r="J376" s="638"/>
      <c r="K376" s="638"/>
      <c r="L376" s="671"/>
      <c r="M376" s="671"/>
      <c r="N376" s="671"/>
      <c r="O376" s="671"/>
      <c r="P376" s="671"/>
      <c r="R376" s="667">
        <f>SUMIF($K$13:$K369,"mu_G",$R$13:$R369)</f>
        <v>0</v>
      </c>
      <c r="S376" s="672"/>
      <c r="T376" s="667">
        <f>SUMIF($K$13:$K369,"mu_G",$T$13:$T369)</f>
        <v>0</v>
      </c>
      <c r="AH376" s="681">
        <f>R376*$S$8</f>
        <v>0</v>
      </c>
      <c r="AJ376" s="681">
        <f>T376*$T$8</f>
        <v>0</v>
      </c>
    </row>
    <row r="377" spans="1:37" s="518" customFormat="1" ht="11.4">
      <c r="B377" s="659">
        <f>$F377/$C$9-($R377*$S$9+$T377*$T$9)</f>
        <v>0</v>
      </c>
      <c r="C377" s="518" t="s">
        <v>73</v>
      </c>
      <c r="D377" s="660"/>
      <c r="E377" s="660" t="str">
        <f>$F$9&amp; " (mu_H) :"</f>
        <v>0 (mu_H) :</v>
      </c>
      <c r="F377" s="682">
        <f>SUMIF($K$13:$K369,"mu_H",F$13:F369)</f>
        <v>0</v>
      </c>
      <c r="G377" s="638"/>
      <c r="H377" s="638"/>
      <c r="I377" s="517"/>
      <c r="J377" s="638"/>
      <c r="K377" s="638"/>
      <c r="L377" s="671"/>
      <c r="M377" s="671"/>
      <c r="N377" s="671"/>
      <c r="O377" s="671"/>
      <c r="P377" s="671"/>
      <c r="R377" s="667">
        <f>SUMIF($K$13:$K369,"mu_H",$R$13:$R369)</f>
        <v>0</v>
      </c>
      <c r="S377" s="672"/>
      <c r="T377" s="667">
        <f>SUMIF($K$13:$K369,"mu_H",$T$13:$T369)</f>
        <v>0</v>
      </c>
      <c r="AH377" s="683">
        <f>R377*$S$9</f>
        <v>0</v>
      </c>
      <c r="AJ377" s="683">
        <f>T377*$T$9</f>
        <v>0</v>
      </c>
    </row>
    <row r="378" spans="1:37" s="518" customFormat="1" ht="11.4">
      <c r="B378" s="659">
        <f>$F378/$C$10-($R378*$S$10+$T378*$T$10)</f>
        <v>0</v>
      </c>
      <c r="C378" s="518" t="s">
        <v>73</v>
      </c>
      <c r="D378" s="660"/>
      <c r="E378" s="660" t="str">
        <f>$F$10&amp; " (mu_I) :"</f>
        <v>0 (mu_I) :</v>
      </c>
      <c r="F378" s="684">
        <f>SUMIF($K$13:$K369,"mu_I",F$13:F369)</f>
        <v>0</v>
      </c>
      <c r="G378" s="638"/>
      <c r="H378" s="638"/>
      <c r="I378" s="517"/>
      <c r="J378" s="638"/>
      <c r="K378" s="638"/>
      <c r="L378" s="671"/>
      <c r="M378" s="671"/>
      <c r="N378" s="671"/>
      <c r="O378" s="671"/>
      <c r="P378" s="671"/>
      <c r="R378" s="667">
        <f>SUMIF($K$13:$K369,"mu_I",$R$13:$R369)</f>
        <v>0</v>
      </c>
      <c r="S378" s="672"/>
      <c r="T378" s="667">
        <f>SUMIF($K$13:$K369,"mu_I",$T$13:$T369)</f>
        <v>0</v>
      </c>
      <c r="AH378" s="685">
        <f>R378*$S$10</f>
        <v>0</v>
      </c>
      <c r="AJ378" s="685">
        <f>T378*$T$10</f>
        <v>0</v>
      </c>
    </row>
    <row r="379" spans="1:37" s="518" customFormat="1" ht="11.4">
      <c r="B379" s="659">
        <f>$F379/$C$11-($R379*$S$11+$T379*$T$11)</f>
        <v>0</v>
      </c>
      <c r="D379" s="660"/>
      <c r="E379" s="660" t="str">
        <f>$F$10&amp; " (mu_J) :"</f>
        <v>0 (mu_J) :</v>
      </c>
      <c r="F379" s="686">
        <f>SUMIF($K$13:$K369,"mu_J",F$13:F369)</f>
        <v>0</v>
      </c>
      <c r="G379" s="638"/>
      <c r="H379" s="638"/>
      <c r="I379" s="517"/>
      <c r="J379" s="638"/>
      <c r="K379" s="638"/>
      <c r="L379" s="671"/>
      <c r="M379" s="671"/>
      <c r="N379" s="671"/>
      <c r="O379" s="671"/>
      <c r="P379" s="671"/>
      <c r="R379" s="667">
        <f>SUMIF($K$13:$K369,"mu_J",$R$13:$R369)</f>
        <v>0</v>
      </c>
      <c r="S379" s="672"/>
      <c r="T379" s="667">
        <f>SUMIF($K$13:$K369,"mu_J",$T$13:$T369)</f>
        <v>0</v>
      </c>
      <c r="AH379" s="687">
        <f>R379*$S$11</f>
        <v>0</v>
      </c>
      <c r="AJ379" s="687">
        <f>T379*$T$11</f>
        <v>0</v>
      </c>
    </row>
    <row r="380" spans="1:37" s="518" customFormat="1" ht="14.4" thickBot="1">
      <c r="A380" s="688"/>
      <c r="B380" s="688"/>
      <c r="C380" s="689" t="s">
        <v>441</v>
      </c>
      <c r="D380" s="690"/>
      <c r="E380" s="691" t="s">
        <v>442</v>
      </c>
      <c r="F380" s="692">
        <f ca="1">SUM(F370:F379)</f>
        <v>24023.489999999998</v>
      </c>
      <c r="G380" s="693"/>
      <c r="H380" s="693"/>
      <c r="I380" s="694"/>
      <c r="J380" s="693"/>
      <c r="K380" s="693"/>
      <c r="L380" s="695"/>
      <c r="M380" s="695"/>
      <c r="N380" s="695"/>
      <c r="O380" s="695"/>
      <c r="P380" s="695"/>
      <c r="Q380" s="696"/>
      <c r="R380" s="696">
        <f ca="1">SUM(R370:R379)</f>
        <v>11673.123333333331</v>
      </c>
      <c r="S380" s="697"/>
      <c r="T380" s="696">
        <f ca="1">SUM(T370:T379)</f>
        <v>370.0382738528769</v>
      </c>
      <c r="U380" s="528"/>
      <c r="V380" s="528"/>
      <c r="W380" s="528"/>
      <c r="X380" s="528"/>
      <c r="Y380" s="528"/>
      <c r="Z380" s="528"/>
      <c r="AA380" s="528"/>
      <c r="AB380" s="528"/>
      <c r="AC380" s="528"/>
      <c r="AD380" s="528"/>
      <c r="AE380" s="528"/>
      <c r="AF380" s="528"/>
      <c r="AG380" s="528"/>
      <c r="AH380" s="658">
        <f ca="1">SUM(AH370:AH379)</f>
        <v>12840.435666666664</v>
      </c>
      <c r="AI380" s="698"/>
      <c r="AJ380" s="658">
        <f ca="1">SUM(AJ370:AJ379)</f>
        <v>11177.376100000001</v>
      </c>
      <c r="AK380" s="658">
        <f ca="1">AH380+AJ380</f>
        <v>24017.811766666666</v>
      </c>
    </row>
    <row r="381" spans="1:37" s="518" customFormat="1" ht="14.4" thickTop="1">
      <c r="A381" s="511"/>
      <c r="B381" s="511"/>
      <c r="C381" s="699"/>
      <c r="D381" s="700"/>
      <c r="E381" s="701"/>
      <c r="F381" s="702"/>
      <c r="G381" s="634"/>
      <c r="H381" s="634"/>
      <c r="I381" s="634"/>
      <c r="J381" s="634"/>
      <c r="K381" s="634"/>
      <c r="L381" s="703"/>
      <c r="M381" s="703"/>
      <c r="N381" s="703"/>
      <c r="O381" s="703"/>
      <c r="P381" s="703"/>
      <c r="Q381" s="702"/>
      <c r="R381" s="702"/>
      <c r="S381" s="704"/>
      <c r="T381" s="702"/>
      <c r="AH381" s="705">
        <f ca="1">AH369-AH380</f>
        <v>-0.27566666665734374</v>
      </c>
      <c r="AI381" s="36"/>
      <c r="AJ381" s="705">
        <f ca="1">AJ369-AJ380</f>
        <v>5.9538999999949738</v>
      </c>
      <c r="AK381" s="705">
        <f ca="1">AK369-AK380</f>
        <v>5.6782333333321731</v>
      </c>
    </row>
    <row r="382" spans="1:37" s="518" customFormat="1" ht="12.6" thickBot="1">
      <c r="A382" s="706"/>
      <c r="B382" s="707" t="s">
        <v>443</v>
      </c>
      <c r="C382" s="50"/>
      <c r="D382" s="52"/>
      <c r="E382" s="38" t="s">
        <v>444</v>
      </c>
      <c r="F382" s="708"/>
      <c r="G382" s="527"/>
      <c r="H382" s="527"/>
      <c r="I382" s="527"/>
      <c r="J382" s="527"/>
      <c r="K382" s="527"/>
      <c r="L382" s="702" t="s">
        <v>445</v>
      </c>
      <c r="M382" s="702"/>
      <c r="N382" s="702"/>
      <c r="O382" s="702"/>
      <c r="P382" s="702"/>
      <c r="Q382" s="527"/>
      <c r="R382" s="709">
        <f ca="1">SUMIF($L$15:$L369,"",R$15:R369)</f>
        <v>11673.123333333335</v>
      </c>
      <c r="S382" s="710"/>
      <c r="T382" s="709">
        <f ca="1">SUMIF($L$15:$L369,"",T$15:T369)</f>
        <v>370.0382738528769</v>
      </c>
    </row>
    <row r="383" spans="1:37" s="518" customFormat="1" ht="12">
      <c r="A383" s="706"/>
      <c r="B383" s="707" t="s">
        <v>446</v>
      </c>
      <c r="C383" s="50"/>
      <c r="D383" s="50"/>
      <c r="E383" s="668"/>
      <c r="F383" s="527"/>
      <c r="G383" s="527"/>
      <c r="H383" s="527"/>
      <c r="I383" s="527"/>
      <c r="J383" s="527"/>
      <c r="K383" s="527"/>
      <c r="L383" s="527"/>
      <c r="M383" s="527"/>
      <c r="N383" s="527"/>
      <c r="O383" s="527"/>
      <c r="P383" s="527"/>
      <c r="Q383" s="527"/>
      <c r="R383" s="527"/>
      <c r="S383" s="527"/>
      <c r="T383" s="527"/>
    </row>
    <row r="384" spans="1:37" s="518" customFormat="1" ht="12.6" thickBot="1">
      <c r="A384" s="711"/>
      <c r="B384" s="712">
        <f ca="1">$F384/$C$2-($R384*$S$2+$T384*$T$2)</f>
        <v>5.6782333333321731</v>
      </c>
      <c r="C384" s="50"/>
      <c r="D384" s="52"/>
      <c r="E384" s="38" t="s">
        <v>447</v>
      </c>
      <c r="F384" s="713">
        <f ca="1">SUMIF($L$15:$L369,"ITEM",F$15:F369)</f>
        <v>24023.489999999998</v>
      </c>
      <c r="G384" s="527"/>
      <c r="H384" s="527"/>
      <c r="I384" s="527"/>
      <c r="J384" s="527"/>
      <c r="K384" s="527"/>
      <c r="L384" s="702" t="s">
        <v>448</v>
      </c>
      <c r="M384" s="702"/>
      <c r="N384" s="702"/>
      <c r="O384" s="702"/>
      <c r="P384" s="702"/>
      <c r="Q384" s="710"/>
      <c r="R384" s="714">
        <f ca="1">SUMIF($L$15:$L369,"ITEM",R$15:R369)</f>
        <v>11673.123333333331</v>
      </c>
      <c r="S384" s="715"/>
      <c r="T384" s="714">
        <f ca="1">SUMIF($L$15:$L369,"ITEM",T$15:T369)</f>
        <v>370.0382738528769</v>
      </c>
    </row>
    <row r="385" spans="1:37" s="518" customFormat="1" ht="11.4">
      <c r="A385" s="711"/>
      <c r="B385" s="716"/>
      <c r="C385" s="638"/>
      <c r="D385" s="50"/>
      <c r="E385" s="668"/>
      <c r="F385" s="527"/>
      <c r="G385" s="527"/>
      <c r="H385" s="527"/>
      <c r="I385" s="527"/>
      <c r="J385" s="527"/>
      <c r="K385" s="527"/>
      <c r="L385" s="527"/>
      <c r="M385" s="527"/>
      <c r="N385" s="527"/>
      <c r="O385" s="527"/>
      <c r="P385" s="527"/>
      <c r="Q385" s="527"/>
      <c r="R385" s="527"/>
      <c r="S385" s="527"/>
      <c r="T385" s="527"/>
    </row>
    <row r="386" spans="1:37" s="518" customFormat="1" thickBot="1">
      <c r="A386" s="711"/>
      <c r="B386" s="712">
        <f ca="1">$F386/$C$2-($R386*$S$2+$T386*$T$2)</f>
        <v>1380.0675666666648</v>
      </c>
      <c r="C386" s="50"/>
      <c r="D386" s="717"/>
      <c r="E386" s="718" t="s">
        <v>449</v>
      </c>
      <c r="F386" s="719">
        <f ca="1">SUMIF($L$15:$L369,"PAGE",F$15:F369)</f>
        <v>25138.799999999999</v>
      </c>
      <c r="G386" s="517"/>
      <c r="H386" s="517"/>
      <c r="I386" s="517"/>
      <c r="J386" s="517"/>
      <c r="K386" s="527"/>
      <c r="L386" s="703" t="s">
        <v>450</v>
      </c>
      <c r="M386" s="703"/>
      <c r="N386" s="703"/>
      <c r="O386" s="703"/>
      <c r="P386" s="703"/>
      <c r="Q386" s="710"/>
      <c r="R386" s="720">
        <f ca="1">SUMIF($L$15:$L369,"PAGE",R$15:R369)</f>
        <v>11437.596666666666</v>
      </c>
      <c r="S386" s="721"/>
      <c r="T386" s="720">
        <f ca="1">SUMIF($L$15:$L369,"PAGE",T$15:T369)</f>
        <v>370.0382738528769</v>
      </c>
    </row>
    <row r="387" spans="1:37" s="518" customFormat="1" ht="11.4">
      <c r="A387" s="711"/>
      <c r="B387" s="712"/>
      <c r="C387" s="50"/>
      <c r="D387" s="50"/>
      <c r="E387" s="668"/>
      <c r="F387" s="527"/>
      <c r="G387" s="527"/>
      <c r="H387" s="527"/>
      <c r="I387" s="527"/>
      <c r="J387" s="527"/>
      <c r="K387" s="527"/>
      <c r="L387" s="527"/>
      <c r="M387" s="527"/>
      <c r="N387" s="527"/>
      <c r="O387" s="527"/>
      <c r="P387" s="527"/>
      <c r="Q387" s="527"/>
      <c r="R387" s="527"/>
      <c r="S387" s="527"/>
      <c r="T387" s="527"/>
    </row>
    <row r="388" spans="1:37" s="518" customFormat="1" ht="12.6" thickBot="1">
      <c r="A388" s="722" t="s">
        <v>148</v>
      </c>
      <c r="B388" s="712">
        <f>$F388/$C$2-($R388*$S$2+$T388*$T$2)</f>
        <v>0</v>
      </c>
      <c r="C388" s="50"/>
      <c r="D388" s="633"/>
      <c r="E388" s="718" t="s">
        <v>451</v>
      </c>
      <c r="F388" s="723">
        <f>SUMIF($L$15:$L369,"SECT",F$15:F369)</f>
        <v>0</v>
      </c>
      <c r="G388" s="517"/>
      <c r="H388" s="517"/>
      <c r="I388" s="517"/>
      <c r="J388" s="517"/>
      <c r="K388" s="527"/>
      <c r="L388" s="702" t="s">
        <v>452</v>
      </c>
      <c r="M388" s="702"/>
      <c r="N388" s="702"/>
      <c r="O388" s="702"/>
      <c r="P388" s="702"/>
      <c r="Q388" s="710"/>
      <c r="R388" s="724">
        <f>SUMIF($L$15:$L369,"SECT",R$15:R369)</f>
        <v>0</v>
      </c>
      <c r="S388" s="710"/>
      <c r="T388" s="724">
        <f>SUMIF($L$15:$L369,"SECT",T$15:T369)</f>
        <v>0</v>
      </c>
    </row>
    <row r="389" spans="1:37" s="518" customFormat="1" thickBot="1">
      <c r="A389" s="53" t="s">
        <v>149</v>
      </c>
      <c r="B389" s="39"/>
      <c r="C389" s="3"/>
      <c r="D389" s="39"/>
      <c r="E389" s="39"/>
      <c r="F389" s="725"/>
      <c r="G389" s="726"/>
      <c r="H389" s="726"/>
      <c r="I389" s="726"/>
      <c r="J389" s="726"/>
      <c r="K389" s="726"/>
      <c r="L389" s="726"/>
      <c r="M389" s="726"/>
      <c r="N389" s="726"/>
      <c r="O389" s="726"/>
      <c r="P389" s="726"/>
      <c r="Q389" s="726"/>
      <c r="R389" s="725"/>
      <c r="S389" s="727"/>
      <c r="T389" s="725"/>
      <c r="U389" s="528"/>
      <c r="V389" s="528"/>
      <c r="W389" s="528"/>
      <c r="X389" s="528"/>
      <c r="Y389" s="528"/>
      <c r="Z389" s="528"/>
      <c r="AA389" s="528"/>
      <c r="AB389" s="528"/>
      <c r="AC389" s="528"/>
      <c r="AD389" s="528"/>
      <c r="AE389" s="528"/>
      <c r="AF389" s="528"/>
      <c r="AG389" s="528"/>
      <c r="AH389" s="528"/>
      <c r="AI389" s="528"/>
      <c r="AJ389" s="528"/>
      <c r="AK389" s="528"/>
    </row>
    <row r="390" spans="1:37" s="737" customFormat="1" thickTop="1">
      <c r="A390" s="728"/>
      <c r="B390" s="729" t="s">
        <v>71</v>
      </c>
      <c r="C390" s="730"/>
      <c r="D390" s="731"/>
      <c r="E390" s="732" t="s">
        <v>150</v>
      </c>
      <c r="F390" s="271"/>
      <c r="G390" s="271"/>
      <c r="H390" s="271"/>
      <c r="I390" s="271"/>
      <c r="J390" s="271"/>
      <c r="K390" s="271"/>
      <c r="L390" s="271"/>
      <c r="M390" s="271"/>
      <c r="N390" s="271"/>
      <c r="O390" s="733"/>
      <c r="P390" s="271"/>
      <c r="Q390" s="734"/>
      <c r="R390" s="735">
        <f>SUM(R391:R446)</f>
        <v>11673.023333333333</v>
      </c>
      <c r="S390" s="736"/>
      <c r="T390" s="735">
        <f>SUM(T391:T446)</f>
        <v>370.0382738528769</v>
      </c>
    </row>
    <row r="391" spans="1:37" s="737" customFormat="1" ht="13.2">
      <c r="A391" s="738"/>
      <c r="B391" s="739">
        <v>1</v>
      </c>
      <c r="C391" s="730" t="s">
        <v>73</v>
      </c>
      <c r="D391" t="s">
        <v>74</v>
      </c>
      <c r="E391"/>
      <c r="F391" s="740">
        <v>501</v>
      </c>
      <c r="G391"/>
      <c r="H391"/>
      <c r="I391"/>
      <c r="J391"/>
      <c r="K391"/>
      <c r="L391"/>
      <c r="M391"/>
      <c r="N391"/>
      <c r="O391" s="112"/>
      <c r="P391">
        <v>1</v>
      </c>
      <c r="Q391"/>
      <c r="R391" s="741">
        <f>SUMIF($H$13:$H$363,$F391,R$13:R$363)+Elec_Rates!R33</f>
        <v>9.5733333333333341</v>
      </c>
      <c r="S391" s="742"/>
      <c r="T391" s="741">
        <f>SUMIF($H$13:$H$363,$F391,T$13:T$363)+Elec_Rates!T33</f>
        <v>0</v>
      </c>
    </row>
    <row r="392" spans="1:37" s="737" customFormat="1" ht="13.2" hidden="1">
      <c r="A392" s="738"/>
      <c r="B392" s="739">
        <v>2</v>
      </c>
      <c r="C392" s="730" t="s">
        <v>73</v>
      </c>
      <c r="D392" t="s">
        <v>75</v>
      </c>
      <c r="E392"/>
      <c r="F392" s="740">
        <v>505</v>
      </c>
      <c r="G392"/>
      <c r="H392"/>
      <c r="I392"/>
      <c r="J392"/>
      <c r="K392"/>
      <c r="L392"/>
      <c r="M392"/>
      <c r="N392"/>
      <c r="O392" s="112"/>
      <c r="P392">
        <v>1</v>
      </c>
      <c r="Q392"/>
      <c r="R392" s="741">
        <f>SUMIF($H$13:$H$363,$F392,R$13:R$363)+Elec_Rates!R34</f>
        <v>0</v>
      </c>
      <c r="S392" s="742"/>
      <c r="T392" s="741">
        <f>SUMIF($H$13:$H$363,$F392,T$13:T$363)+Elec_Rates!T34</f>
        <v>0</v>
      </c>
    </row>
    <row r="393" spans="1:37" s="737" customFormat="1" ht="13.2">
      <c r="A393" s="738"/>
      <c r="B393" s="739">
        <v>3</v>
      </c>
      <c r="C393" s="730" t="s">
        <v>73</v>
      </c>
      <c r="D393" t="s">
        <v>76</v>
      </c>
      <c r="E393"/>
      <c r="F393" s="740">
        <v>510</v>
      </c>
      <c r="G393"/>
      <c r="H393"/>
      <c r="I393"/>
      <c r="J393"/>
      <c r="K393"/>
      <c r="L393"/>
      <c r="M393"/>
      <c r="N393"/>
      <c r="O393" s="112"/>
      <c r="P393">
        <v>2</v>
      </c>
      <c r="Q393"/>
      <c r="R393" s="741">
        <f>SUMIF($H$13:$H$363,$F393,R$13:R$363)+Elec_Rates!R35</f>
        <v>593.17999999999995</v>
      </c>
      <c r="S393" s="742"/>
      <c r="T393" s="741">
        <f>SUMIF($H$13:$H$363,$F393,T$13:T$363)+Elec_Rates!T35</f>
        <v>8.75</v>
      </c>
    </row>
    <row r="394" spans="1:37" s="737" customFormat="1" ht="13.2" hidden="1">
      <c r="A394" s="738"/>
      <c r="B394" s="739">
        <v>4</v>
      </c>
      <c r="C394" s="730" t="s">
        <v>73</v>
      </c>
      <c r="D394" t="s">
        <v>77</v>
      </c>
      <c r="E394"/>
      <c r="F394" s="740">
        <v>511</v>
      </c>
      <c r="G394"/>
      <c r="H394"/>
      <c r="I394"/>
      <c r="J394"/>
      <c r="K394"/>
      <c r="L394"/>
      <c r="M394"/>
      <c r="N394"/>
      <c r="O394" s="112"/>
      <c r="P394">
        <v>2</v>
      </c>
      <c r="Q394"/>
      <c r="R394" s="741">
        <f>SUMIF($H$13:$H$363,$F394,R$13:R$363)+Elec_Rates!R36</f>
        <v>0</v>
      </c>
      <c r="S394" s="742"/>
      <c r="T394" s="741">
        <f>SUMIF($H$13:$H$363,$F394,T$13:T$363)+Elec_Rates!T36</f>
        <v>0</v>
      </c>
    </row>
    <row r="395" spans="1:37" s="737" customFormat="1" ht="13.2" hidden="1">
      <c r="A395" s="738"/>
      <c r="B395" s="739">
        <v>5</v>
      </c>
      <c r="C395" s="730" t="s">
        <v>73</v>
      </c>
      <c r="D395" t="s">
        <v>78</v>
      </c>
      <c r="E395"/>
      <c r="F395" s="740">
        <v>512</v>
      </c>
      <c r="G395"/>
      <c r="H395"/>
      <c r="I395"/>
      <c r="J395"/>
      <c r="K395"/>
      <c r="L395"/>
      <c r="M395"/>
      <c r="N395"/>
      <c r="O395" s="112"/>
      <c r="P395">
        <v>2</v>
      </c>
      <c r="Q395"/>
      <c r="R395" s="741">
        <f>SUMIF($H$13:$H$363,$F395,R$13:R$363)+Elec_Rates!R37</f>
        <v>2204.19</v>
      </c>
      <c r="S395" s="742"/>
      <c r="T395" s="741">
        <f>SUMIF($H$13:$H$363,$F395,T$13:T$363)+Elec_Rates!T37</f>
        <v>2</v>
      </c>
    </row>
    <row r="396" spans="1:37" s="737" customFormat="1" ht="13.2" hidden="1">
      <c r="A396" s="738"/>
      <c r="B396" s="739">
        <v>6</v>
      </c>
      <c r="C396" s="730" t="s">
        <v>73</v>
      </c>
      <c r="D396" t="s">
        <v>79</v>
      </c>
      <c r="E396"/>
      <c r="F396" s="740">
        <v>520</v>
      </c>
      <c r="G396"/>
      <c r="H396"/>
      <c r="I396"/>
      <c r="J396"/>
      <c r="K396"/>
      <c r="L396"/>
      <c r="M396"/>
      <c r="N396"/>
      <c r="O396" s="112"/>
      <c r="P396">
        <v>1</v>
      </c>
      <c r="Q396"/>
      <c r="R396" s="741">
        <f>SUMIF($H$13:$H$363,$F396,R$13:R$363)+Elec_Rates!R38</f>
        <v>0</v>
      </c>
      <c r="S396" s="742"/>
      <c r="T396" s="741">
        <f>SUMIF($H$13:$H$363,$F396,T$13:T$363)+Elec_Rates!T38</f>
        <v>0</v>
      </c>
    </row>
    <row r="397" spans="1:37" s="737" customFormat="1" ht="13.2" hidden="1">
      <c r="A397" s="738"/>
      <c r="B397" s="739">
        <v>7</v>
      </c>
      <c r="C397" s="730" t="s">
        <v>73</v>
      </c>
      <c r="D397" t="s">
        <v>80</v>
      </c>
      <c r="E397"/>
      <c r="F397" s="740">
        <v>530</v>
      </c>
      <c r="G397"/>
      <c r="H397"/>
      <c r="I397"/>
      <c r="J397"/>
      <c r="K397"/>
      <c r="L397"/>
      <c r="M397"/>
      <c r="N397"/>
      <c r="O397" s="112"/>
      <c r="P397">
        <v>2</v>
      </c>
      <c r="Q397"/>
      <c r="R397" s="741">
        <f>SUMIF($H$13:$H$363,$F397,R$13:R$363)+Elec_Rates!R39</f>
        <v>0</v>
      </c>
      <c r="S397" s="742"/>
      <c r="T397" s="741">
        <f>SUMIF($H$13:$H$363,$F397,T$13:T$363)+Elec_Rates!T39</f>
        <v>0</v>
      </c>
    </row>
    <row r="398" spans="1:37" s="737" customFormat="1" ht="13.2" hidden="1">
      <c r="A398" s="738"/>
      <c r="B398" s="739">
        <v>8</v>
      </c>
      <c r="C398" s="730" t="s">
        <v>73</v>
      </c>
      <c r="D398" t="s">
        <v>81</v>
      </c>
      <c r="E398"/>
      <c r="F398" s="740">
        <v>550</v>
      </c>
      <c r="G398"/>
      <c r="H398"/>
      <c r="I398"/>
      <c r="J398"/>
      <c r="K398"/>
      <c r="L398"/>
      <c r="M398"/>
      <c r="N398"/>
      <c r="O398" s="112"/>
      <c r="P398">
        <v>2</v>
      </c>
      <c r="Q398"/>
      <c r="R398" s="741">
        <f>SUMIF($H$13:$H$363,$F398,R$13:R$363)+Elec_Rates!R40</f>
        <v>0</v>
      </c>
      <c r="S398" s="742"/>
      <c r="T398" s="741">
        <f>SUMIF($H$13:$H$363,$F398,T$13:T$363)+Elec_Rates!T40</f>
        <v>0</v>
      </c>
    </row>
    <row r="399" spans="1:37" s="737" customFormat="1" ht="13.2">
      <c r="A399" s="738"/>
      <c r="B399" s="739">
        <v>9</v>
      </c>
      <c r="C399" s="730" t="s">
        <v>73</v>
      </c>
      <c r="D399" t="s">
        <v>82</v>
      </c>
      <c r="E399"/>
      <c r="F399" s="740">
        <v>570</v>
      </c>
      <c r="G399"/>
      <c r="H399"/>
      <c r="I399"/>
      <c r="J399"/>
      <c r="K399"/>
      <c r="L399"/>
      <c r="M399"/>
      <c r="N399"/>
      <c r="O399" s="112"/>
      <c r="P399">
        <v>2</v>
      </c>
      <c r="Q399"/>
      <c r="R399" s="741">
        <f>SUMIF($H$13:$H$363,$F399,R$13:R$363)+Elec_Rates!R41</f>
        <v>0</v>
      </c>
      <c r="S399" s="742"/>
      <c r="T399" s="741">
        <f>SUMIF($H$13:$H$363,$F399,T$13:T$363)+Elec_Rates!T41</f>
        <v>0</v>
      </c>
    </row>
    <row r="400" spans="1:37" s="737" customFormat="1" ht="13.2">
      <c r="A400" s="738"/>
      <c r="B400" s="739">
        <v>10</v>
      </c>
      <c r="C400" s="730" t="s">
        <v>73</v>
      </c>
      <c r="D400" t="s">
        <v>83</v>
      </c>
      <c r="E400"/>
      <c r="F400" s="740">
        <v>615</v>
      </c>
      <c r="G400"/>
      <c r="H400"/>
      <c r="I400"/>
      <c r="J400"/>
      <c r="K400"/>
      <c r="L400"/>
      <c r="M400"/>
      <c r="N400"/>
      <c r="O400" s="112"/>
      <c r="P400">
        <v>2</v>
      </c>
      <c r="Q400"/>
      <c r="R400" s="741">
        <f>SUMIF($H$13:$H$363,$F400,R$13:R$363)+Elec_Rates!R42</f>
        <v>850.2</v>
      </c>
      <c r="S400" s="742"/>
      <c r="T400" s="741">
        <f>SUMIF($H$13:$H$363,$F400,T$13:T$363)+Elec_Rates!T42</f>
        <v>37.200000000000003</v>
      </c>
    </row>
    <row r="401" spans="1:20" s="737" customFormat="1" ht="13.2">
      <c r="A401" s="738"/>
      <c r="B401" s="739">
        <v>11</v>
      </c>
      <c r="C401" s="730" t="s">
        <v>73</v>
      </c>
      <c r="D401" t="s">
        <v>85</v>
      </c>
      <c r="E401"/>
      <c r="F401" s="740">
        <v>616</v>
      </c>
      <c r="G401"/>
      <c r="H401"/>
      <c r="I401"/>
      <c r="J401"/>
      <c r="K401"/>
      <c r="L401"/>
      <c r="M401"/>
      <c r="N401"/>
      <c r="O401" s="112"/>
      <c r="P401">
        <v>2</v>
      </c>
      <c r="Q401"/>
      <c r="R401" s="741">
        <f>SUMIF($H$13:$H$363,$F401,R$13:R$363)+Elec_Rates!R43</f>
        <v>1210</v>
      </c>
      <c r="S401" s="742"/>
      <c r="T401" s="741">
        <f>SUMIF($H$13:$H$363,$F401,T$13:T$363)+Elec_Rates!T43</f>
        <v>8.8000000000000025</v>
      </c>
    </row>
    <row r="402" spans="1:20" s="737" customFormat="1" ht="13.2">
      <c r="A402" s="738"/>
      <c r="B402" s="739">
        <v>12</v>
      </c>
      <c r="C402" s="730" t="s">
        <v>73</v>
      </c>
      <c r="D402" t="s">
        <v>86</v>
      </c>
      <c r="E402"/>
      <c r="F402" s="740">
        <v>617</v>
      </c>
      <c r="G402"/>
      <c r="H402"/>
      <c r="I402"/>
      <c r="J402"/>
      <c r="K402"/>
      <c r="L402"/>
      <c r="M402"/>
      <c r="N402"/>
      <c r="O402" s="112"/>
      <c r="P402">
        <v>2</v>
      </c>
      <c r="Q402"/>
      <c r="R402" s="741">
        <f>SUMIF($H$13:$H$363,$F402,R$13:R$363)+Elec_Rates!R44</f>
        <v>60</v>
      </c>
      <c r="S402" s="742"/>
      <c r="T402" s="741">
        <f>SUMIF($H$13:$H$363,$F402,T$13:T$363)+Elec_Rates!T44</f>
        <v>30.25</v>
      </c>
    </row>
    <row r="403" spans="1:20" s="737" customFormat="1" ht="13.2">
      <c r="A403" s="738"/>
      <c r="B403" s="739">
        <v>13</v>
      </c>
      <c r="C403" s="730" t="s">
        <v>73</v>
      </c>
      <c r="D403" t="s">
        <v>151</v>
      </c>
      <c r="E403"/>
      <c r="F403" s="740">
        <v>620</v>
      </c>
      <c r="G403"/>
      <c r="H403"/>
      <c r="I403"/>
      <c r="J403"/>
      <c r="K403"/>
      <c r="L403"/>
      <c r="M403"/>
      <c r="N403"/>
      <c r="O403" s="112"/>
      <c r="P403">
        <v>2</v>
      </c>
      <c r="Q403"/>
      <c r="R403" s="741">
        <f>SUMIF($H$13:$H$363,$F403,R$13:R$363)+Elec_Rates!R45</f>
        <v>51.09</v>
      </c>
      <c r="S403" s="742"/>
      <c r="T403" s="741">
        <f>SUMIF($H$13:$H$363,$F403,T$13:T$363)+Elec_Rates!T45</f>
        <v>3.5000000000000004</v>
      </c>
    </row>
    <row r="404" spans="1:20" s="737" customFormat="1" ht="13.2" hidden="1">
      <c r="A404" s="738"/>
      <c r="B404" s="739">
        <v>14</v>
      </c>
      <c r="C404" s="730" t="s">
        <v>73</v>
      </c>
      <c r="D404" t="s">
        <v>88</v>
      </c>
      <c r="E404"/>
      <c r="F404" s="740">
        <v>650</v>
      </c>
      <c r="G404"/>
      <c r="H404"/>
      <c r="I404"/>
      <c r="J404"/>
      <c r="K404"/>
      <c r="L404"/>
      <c r="M404"/>
      <c r="N404"/>
      <c r="O404" s="112"/>
      <c r="P404">
        <v>1</v>
      </c>
      <c r="Q404"/>
      <c r="R404" s="741">
        <f>SUMIF($H$13:$H$363,$F404,R$13:R$363)+Elec_Rates!R46</f>
        <v>0</v>
      </c>
      <c r="S404" s="742"/>
      <c r="T404" s="741">
        <f>SUMIF($H$13:$H$363,$F404,T$13:T$363)+Elec_Rates!T46</f>
        <v>0</v>
      </c>
    </row>
    <row r="405" spans="1:20" s="737" customFormat="1" ht="13.2" hidden="1">
      <c r="A405" s="738"/>
      <c r="B405" s="739">
        <v>15</v>
      </c>
      <c r="C405" s="730" t="s">
        <v>73</v>
      </c>
      <c r="D405" t="s">
        <v>89</v>
      </c>
      <c r="E405"/>
      <c r="F405" s="740">
        <v>651</v>
      </c>
      <c r="G405"/>
      <c r="H405"/>
      <c r="I405"/>
      <c r="J405"/>
      <c r="K405"/>
      <c r="L405"/>
      <c r="M405"/>
      <c r="N405"/>
      <c r="O405" s="112"/>
      <c r="P405">
        <v>1</v>
      </c>
      <c r="Q405"/>
      <c r="R405" s="741">
        <f>SUMIF($H$13:$H$363,$F405,R$13:R$363)+Elec_Rates!R47</f>
        <v>0</v>
      </c>
      <c r="S405" s="742"/>
      <c r="T405" s="741">
        <f>SUMIF($H$13:$H$363,$F405,T$13:T$363)+Elec_Rates!T47</f>
        <v>0</v>
      </c>
    </row>
    <row r="406" spans="1:20" s="737" customFormat="1" ht="13.2" hidden="1">
      <c r="A406" s="738"/>
      <c r="B406" s="739">
        <v>16</v>
      </c>
      <c r="C406" s="730" t="s">
        <v>73</v>
      </c>
      <c r="D406" t="s">
        <v>90</v>
      </c>
      <c r="E406"/>
      <c r="F406" s="740">
        <v>652</v>
      </c>
      <c r="G406"/>
      <c r="H406"/>
      <c r="I406"/>
      <c r="J406"/>
      <c r="K406"/>
      <c r="L406"/>
      <c r="M406"/>
      <c r="N406"/>
      <c r="O406" s="112"/>
      <c r="P406">
        <v>1</v>
      </c>
      <c r="Q406"/>
      <c r="R406" s="741">
        <f>SUMIF($H$13:$H$363,$F406,R$13:R$363)+Elec_Rates!R48</f>
        <v>0</v>
      </c>
      <c r="S406" s="742"/>
      <c r="T406" s="741">
        <f>SUMIF($H$13:$H$363,$F406,T$13:T$363)+Elec_Rates!T48</f>
        <v>0</v>
      </c>
    </row>
    <row r="407" spans="1:20" s="737" customFormat="1" ht="13.2" hidden="1">
      <c r="A407" s="738"/>
      <c r="B407" s="739">
        <v>17</v>
      </c>
      <c r="C407" s="730" t="s">
        <v>73</v>
      </c>
      <c r="D407" t="s">
        <v>91</v>
      </c>
      <c r="E407"/>
      <c r="F407" s="740">
        <v>654</v>
      </c>
      <c r="G407"/>
      <c r="H407"/>
      <c r="I407"/>
      <c r="J407"/>
      <c r="K407"/>
      <c r="L407"/>
      <c r="M407"/>
      <c r="N407"/>
      <c r="O407" s="112"/>
      <c r="P407">
        <v>1</v>
      </c>
      <c r="Q407"/>
      <c r="R407" s="741">
        <f>SUMIF($H$13:$H$363,$F407,R$13:R$363)+Elec_Rates!R49</f>
        <v>0</v>
      </c>
      <c r="S407" s="742"/>
      <c r="T407" s="741">
        <f>SUMIF($H$13:$H$363,$F407,T$13:T$363)+Elec_Rates!T49</f>
        <v>0</v>
      </c>
    </row>
    <row r="408" spans="1:20" s="737" customFormat="1" ht="13.2">
      <c r="A408" s="738"/>
      <c r="B408" s="739">
        <v>18</v>
      </c>
      <c r="C408" s="730" t="s">
        <v>73</v>
      </c>
      <c r="D408" t="s">
        <v>92</v>
      </c>
      <c r="E408"/>
      <c r="F408" s="740">
        <v>675</v>
      </c>
      <c r="G408"/>
      <c r="H408"/>
      <c r="I408"/>
      <c r="J408"/>
      <c r="K408"/>
      <c r="L408"/>
      <c r="M408"/>
      <c r="N408"/>
      <c r="O408" s="112"/>
      <c r="P408">
        <v>1</v>
      </c>
      <c r="Q408"/>
      <c r="R408" s="741">
        <f>SUMIF($H$13:$H$363,$F408,R$13:R$363)+Elec_Rates!R50</f>
        <v>117.96000000000001</v>
      </c>
      <c r="S408" s="742"/>
      <c r="T408" s="741">
        <f>SUMIF($H$13:$H$363,$F408,T$13:T$363)+Elec_Rates!T50</f>
        <v>2.46</v>
      </c>
    </row>
    <row r="409" spans="1:20" s="737" customFormat="1" ht="13.2" hidden="1">
      <c r="A409" s="738"/>
      <c r="B409" s="739">
        <v>19</v>
      </c>
      <c r="C409" s="730" t="s">
        <v>73</v>
      </c>
      <c r="D409" t="s">
        <v>93</v>
      </c>
      <c r="E409"/>
      <c r="F409" s="740">
        <v>676</v>
      </c>
      <c r="G409"/>
      <c r="H409"/>
      <c r="I409"/>
      <c r="J409"/>
      <c r="K409"/>
      <c r="L409"/>
      <c r="M409"/>
      <c r="N409"/>
      <c r="O409" s="112"/>
      <c r="P409">
        <v>1</v>
      </c>
      <c r="Q409"/>
      <c r="R409" s="741">
        <f>SUMIF($H$13:$H$363,$F409,R$13:R$363)+Elec_Rates!R51</f>
        <v>0</v>
      </c>
      <c r="S409" s="742"/>
      <c r="T409" s="741">
        <f>SUMIF($H$13:$H$363,$F409,T$13:T$363)+Elec_Rates!T51</f>
        <v>0</v>
      </c>
    </row>
    <row r="410" spans="1:20" s="737" customFormat="1" ht="13.2" hidden="1">
      <c r="A410" s="738"/>
      <c r="B410" s="739">
        <v>20</v>
      </c>
      <c r="C410" s="730" t="s">
        <v>73</v>
      </c>
      <c r="D410" t="s">
        <v>94</v>
      </c>
      <c r="E410"/>
      <c r="F410" s="740">
        <v>680</v>
      </c>
      <c r="G410"/>
      <c r="H410"/>
      <c r="I410"/>
      <c r="J410"/>
      <c r="K410"/>
      <c r="L410"/>
      <c r="M410"/>
      <c r="N410"/>
      <c r="O410" s="112"/>
      <c r="P410">
        <v>1</v>
      </c>
      <c r="Q410"/>
      <c r="R410" s="741">
        <f>SUMIF($H$13:$H$363,$F410,R$13:R$363)+Elec_Rates!R52</f>
        <v>0</v>
      </c>
      <c r="S410" s="742"/>
      <c r="T410" s="741">
        <f>SUMIF($H$13:$H$363,$F410,T$13:T$363)+Elec_Rates!T52</f>
        <v>0</v>
      </c>
    </row>
    <row r="411" spans="1:20" s="737" customFormat="1" ht="13.2" hidden="1">
      <c r="A411" s="738"/>
      <c r="B411" s="739">
        <v>21</v>
      </c>
      <c r="C411" s="730" t="s">
        <v>73</v>
      </c>
      <c r="D411" t="s">
        <v>96</v>
      </c>
      <c r="E411"/>
      <c r="F411" s="740">
        <v>681</v>
      </c>
      <c r="G411"/>
      <c r="H411"/>
      <c r="I411"/>
      <c r="J411"/>
      <c r="K411"/>
      <c r="L411"/>
      <c r="M411"/>
      <c r="N411"/>
      <c r="O411" s="112"/>
      <c r="P411">
        <v>1</v>
      </c>
      <c r="Q411"/>
      <c r="R411" s="741">
        <f>SUMIF($H$13:$H$363,$F411,R$13:R$363)+Elec_Rates!R53</f>
        <v>0</v>
      </c>
      <c r="S411" s="742"/>
      <c r="T411" s="741">
        <f>SUMIF($H$13:$H$363,$F411,T$13:T$363)+Elec_Rates!T53</f>
        <v>0</v>
      </c>
    </row>
    <row r="412" spans="1:20" s="737" customFormat="1" ht="13.2" hidden="1">
      <c r="A412" s="738"/>
      <c r="B412" s="739">
        <v>22</v>
      </c>
      <c r="C412" s="730" t="s">
        <v>73</v>
      </c>
      <c r="D412" t="s">
        <v>97</v>
      </c>
      <c r="E412"/>
      <c r="F412" s="740">
        <v>690</v>
      </c>
      <c r="G412"/>
      <c r="H412"/>
      <c r="I412"/>
      <c r="J412"/>
      <c r="K412"/>
      <c r="L412"/>
      <c r="M412"/>
      <c r="N412"/>
      <c r="O412" s="112"/>
      <c r="P412">
        <v>1</v>
      </c>
      <c r="Q412"/>
      <c r="R412" s="741">
        <f>SUMIF($H$13:$H$363,$F412,R$13:R$363)+Elec_Rates!R54</f>
        <v>0</v>
      </c>
      <c r="S412" s="742"/>
      <c r="T412" s="741">
        <f>SUMIF($H$13:$H$363,$F412,T$13:T$363)+Elec_Rates!T54</f>
        <v>0</v>
      </c>
    </row>
    <row r="413" spans="1:20" s="737" customFormat="1" ht="13.2">
      <c r="A413" s="738"/>
      <c r="B413" s="739">
        <v>23</v>
      </c>
      <c r="C413" s="730" t="s">
        <v>73</v>
      </c>
      <c r="D413" t="s">
        <v>98</v>
      </c>
      <c r="E413"/>
      <c r="F413" s="740">
        <v>700</v>
      </c>
      <c r="G413"/>
      <c r="H413"/>
      <c r="I413"/>
      <c r="J413"/>
      <c r="K413"/>
      <c r="L413"/>
      <c r="M413"/>
      <c r="N413"/>
      <c r="O413" s="112"/>
      <c r="P413">
        <v>1</v>
      </c>
      <c r="Q413"/>
      <c r="R413" s="741">
        <f>SUMIF($H$13:$H$363,$F413,R$13:R$363)+Elec_Rates!R55</f>
        <v>1059.44</v>
      </c>
      <c r="S413" s="742"/>
      <c r="T413" s="741">
        <f>SUMIF($H$13:$H$363,$F413,T$13:T$363)+Elec_Rates!T55</f>
        <v>116.96</v>
      </c>
    </row>
    <row r="414" spans="1:20" s="737" customFormat="1" ht="13.2">
      <c r="A414" s="738"/>
      <c r="B414" s="739">
        <v>24</v>
      </c>
      <c r="C414" s="730" t="s">
        <v>73</v>
      </c>
      <c r="D414" t="s">
        <v>99</v>
      </c>
      <c r="E414"/>
      <c r="F414" s="740">
        <v>705</v>
      </c>
      <c r="G414"/>
      <c r="H414"/>
      <c r="I414"/>
      <c r="J414"/>
      <c r="K414"/>
      <c r="L414"/>
      <c r="M414"/>
      <c r="N414"/>
      <c r="O414" s="112"/>
      <c r="P414">
        <v>3</v>
      </c>
      <c r="Q414"/>
      <c r="R414" s="741">
        <f>SUMIF($H$13:$H$363,$F414,R$13:R$363)+Elec_Rates!R56</f>
        <v>3800.5</v>
      </c>
      <c r="S414" s="742"/>
      <c r="T414" s="741">
        <f>SUMIF($H$13:$H$363,$F414,T$13:T$363)+Elec_Rates!T56</f>
        <v>42.300000000000004</v>
      </c>
    </row>
    <row r="415" spans="1:20" s="737" customFormat="1" ht="13.2" hidden="1">
      <c r="A415" s="738"/>
      <c r="B415" s="739">
        <v>25</v>
      </c>
      <c r="C415" s="730" t="s">
        <v>73</v>
      </c>
      <c r="D415" t="s">
        <v>100</v>
      </c>
      <c r="E415"/>
      <c r="F415" s="740">
        <v>706</v>
      </c>
      <c r="G415"/>
      <c r="H415"/>
      <c r="I415"/>
      <c r="J415"/>
      <c r="K415"/>
      <c r="L415"/>
      <c r="M415"/>
      <c r="N415"/>
      <c r="O415" s="112"/>
      <c r="P415">
        <v>3</v>
      </c>
      <c r="Q415"/>
      <c r="R415" s="741">
        <f>SUMIF($H$13:$H$363,$F415,R$13:R$363)+Elec_Rates!R57</f>
        <v>0</v>
      </c>
      <c r="S415" s="742"/>
      <c r="T415" s="741">
        <f>SUMIF($H$13:$H$363,$F415,T$13:T$363)+Elec_Rates!T57</f>
        <v>0</v>
      </c>
    </row>
    <row r="416" spans="1:20" s="737" customFormat="1" ht="13.2">
      <c r="A416" s="738"/>
      <c r="B416" s="739">
        <v>26</v>
      </c>
      <c r="C416" s="730" t="s">
        <v>73</v>
      </c>
      <c r="D416" t="s">
        <v>101</v>
      </c>
      <c r="E416"/>
      <c r="F416" s="740">
        <v>725</v>
      </c>
      <c r="G416"/>
      <c r="H416"/>
      <c r="I416"/>
      <c r="J416"/>
      <c r="K416"/>
      <c r="L416"/>
      <c r="M416"/>
      <c r="N416"/>
      <c r="O416" s="112"/>
      <c r="P416">
        <v>3</v>
      </c>
      <c r="Q416"/>
      <c r="R416" s="741">
        <f>SUMIF($H$13:$H$363,$F416,R$13:R$363)+Elec_Rates!R58</f>
        <v>975</v>
      </c>
      <c r="S416" s="742"/>
      <c r="T416" s="741">
        <f>SUMIF($H$13:$H$363,$F416,T$13:T$363)+Elec_Rates!T58</f>
        <v>35.688273852876911</v>
      </c>
    </row>
    <row r="417" spans="1:20" s="737" customFormat="1" ht="13.2" hidden="1">
      <c r="A417" s="738"/>
      <c r="B417" s="739">
        <v>27</v>
      </c>
      <c r="C417" s="730" t="s">
        <v>73</v>
      </c>
      <c r="D417" t="s">
        <v>102</v>
      </c>
      <c r="E417"/>
      <c r="F417" s="740">
        <v>726</v>
      </c>
      <c r="G417"/>
      <c r="H417"/>
      <c r="I417"/>
      <c r="J417"/>
      <c r="K417"/>
      <c r="L417"/>
      <c r="M417"/>
      <c r="N417"/>
      <c r="O417" s="112"/>
      <c r="P417">
        <v>3</v>
      </c>
      <c r="Q417"/>
      <c r="R417" s="741">
        <f>SUMIF($H$13:$H$363,$F417,R$13:R$363)+Elec_Rates!R59</f>
        <v>0</v>
      </c>
      <c r="S417" s="742"/>
      <c r="T417" s="741">
        <f>SUMIF($H$13:$H$363,$F417,T$13:T$363)+Elec_Rates!T59</f>
        <v>0</v>
      </c>
    </row>
    <row r="418" spans="1:20" s="737" customFormat="1" ht="13.2" hidden="1">
      <c r="A418" s="738"/>
      <c r="B418" s="739">
        <v>28</v>
      </c>
      <c r="C418" s="730" t="s">
        <v>73</v>
      </c>
      <c r="D418" t="s">
        <v>103</v>
      </c>
      <c r="E418"/>
      <c r="F418" s="740">
        <v>750</v>
      </c>
      <c r="G418"/>
      <c r="H418"/>
      <c r="I418"/>
      <c r="J418"/>
      <c r="K418"/>
      <c r="L418"/>
      <c r="M418"/>
      <c r="N418"/>
      <c r="O418" s="112"/>
      <c r="P418">
        <v>3</v>
      </c>
      <c r="Q418"/>
      <c r="R418" s="741">
        <f>SUMIF($H$13:$H$363,$F418,R$13:R$363)+Elec_Rates!R60</f>
        <v>0</v>
      </c>
      <c r="S418" s="742"/>
      <c r="T418" s="741">
        <f>SUMIF($H$13:$H$363,$F418,T$13:T$363)+Elec_Rates!T60</f>
        <v>0</v>
      </c>
    </row>
    <row r="419" spans="1:20" s="737" customFormat="1" ht="13.2">
      <c r="A419" s="738"/>
      <c r="B419" s="739">
        <v>29</v>
      </c>
      <c r="C419" s="730" t="s">
        <v>73</v>
      </c>
      <c r="D419" t="s">
        <v>104</v>
      </c>
      <c r="E419"/>
      <c r="F419" s="740">
        <v>751</v>
      </c>
      <c r="G419"/>
      <c r="H419"/>
      <c r="I419"/>
      <c r="J419"/>
      <c r="K419"/>
      <c r="L419"/>
      <c r="M419"/>
      <c r="N419"/>
      <c r="O419" s="112"/>
      <c r="P419">
        <v>3</v>
      </c>
      <c r="Q419"/>
      <c r="R419" s="741">
        <f>SUMIF($H$13:$H$363,$F419,R$13:R$363)+Elec_Rates!R61</f>
        <v>0</v>
      </c>
      <c r="S419" s="742"/>
      <c r="T419" s="741">
        <f>SUMIF($H$13:$H$363,$F419,T$13:T$363)+Elec_Rates!T61</f>
        <v>1.25</v>
      </c>
    </row>
    <row r="420" spans="1:20" s="737" customFormat="1" ht="13.2" hidden="1">
      <c r="A420" s="738"/>
      <c r="B420" s="739">
        <v>30</v>
      </c>
      <c r="C420" s="730" t="s">
        <v>73</v>
      </c>
      <c r="D420" t="s">
        <v>105</v>
      </c>
      <c r="E420"/>
      <c r="F420" s="740">
        <v>752</v>
      </c>
      <c r="G420"/>
      <c r="H420"/>
      <c r="I420"/>
      <c r="J420"/>
      <c r="K420"/>
      <c r="L420"/>
      <c r="M420"/>
      <c r="N420"/>
      <c r="O420" s="112"/>
      <c r="P420">
        <v>3</v>
      </c>
      <c r="Q420"/>
      <c r="R420" s="741">
        <f>SUMIF($H$13:$H$363,$F420,R$13:R$363)+Elec_Rates!R62</f>
        <v>0</v>
      </c>
      <c r="S420" s="742"/>
      <c r="T420" s="741">
        <f>SUMIF($H$13:$H$363,$F420,T$13:T$363)+Elec_Rates!T62</f>
        <v>0</v>
      </c>
    </row>
    <row r="421" spans="1:20" s="737" customFormat="1" ht="13.2" hidden="1">
      <c r="A421" s="738"/>
      <c r="B421" s="739">
        <v>31</v>
      </c>
      <c r="C421" s="730" t="s">
        <v>73</v>
      </c>
      <c r="D421" s="533" t="s">
        <v>263</v>
      </c>
      <c r="E421"/>
      <c r="F421" s="740">
        <v>753</v>
      </c>
      <c r="G421"/>
      <c r="H421"/>
      <c r="I421"/>
      <c r="J421"/>
      <c r="K421"/>
      <c r="L421"/>
      <c r="M421"/>
      <c r="N421"/>
      <c r="O421" s="112"/>
      <c r="P421">
        <v>3</v>
      </c>
      <c r="Q421"/>
      <c r="R421" s="741">
        <f>SUMIF($H$13:$H$363,$F421,R$13:R$363)+Elec_Rates!R63</f>
        <v>0</v>
      </c>
      <c r="S421" s="742"/>
      <c r="T421" s="741">
        <f>SUMIF($H$13:$H$363,$F421,T$13:T$363)+Elec_Rates!T63</f>
        <v>0</v>
      </c>
    </row>
    <row r="422" spans="1:20" s="737" customFormat="1" ht="13.2" hidden="1">
      <c r="A422" s="738"/>
      <c r="B422" s="739">
        <v>32</v>
      </c>
      <c r="C422" s="730" t="s">
        <v>73</v>
      </c>
      <c r="D422" t="s">
        <v>107</v>
      </c>
      <c r="E422"/>
      <c r="F422" s="740">
        <v>770</v>
      </c>
      <c r="G422"/>
      <c r="H422"/>
      <c r="I422"/>
      <c r="J422"/>
      <c r="K422"/>
      <c r="L422"/>
      <c r="M422"/>
      <c r="N422"/>
      <c r="O422" s="112"/>
      <c r="P422">
        <v>3</v>
      </c>
      <c r="Q422"/>
      <c r="R422" s="741">
        <f>SUMIF($H$13:$H$363,$F422,R$13:R$363)+Elec_Rates!R64</f>
        <v>0</v>
      </c>
      <c r="S422" s="742"/>
      <c r="T422" s="741">
        <f>SUMIF($H$13:$H$363,$F422,T$13:T$363)+Elec_Rates!T64</f>
        <v>0</v>
      </c>
    </row>
    <row r="423" spans="1:20" s="737" customFormat="1" ht="13.2" hidden="1">
      <c r="A423" s="738"/>
      <c r="B423" s="739">
        <v>33</v>
      </c>
      <c r="C423" s="730" t="s">
        <v>73</v>
      </c>
      <c r="D423" t="s">
        <v>108</v>
      </c>
      <c r="E423"/>
      <c r="F423" s="740">
        <v>790</v>
      </c>
      <c r="G423"/>
      <c r="H423"/>
      <c r="I423"/>
      <c r="J423"/>
      <c r="K423"/>
      <c r="L423"/>
      <c r="M423"/>
      <c r="N423"/>
      <c r="O423" s="112"/>
      <c r="P423">
        <v>3</v>
      </c>
      <c r="Q423"/>
      <c r="R423" s="741">
        <f>SUMIF($H$13:$H$363,$F423,R$13:R$363)+Elec_Rates!R65</f>
        <v>0</v>
      </c>
      <c r="S423" s="742"/>
      <c r="T423" s="741">
        <f>SUMIF($H$13:$H$363,$F423,T$13:T$363)+Elec_Rates!T65</f>
        <v>0</v>
      </c>
    </row>
    <row r="424" spans="1:20" s="737" customFormat="1" ht="13.2" hidden="1">
      <c r="A424" s="738"/>
      <c r="B424" s="739">
        <v>34</v>
      </c>
      <c r="C424" s="730" t="s">
        <v>73</v>
      </c>
      <c r="D424" t="s">
        <v>109</v>
      </c>
      <c r="E424"/>
      <c r="F424" s="740">
        <v>791</v>
      </c>
      <c r="G424"/>
      <c r="H424"/>
      <c r="I424"/>
      <c r="J424"/>
      <c r="K424"/>
      <c r="L424"/>
      <c r="M424"/>
      <c r="N424"/>
      <c r="O424" s="112"/>
      <c r="P424">
        <v>3</v>
      </c>
      <c r="Q424"/>
      <c r="R424" s="741">
        <f>SUMIF($H$13:$H$363,$F424,R$13:R$363)+Elec_Rates!R66</f>
        <v>0</v>
      </c>
      <c r="S424" s="742"/>
      <c r="T424" s="741">
        <f>SUMIF($H$13:$H$363,$F424,T$13:T$363)+Elec_Rates!T66</f>
        <v>0</v>
      </c>
    </row>
    <row r="425" spans="1:20" s="737" customFormat="1" ht="13.2" hidden="1">
      <c r="A425" s="738"/>
      <c r="B425" s="739">
        <v>35</v>
      </c>
      <c r="C425" s="730" t="s">
        <v>73</v>
      </c>
      <c r="D425" t="s">
        <v>110</v>
      </c>
      <c r="E425"/>
      <c r="F425" s="740">
        <v>810</v>
      </c>
      <c r="G425"/>
      <c r="H425"/>
      <c r="I425"/>
      <c r="J425"/>
      <c r="K425"/>
      <c r="L425"/>
      <c r="M425"/>
      <c r="N425"/>
      <c r="O425" s="112"/>
      <c r="P425">
        <v>3</v>
      </c>
      <c r="Q425"/>
      <c r="R425" s="741">
        <f>SUMIF($H$13:$H$363,$F425,R$13:R$363)+Elec_Rates!R67</f>
        <v>0</v>
      </c>
      <c r="S425" s="742"/>
      <c r="T425" s="741">
        <f>SUMIF($H$13:$H$363,$F425,T$13:T$363)+Elec_Rates!T67</f>
        <v>0</v>
      </c>
    </row>
    <row r="426" spans="1:20" s="737" customFormat="1" ht="13.2" hidden="1">
      <c r="A426" s="738"/>
      <c r="B426" s="739">
        <v>36</v>
      </c>
      <c r="C426" s="730" t="s">
        <v>73</v>
      </c>
      <c r="D426" t="s">
        <v>111</v>
      </c>
      <c r="E426"/>
      <c r="F426" s="740">
        <v>815</v>
      </c>
      <c r="G426"/>
      <c r="H426"/>
      <c r="I426"/>
      <c r="J426"/>
      <c r="K426"/>
      <c r="L426"/>
      <c r="M426"/>
      <c r="N426"/>
      <c r="O426" s="112"/>
      <c r="P426">
        <v>3</v>
      </c>
      <c r="Q426"/>
      <c r="R426" s="741">
        <f>SUMIF($H$13:$H$363,$F426,R$13:R$363)+Elec_Rates!R68</f>
        <v>0</v>
      </c>
      <c r="S426" s="742"/>
      <c r="T426" s="741">
        <f>SUMIF($H$13:$H$363,$F426,T$13:T$363)+Elec_Rates!T68</f>
        <v>0</v>
      </c>
    </row>
    <row r="427" spans="1:20" s="737" customFormat="1" ht="13.2" hidden="1">
      <c r="A427" s="738"/>
      <c r="B427" s="739">
        <v>37</v>
      </c>
      <c r="C427" s="730" t="s">
        <v>73</v>
      </c>
      <c r="D427" t="s">
        <v>112</v>
      </c>
      <c r="E427"/>
      <c r="F427" s="740">
        <v>820</v>
      </c>
      <c r="G427"/>
      <c r="H427"/>
      <c r="I427"/>
      <c r="J427"/>
      <c r="K427"/>
      <c r="L427"/>
      <c r="M427"/>
      <c r="N427"/>
      <c r="O427" s="112"/>
      <c r="P427">
        <v>2</v>
      </c>
      <c r="Q427"/>
      <c r="R427" s="741">
        <f>SUMIF($H$13:$H$363,$F427,R$13:R$363)+Elec_Rates!R69</f>
        <v>0</v>
      </c>
      <c r="S427" s="742"/>
      <c r="T427" s="741">
        <f>SUMIF($H$13:$H$363,$F427,T$13:T$363)+Elec_Rates!T69</f>
        <v>0</v>
      </c>
    </row>
    <row r="428" spans="1:20" s="737" customFormat="1" ht="13.2">
      <c r="A428" s="738"/>
      <c r="B428" s="739">
        <v>38</v>
      </c>
      <c r="C428" s="730" t="s">
        <v>73</v>
      </c>
      <c r="D428" t="s">
        <v>113</v>
      </c>
      <c r="E428"/>
      <c r="F428" s="740">
        <v>821</v>
      </c>
      <c r="G428"/>
      <c r="H428"/>
      <c r="I428"/>
      <c r="J428"/>
      <c r="K428"/>
      <c r="L428"/>
      <c r="M428"/>
      <c r="N428"/>
      <c r="O428" s="112"/>
      <c r="P428">
        <v>3</v>
      </c>
      <c r="Q428"/>
      <c r="R428" s="741">
        <f>SUMIF($H$13:$H$363,$F428,R$13:R$363)+Elec_Rates!R70</f>
        <v>120</v>
      </c>
      <c r="S428" s="742"/>
      <c r="T428" s="741">
        <f>SUMIF($H$13:$H$363,$F428,T$13:T$363)+Elec_Rates!T70</f>
        <v>0.36</v>
      </c>
    </row>
    <row r="429" spans="1:20" s="737" customFormat="1" ht="13.2">
      <c r="A429" s="738"/>
      <c r="B429" s="739">
        <v>39</v>
      </c>
      <c r="C429" s="730" t="s">
        <v>73</v>
      </c>
      <c r="D429" t="s">
        <v>114</v>
      </c>
      <c r="E429"/>
      <c r="F429" s="740">
        <v>835</v>
      </c>
      <c r="G429"/>
      <c r="H429"/>
      <c r="I429"/>
      <c r="J429"/>
      <c r="K429"/>
      <c r="L429"/>
      <c r="M429"/>
      <c r="N429"/>
      <c r="O429" s="112"/>
      <c r="P429">
        <v>3</v>
      </c>
      <c r="Q429"/>
      <c r="R429" s="741">
        <f>SUMIF($H$13:$H$363,$F429,R$13:R$363)+Elec_Rates!R71</f>
        <v>432</v>
      </c>
      <c r="S429" s="742"/>
      <c r="T429" s="741">
        <f>SUMIF($H$13:$H$363,$F429,T$13:T$363)+Elec_Rates!T71</f>
        <v>55.77</v>
      </c>
    </row>
    <row r="430" spans="1:20" s="737" customFormat="1" ht="13.2" hidden="1">
      <c r="A430" s="738"/>
      <c r="B430" s="739">
        <v>40</v>
      </c>
      <c r="C430" s="730" t="s">
        <v>73</v>
      </c>
      <c r="D430" t="s">
        <v>115</v>
      </c>
      <c r="E430"/>
      <c r="F430" s="740">
        <v>845</v>
      </c>
      <c r="G430"/>
      <c r="H430"/>
      <c r="I430"/>
      <c r="J430"/>
      <c r="K430"/>
      <c r="L430"/>
      <c r="M430"/>
      <c r="N430"/>
      <c r="O430" s="112"/>
      <c r="P430">
        <v>2</v>
      </c>
      <c r="Q430"/>
      <c r="R430" s="741">
        <f>SUMIF($H$13:$H$363,$F430,R$13:R$363)+Elec_Rates!R72</f>
        <v>0</v>
      </c>
      <c r="S430" s="742"/>
      <c r="T430" s="741">
        <f>SUMIF($H$13:$H$363,$F430,T$13:T$363)+Elec_Rates!T72</f>
        <v>0</v>
      </c>
    </row>
    <row r="431" spans="1:20" s="737" customFormat="1" ht="13.2" hidden="1">
      <c r="A431" s="738"/>
      <c r="B431" s="739">
        <v>41</v>
      </c>
      <c r="C431" s="730" t="s">
        <v>73</v>
      </c>
      <c r="D431" t="s">
        <v>117</v>
      </c>
      <c r="E431"/>
      <c r="F431" s="740">
        <v>855</v>
      </c>
      <c r="G431"/>
      <c r="H431"/>
      <c r="I431"/>
      <c r="J431"/>
      <c r="K431"/>
      <c r="L431"/>
      <c r="M431"/>
      <c r="N431"/>
      <c r="O431" s="112"/>
      <c r="P431">
        <v>3</v>
      </c>
      <c r="Q431"/>
      <c r="R431" s="741">
        <f>SUMIF($H$13:$H$363,$F431,R$13:R$363)+Elec_Rates!R73</f>
        <v>0</v>
      </c>
      <c r="S431" s="742"/>
      <c r="T431" s="741">
        <f>SUMIF($H$13:$H$363,$F431,T$13:T$363)+Elec_Rates!T73</f>
        <v>0</v>
      </c>
    </row>
    <row r="432" spans="1:20" s="737" customFormat="1" ht="13.2" hidden="1">
      <c r="A432" s="738"/>
      <c r="B432" s="739">
        <v>42</v>
      </c>
      <c r="C432" s="730" t="s">
        <v>73</v>
      </c>
      <c r="D432" t="s">
        <v>118</v>
      </c>
      <c r="E432"/>
      <c r="F432" s="740">
        <v>856</v>
      </c>
      <c r="G432"/>
      <c r="H432"/>
      <c r="I432"/>
      <c r="J432"/>
      <c r="K432"/>
      <c r="L432"/>
      <c r="M432"/>
      <c r="N432"/>
      <c r="O432" s="112"/>
      <c r="P432">
        <v>3</v>
      </c>
      <c r="Q432"/>
      <c r="R432" s="741">
        <f>SUMIF($H$13:$H$363,$F432,R$13:R$363)+Elec_Rates!R74</f>
        <v>0</v>
      </c>
      <c r="S432" s="742"/>
      <c r="T432" s="741">
        <f>SUMIF($H$13:$H$363,$F432,T$13:T$363)+Elec_Rates!T74</f>
        <v>0</v>
      </c>
    </row>
    <row r="433" spans="1:37" s="737" customFormat="1" ht="13.2" hidden="1">
      <c r="A433" s="738"/>
      <c r="B433" s="739">
        <v>43</v>
      </c>
      <c r="C433" s="730" t="s">
        <v>73</v>
      </c>
      <c r="D433" s="36" t="s">
        <v>244</v>
      </c>
      <c r="E433"/>
      <c r="F433" s="740">
        <v>857</v>
      </c>
      <c r="G433"/>
      <c r="H433"/>
      <c r="I433"/>
      <c r="J433"/>
      <c r="K433"/>
      <c r="L433"/>
      <c r="M433"/>
      <c r="N433"/>
      <c r="O433" s="112"/>
      <c r="P433">
        <v>4</v>
      </c>
      <c r="Q433"/>
      <c r="R433" s="741">
        <f>SUMIF($H$13:$H$363,$F433,R$13:R$363)+Elec_Rates!R75</f>
        <v>0</v>
      </c>
      <c r="S433" s="742"/>
      <c r="T433" s="741">
        <f>SUMIF($H$13:$H$363,$F433,T$13:T$363)+Elec_Rates!T75</f>
        <v>0</v>
      </c>
    </row>
    <row r="434" spans="1:37" s="737" customFormat="1" ht="13.2" hidden="1">
      <c r="A434" s="738"/>
      <c r="B434" s="739">
        <v>44</v>
      </c>
      <c r="C434" s="730" t="s">
        <v>73</v>
      </c>
      <c r="D434" t="s">
        <v>119</v>
      </c>
      <c r="E434"/>
      <c r="F434" s="740">
        <v>858</v>
      </c>
      <c r="G434"/>
      <c r="H434"/>
      <c r="I434"/>
      <c r="J434"/>
      <c r="K434"/>
      <c r="L434"/>
      <c r="M434"/>
      <c r="N434"/>
      <c r="O434" s="112"/>
      <c r="P434">
        <v>3</v>
      </c>
      <c r="Q434"/>
      <c r="R434" s="741">
        <f>SUMIF($H$13:$H$363,$F434,R$13:R$363)+Elec_Rates!R76</f>
        <v>0</v>
      </c>
      <c r="S434" s="742"/>
      <c r="T434" s="741">
        <f>SUMIF($H$13:$H$363,$F434,T$13:T$363)+Elec_Rates!T76</f>
        <v>0</v>
      </c>
    </row>
    <row r="435" spans="1:37" s="737" customFormat="1" ht="13.2">
      <c r="A435" s="738"/>
      <c r="B435" s="739">
        <v>45</v>
      </c>
      <c r="C435" s="730" t="s">
        <v>73</v>
      </c>
      <c r="D435" t="s">
        <v>120</v>
      </c>
      <c r="E435"/>
      <c r="F435" s="740">
        <v>865</v>
      </c>
      <c r="G435"/>
      <c r="H435"/>
      <c r="I435"/>
      <c r="J435"/>
      <c r="K435"/>
      <c r="L435"/>
      <c r="M435"/>
      <c r="N435"/>
      <c r="O435" s="112"/>
      <c r="P435">
        <v>3</v>
      </c>
      <c r="Q435"/>
      <c r="R435" s="741">
        <f>SUMIF($H$13:$H$363,$F435,R$13:R$363)+Elec_Rates!R77</f>
        <v>0</v>
      </c>
      <c r="S435" s="742"/>
      <c r="T435" s="741">
        <f>SUMIF($H$13:$H$363,$F435,T$13:T$363)+Elec_Rates!T77</f>
        <v>5</v>
      </c>
    </row>
    <row r="436" spans="1:37" s="737" customFormat="1" ht="13.2" hidden="1">
      <c r="A436" s="738"/>
      <c r="B436" s="739">
        <v>46</v>
      </c>
      <c r="C436" s="730" t="s">
        <v>73</v>
      </c>
      <c r="D436" t="s">
        <v>121</v>
      </c>
      <c r="E436"/>
      <c r="F436" s="740">
        <v>870</v>
      </c>
      <c r="G436"/>
      <c r="H436"/>
      <c r="I436"/>
      <c r="J436"/>
      <c r="K436"/>
      <c r="L436"/>
      <c r="M436"/>
      <c r="N436"/>
      <c r="O436" s="112"/>
      <c r="P436">
        <v>4</v>
      </c>
      <c r="Q436"/>
      <c r="R436" s="741">
        <f>SUMIF($H$13:$H$363,$F436,R$13:R$363)+Elec_Rates!R78</f>
        <v>0</v>
      </c>
      <c r="S436" s="742"/>
      <c r="T436" s="741">
        <f>SUMIF($H$13:$H$363,$F436,T$13:T$363)+Elec_Rates!T78</f>
        <v>0</v>
      </c>
    </row>
    <row r="437" spans="1:37" s="737" customFormat="1" ht="13.2">
      <c r="A437" s="738"/>
      <c r="B437" s="739">
        <v>47</v>
      </c>
      <c r="C437" s="730" t="s">
        <v>73</v>
      </c>
      <c r="D437" t="s">
        <v>122</v>
      </c>
      <c r="E437"/>
      <c r="F437" s="740">
        <v>875</v>
      </c>
      <c r="G437"/>
      <c r="H437"/>
      <c r="I437"/>
      <c r="J437"/>
      <c r="K437"/>
      <c r="L437"/>
      <c r="M437"/>
      <c r="N437"/>
      <c r="O437" s="112"/>
      <c r="P437">
        <v>1</v>
      </c>
      <c r="Q437"/>
      <c r="R437" s="741">
        <f>SUMIF($H$13:$H$363,$F437,R$13:R$363)+Elec_Rates!R79</f>
        <v>189.89000000000004</v>
      </c>
      <c r="S437" s="742"/>
      <c r="T437" s="741">
        <f>SUMIF($H$13:$H$363,$F437,T$13:T$363)+Elec_Rates!T79</f>
        <v>5.05</v>
      </c>
    </row>
    <row r="438" spans="1:37" s="737" customFormat="1" ht="13.2" hidden="1">
      <c r="A438" s="738"/>
      <c r="B438" s="739">
        <v>48</v>
      </c>
      <c r="C438" s="730" t="s">
        <v>73</v>
      </c>
      <c r="D438" t="s">
        <v>123</v>
      </c>
      <c r="E438"/>
      <c r="F438" s="740">
        <v>880</v>
      </c>
      <c r="G438"/>
      <c r="H438"/>
      <c r="I438"/>
      <c r="J438"/>
      <c r="K438"/>
      <c r="L438"/>
      <c r="M438"/>
      <c r="N438"/>
      <c r="O438" s="112"/>
      <c r="P438">
        <v>3</v>
      </c>
      <c r="Q438"/>
      <c r="R438" s="741">
        <f>SUMIF($H$13:$H$363,$F438,R$13:R$363)+Elec_Rates!R80</f>
        <v>0</v>
      </c>
      <c r="S438" s="742"/>
      <c r="T438" s="741">
        <f>SUMIF($H$13:$H$363,$F438,T$13:T$363)+Elec_Rates!T80</f>
        <v>0</v>
      </c>
    </row>
    <row r="439" spans="1:37" s="737" customFormat="1" ht="13.2" hidden="1">
      <c r="A439" s="738"/>
      <c r="B439" s="739">
        <v>49</v>
      </c>
      <c r="C439" s="730" t="s">
        <v>73</v>
      </c>
      <c r="D439" t="s">
        <v>124</v>
      </c>
      <c r="E439"/>
      <c r="F439" s="740">
        <v>885</v>
      </c>
      <c r="G439"/>
      <c r="H439"/>
      <c r="I439"/>
      <c r="J439"/>
      <c r="K439"/>
      <c r="L439"/>
      <c r="M439"/>
      <c r="N439"/>
      <c r="O439" s="112"/>
      <c r="P439">
        <v>4</v>
      </c>
      <c r="Q439"/>
      <c r="R439" s="741">
        <f>SUMIF($H$13:$H$363,$F439,R$13:R$363)+Elec_Rates!R81</f>
        <v>0</v>
      </c>
      <c r="S439" s="742"/>
      <c r="T439" s="741">
        <f>SUMIF($H$13:$H$363,$F439,T$13:T$363)+Elec_Rates!T81</f>
        <v>0</v>
      </c>
    </row>
    <row r="440" spans="1:37" s="737" customFormat="1" ht="13.2">
      <c r="A440" s="738"/>
      <c r="B440" s="739">
        <v>50</v>
      </c>
      <c r="C440" s="730" t="s">
        <v>73</v>
      </c>
      <c r="D440" t="s">
        <v>68</v>
      </c>
      <c r="E440"/>
      <c r="F440" s="740">
        <v>900</v>
      </c>
      <c r="G440"/>
      <c r="H440"/>
      <c r="I440"/>
      <c r="J440"/>
      <c r="K440"/>
      <c r="L440"/>
      <c r="M440"/>
      <c r="N440"/>
      <c r="O440" s="112"/>
      <c r="P440">
        <v>3</v>
      </c>
      <c r="Q440"/>
      <c r="R440" s="741">
        <f>SUMIF($H$13:$H$363,$F440,R$13:R$363)+Elec_Rates!R82</f>
        <v>0</v>
      </c>
      <c r="S440" s="742"/>
      <c r="T440" s="741">
        <f>SUMIF($H$13:$H$363,$F440,T$13:T$363)+Elec_Rates!T82</f>
        <v>14.7</v>
      </c>
    </row>
    <row r="441" spans="1:37" s="737" customFormat="1" ht="13.2" hidden="1">
      <c r="A441" s="738"/>
      <c r="B441" s="739">
        <v>51</v>
      </c>
      <c r="C441" s="730" t="s">
        <v>73</v>
      </c>
      <c r="D441" t="s">
        <v>126</v>
      </c>
      <c r="E441"/>
      <c r="F441" s="740">
        <v>901</v>
      </c>
      <c r="G441"/>
      <c r="H441"/>
      <c r="I441"/>
      <c r="J441"/>
      <c r="K441"/>
      <c r="L441"/>
      <c r="M441"/>
      <c r="N441"/>
      <c r="O441" s="112"/>
      <c r="P441">
        <v>1</v>
      </c>
      <c r="Q441"/>
      <c r="R441" s="741">
        <f>SUMIF($H$13:$H$363,$F441,R$13:R$363)+Elec_Rates!R83</f>
        <v>0</v>
      </c>
      <c r="S441" s="742"/>
      <c r="T441" s="741">
        <f>SUMIF($H$13:$H$363,$F441,T$13:T$363)+Elec_Rates!T83</f>
        <v>0</v>
      </c>
    </row>
    <row r="442" spans="1:37" s="737" customFormat="1" ht="13.2" hidden="1">
      <c r="A442" s="738"/>
      <c r="B442" s="739">
        <v>52</v>
      </c>
      <c r="C442" s="730" t="s">
        <v>73</v>
      </c>
      <c r="D442" t="s">
        <v>127</v>
      </c>
      <c r="E442"/>
      <c r="F442" s="740">
        <v>902</v>
      </c>
      <c r="G442"/>
      <c r="H442"/>
      <c r="I442"/>
      <c r="J442"/>
      <c r="K442"/>
      <c r="L442"/>
      <c r="M442"/>
      <c r="N442"/>
      <c r="O442" s="112"/>
      <c r="P442">
        <v>3</v>
      </c>
      <c r="Q442"/>
      <c r="R442" s="741">
        <f>SUMIF($H$13:$H$363,$F442,R$13:R$363)+Elec_Rates!R84</f>
        <v>0</v>
      </c>
      <c r="S442" s="742"/>
      <c r="T442" s="741">
        <f>SUMIF($H$13:$H$363,$F442,T$13:T$363)+Elec_Rates!T84</f>
        <v>0</v>
      </c>
    </row>
    <row r="443" spans="1:37" s="737" customFormat="1" ht="13.2" hidden="1">
      <c r="A443" s="738"/>
      <c r="B443" s="739">
        <v>53</v>
      </c>
      <c r="C443" s="730" t="s">
        <v>73</v>
      </c>
      <c r="D443" s="737" t="s">
        <v>128</v>
      </c>
      <c r="E443"/>
      <c r="F443" s="740">
        <v>960</v>
      </c>
      <c r="G443"/>
      <c r="H443"/>
      <c r="I443"/>
      <c r="J443"/>
      <c r="K443"/>
      <c r="L443"/>
      <c r="M443"/>
      <c r="N443"/>
      <c r="O443" s="112"/>
      <c r="P443">
        <v>4</v>
      </c>
      <c r="Q443"/>
      <c r="R443" s="741">
        <f>SUMIF($H$13:$H$363,$F443,R$13:R$363)+Elec_Rates!R85</f>
        <v>0</v>
      </c>
      <c r="S443" s="742"/>
      <c r="T443" s="741">
        <f>SUMIF($H$13:$H$363,$F443,T$13:T$363)+Elec_Rates!T85</f>
        <v>0</v>
      </c>
    </row>
    <row r="444" spans="1:37" s="737" customFormat="1" ht="13.2" hidden="1">
      <c r="A444" s="738"/>
      <c r="B444" s="739">
        <v>54</v>
      </c>
      <c r="C444" s="730" t="s">
        <v>73</v>
      </c>
      <c r="D444" s="737" t="s">
        <v>129</v>
      </c>
      <c r="E444"/>
      <c r="F444" s="740">
        <v>961</v>
      </c>
      <c r="G444"/>
      <c r="H444"/>
      <c r="I444"/>
      <c r="J444"/>
      <c r="K444"/>
      <c r="L444"/>
      <c r="M444"/>
      <c r="N444"/>
      <c r="O444" s="112"/>
      <c r="P444">
        <v>3</v>
      </c>
      <c r="Q444"/>
      <c r="R444" s="741">
        <f>SUMIF($H$13:$H$363,$F444,R$13:R$363)+Elec_Rates!R86</f>
        <v>0</v>
      </c>
      <c r="S444" s="742"/>
      <c r="T444" s="741">
        <f>SUMIF($H$13:$H$363,$F444,T$13:T$363)+Elec_Rates!T86</f>
        <v>0</v>
      </c>
    </row>
    <row r="445" spans="1:37" s="737" customFormat="1" ht="13.2" hidden="1">
      <c r="A445" s="738"/>
      <c r="B445" s="739">
        <v>55</v>
      </c>
      <c r="C445" s="730" t="s">
        <v>73</v>
      </c>
      <c r="D445" s="737" t="s">
        <v>130</v>
      </c>
      <c r="E445"/>
      <c r="F445" s="740">
        <v>962</v>
      </c>
      <c r="G445"/>
      <c r="H445"/>
      <c r="I445"/>
      <c r="J445"/>
      <c r="K445"/>
      <c r="L445"/>
      <c r="M445"/>
      <c r="N445"/>
      <c r="O445" s="112"/>
      <c r="P445">
        <v>1</v>
      </c>
      <c r="Q445"/>
      <c r="R445" s="741">
        <f>SUMIF($H$13:$H$363,$F445,R$13:R$363)+Elec_Rates!R87</f>
        <v>0</v>
      </c>
      <c r="S445" s="742"/>
      <c r="T445" s="741">
        <f>SUMIF($H$13:$H$363,$F445,T$13:T$363)+Elec_Rates!T87</f>
        <v>0</v>
      </c>
    </row>
    <row r="446" spans="1:37" s="737" customFormat="1" ht="13.2" hidden="1">
      <c r="A446" s="738"/>
      <c r="B446" s="739">
        <v>56</v>
      </c>
      <c r="C446" s="730" t="s">
        <v>73</v>
      </c>
      <c r="D446" s="737" t="s">
        <v>131</v>
      </c>
      <c r="E446"/>
      <c r="F446" s="740">
        <v>970</v>
      </c>
      <c r="G446"/>
      <c r="H446"/>
      <c r="I446"/>
      <c r="J446"/>
      <c r="K446"/>
      <c r="L446"/>
      <c r="M446"/>
      <c r="N446"/>
      <c r="O446" s="112"/>
      <c r="P446">
        <v>4</v>
      </c>
      <c r="Q446"/>
      <c r="R446" s="741">
        <f>SUMIF($H$13:$H$363,$F446,R$13:R$363)+Elec_Rates!R88</f>
        <v>0</v>
      </c>
      <c r="S446" s="742"/>
      <c r="T446" s="741">
        <f>SUMIF($H$13:$H$363,$F446,T$13:T$363)+Elec_Rates!T88</f>
        <v>0</v>
      </c>
    </row>
    <row r="447" spans="1:37" s="737" customFormat="1" thickBot="1">
      <c r="A447" s="743"/>
      <c r="B447" s="744"/>
      <c r="C447" s="745"/>
      <c r="D447" s="746"/>
      <c r="E447" s="747"/>
      <c r="F447" s="748"/>
      <c r="G447" s="747"/>
      <c r="H447" s="747"/>
      <c r="I447" s="747"/>
      <c r="J447" s="747"/>
      <c r="K447" s="747"/>
      <c r="L447" s="747"/>
      <c r="M447" s="747"/>
      <c r="N447" s="747"/>
      <c r="O447" s="749"/>
      <c r="P447" s="747"/>
      <c r="Q447" s="747"/>
      <c r="R447" s="741">
        <f>SUMIF($H$13:$H$363,$F447,R$13:R$363)+Elec_Rates!R89</f>
        <v>0</v>
      </c>
      <c r="S447" s="742"/>
      <c r="T447" s="741">
        <f>SUMIF($H$13:$H$363,$F447,T$13:T$363)+Elec_Rates!T89</f>
        <v>0</v>
      </c>
      <c r="U447" s="746"/>
      <c r="V447" s="746"/>
      <c r="W447" s="746"/>
      <c r="X447" s="746"/>
      <c r="Y447" s="746"/>
      <c r="Z447" s="746"/>
      <c r="AA447" s="746"/>
      <c r="AB447" s="746"/>
      <c r="AC447" s="746"/>
      <c r="AD447" s="746"/>
      <c r="AE447" s="746"/>
      <c r="AF447" s="746"/>
      <c r="AG447" s="746"/>
      <c r="AH447" s="746"/>
      <c r="AI447" s="746"/>
      <c r="AJ447" s="746"/>
      <c r="AK447" s="746"/>
    </row>
    <row r="448" spans="1:37" s="737" customFormat="1" thickTop="1">
      <c r="A448" s="738"/>
      <c r="B448" s="740"/>
      <c r="C448" s="730" t="s">
        <v>73</v>
      </c>
      <c r="D448" s="124"/>
      <c r="E448"/>
      <c r="F448" s="750" t="s">
        <v>152</v>
      </c>
      <c r="G448" s="751"/>
      <c r="H448">
        <v>1</v>
      </c>
      <c r="I448"/>
      <c r="J448"/>
      <c r="K448"/>
      <c r="L448"/>
      <c r="M448"/>
      <c r="N448"/>
      <c r="O448" s="112"/>
      <c r="P448"/>
      <c r="Q448"/>
      <c r="R448" s="741">
        <f>SUMIF($P391:$P446,1,R391:R446)</f>
        <v>1376.8633333333335</v>
      </c>
      <c r="S448"/>
      <c r="T448" s="741">
        <f>SUMIF($P391:$P446,1,T391:T446)</f>
        <v>124.46999999999998</v>
      </c>
    </row>
    <row r="449" spans="1:37" s="737" customFormat="1" ht="13.2">
      <c r="A449" s="738"/>
      <c r="B449" s="740"/>
      <c r="C449" s="730" t="s">
        <v>73</v>
      </c>
      <c r="D449" s="124"/>
      <c r="E449"/>
      <c r="F449" s="750" t="s">
        <v>153</v>
      </c>
      <c r="G449" s="751"/>
      <c r="H449">
        <v>2</v>
      </c>
      <c r="I449"/>
      <c r="J449"/>
      <c r="K449"/>
      <c r="L449"/>
      <c r="M449"/>
      <c r="N449"/>
      <c r="O449" s="112"/>
      <c r="P449"/>
      <c r="Q449"/>
      <c r="R449" s="741">
        <f>SUMIF($P391:$P446,2,R391:R446)</f>
        <v>4968.66</v>
      </c>
      <c r="S449"/>
      <c r="T449" s="741">
        <f>SUMIF($P391:$P446,2,T391:T446)</f>
        <v>90.5</v>
      </c>
    </row>
    <row r="450" spans="1:37" s="737" customFormat="1" ht="13.2">
      <c r="A450" s="738"/>
      <c r="B450" s="740"/>
      <c r="C450" s="730" t="s">
        <v>73</v>
      </c>
      <c r="D450" s="124"/>
      <c r="E450"/>
      <c r="F450" s="750" t="s">
        <v>154</v>
      </c>
      <c r="G450" s="751"/>
      <c r="H450">
        <v>2</v>
      </c>
      <c r="I450"/>
      <c r="J450"/>
      <c r="K450"/>
      <c r="L450"/>
      <c r="M450"/>
      <c r="N450"/>
      <c r="O450" s="112"/>
      <c r="P450"/>
      <c r="Q450"/>
      <c r="R450" s="741">
        <f>SUMIF($P391:$P446,3,R391:R446)</f>
        <v>5327.5</v>
      </c>
      <c r="S450"/>
      <c r="T450" s="741">
        <f>SUMIF($P391:$P446,3,T391:T446)</f>
        <v>155.0682738528769</v>
      </c>
    </row>
    <row r="451" spans="1:37" s="737" customFormat="1" ht="13.2" hidden="1">
      <c r="A451" s="738"/>
      <c r="B451" s="740"/>
      <c r="C451" s="730" t="s">
        <v>73</v>
      </c>
      <c r="D451" s="124"/>
      <c r="E451"/>
      <c r="F451" s="750" t="s">
        <v>155</v>
      </c>
      <c r="G451" s="751"/>
      <c r="H451">
        <v>3</v>
      </c>
      <c r="I451"/>
      <c r="J451"/>
      <c r="K451"/>
      <c r="L451"/>
      <c r="M451"/>
      <c r="N451"/>
      <c r="O451" s="112"/>
      <c r="P451"/>
      <c r="Q451"/>
      <c r="R451" s="741">
        <f>SUMIF($P391:$P446,4,R391:R446)</f>
        <v>0</v>
      </c>
      <c r="S451"/>
      <c r="T451" s="741">
        <f>SUMIF($P391:$P446,4,T391:T446)</f>
        <v>0</v>
      </c>
    </row>
    <row r="452" spans="1:37" s="737" customFormat="1" thickBot="1">
      <c r="A452" s="743"/>
      <c r="B452" s="748"/>
      <c r="C452" s="745"/>
      <c r="D452" s="752"/>
      <c r="E452" s="747"/>
      <c r="F452" s="753" t="s">
        <v>156</v>
      </c>
      <c r="G452" s="754"/>
      <c r="H452" s="755"/>
      <c r="I452" s="755"/>
      <c r="J452" s="755"/>
      <c r="K452" s="755"/>
      <c r="L452" s="755"/>
      <c r="M452" s="755"/>
      <c r="N452" s="755"/>
      <c r="O452" s="756"/>
      <c r="P452" s="755"/>
      <c r="Q452" s="755"/>
      <c r="R452" s="757">
        <f>SUM(R448:R451)</f>
        <v>11673.023333333334</v>
      </c>
      <c r="S452" s="758"/>
      <c r="T452" s="757">
        <f>SUM(T448:T451)</f>
        <v>370.03827385287684</v>
      </c>
      <c r="U452" s="746"/>
      <c r="V452" s="746"/>
      <c r="W452" s="746"/>
      <c r="X452" s="746"/>
      <c r="Y452" s="746"/>
      <c r="Z452" s="746"/>
      <c r="AA452" s="746"/>
      <c r="AB452" s="746"/>
      <c r="AC452" s="746"/>
      <c r="AD452" s="746"/>
      <c r="AE452" s="746"/>
      <c r="AF452" s="746"/>
      <c r="AG452" s="746"/>
      <c r="AH452" s="746"/>
      <c r="AI452" s="746"/>
      <c r="AJ452" s="746"/>
      <c r="AK452" s="746"/>
    </row>
    <row r="453" spans="1:37" customFormat="1" thickTop="1">
      <c r="A453" s="518"/>
      <c r="B453" s="778" t="s">
        <v>514</v>
      </c>
      <c r="C453" s="124" t="s">
        <v>514</v>
      </c>
      <c r="D453" s="124"/>
      <c r="O453" s="112"/>
    </row>
    <row r="454" spans="1:37" customFormat="1" ht="13.2">
      <c r="A454" s="737"/>
      <c r="O454" s="112"/>
    </row>
    <row r="455" spans="1:37" customFormat="1" ht="13.2">
      <c r="A455" s="737"/>
      <c r="B455" s="779">
        <f ca="1">SUMIF($D$13:$D$361,D455,$C$13:$C$361)</f>
        <v>45</v>
      </c>
      <c r="C455" s="737"/>
      <c r="D455" s="780" t="str">
        <f>Elec_Rates!D19</f>
        <v>001#  Power Point</v>
      </c>
      <c r="O455" s="112"/>
      <c r="Q455" s="50"/>
    </row>
    <row r="456" spans="1:37" customFormat="1" thickBot="1">
      <c r="A456" s="746"/>
      <c r="B456" s="747"/>
      <c r="C456" s="747"/>
      <c r="D456" s="747"/>
      <c r="E456" s="747"/>
      <c r="F456" s="747"/>
      <c r="G456" s="747"/>
      <c r="H456" s="747"/>
      <c r="I456" s="747"/>
      <c r="J456" s="747"/>
      <c r="K456" s="747"/>
      <c r="L456" s="747"/>
      <c r="M456" s="747"/>
      <c r="N456" s="747"/>
      <c r="O456" s="749"/>
      <c r="P456" s="747"/>
      <c r="Q456" s="747"/>
      <c r="R456" s="747"/>
      <c r="S456" s="747"/>
      <c r="T456" s="747"/>
      <c r="U456" s="747"/>
      <c r="V456" s="747"/>
      <c r="W456" s="747"/>
      <c r="X456" s="747"/>
      <c r="Y456" s="747"/>
      <c r="Z456" s="747"/>
      <c r="AA456" s="747"/>
      <c r="AB456" s="747"/>
      <c r="AC456" s="747"/>
      <c r="AD456" s="747"/>
      <c r="AE456" s="747"/>
      <c r="AF456" s="747"/>
      <c r="AG456" s="747"/>
      <c r="AH456" s="747"/>
      <c r="AI456" s="747"/>
      <c r="AJ456" s="747"/>
      <c r="AK456" s="747"/>
    </row>
    <row r="457" spans="1:37" ht="14.4" thickTop="1"/>
  </sheetData>
  <sheetProtection formatCells="0" formatColumns="0" formatRows="0" insertColumns="0" insertRows="0" insertHyperlinks="0" deleteColumns="0" deleteRows="0" sort="0" autoFilter="0" pivotTables="0"/>
  <mergeCells count="2">
    <mergeCell ref="D103:T103"/>
    <mergeCell ref="D358:R358"/>
  </mergeCells>
  <phoneticPr fontId="27"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sheetPr>
  <dimension ref="A1:T147"/>
  <sheetViews>
    <sheetView topLeftCell="A51" zoomScale="85" zoomScaleNormal="85" workbookViewId="0">
      <selection activeCell="D73" sqref="D73"/>
    </sheetView>
  </sheetViews>
  <sheetFormatPr defaultRowHeight="13.2"/>
  <cols>
    <col min="1" max="1" width="11" style="552" customWidth="1"/>
    <col min="2" max="2" width="47.44140625" style="553" customWidth="1"/>
    <col min="3" max="3" width="9.44140625" style="551" customWidth="1"/>
    <col min="4" max="4" width="6.44140625" style="551" customWidth="1"/>
    <col min="5" max="5" width="9.6640625" style="554" customWidth="1"/>
    <col min="6" max="6" width="9.88671875" style="555" customWidth="1"/>
    <col min="7" max="16" width="0" style="533" hidden="1" customWidth="1"/>
    <col min="17" max="256" width="9.109375" style="533"/>
    <col min="257" max="257" width="11" style="533" customWidth="1"/>
    <col min="258" max="258" width="47.44140625" style="533" customWidth="1"/>
    <col min="259" max="259" width="9.44140625" style="533" customWidth="1"/>
    <col min="260" max="260" width="6.44140625" style="533" customWidth="1"/>
    <col min="261" max="261" width="9.6640625" style="533" customWidth="1"/>
    <col min="262" max="262" width="9.88671875" style="533" customWidth="1"/>
    <col min="263" max="272" width="0" style="533" hidden="1" customWidth="1"/>
    <col min="273" max="512" width="9.109375" style="533"/>
    <col min="513" max="513" width="11" style="533" customWidth="1"/>
    <col min="514" max="514" width="47.44140625" style="533" customWidth="1"/>
    <col min="515" max="515" width="9.44140625" style="533" customWidth="1"/>
    <col min="516" max="516" width="6.44140625" style="533" customWidth="1"/>
    <col min="517" max="517" width="9.6640625" style="533" customWidth="1"/>
    <col min="518" max="518" width="9.88671875" style="533" customWidth="1"/>
    <col min="519" max="528" width="0" style="533" hidden="1" customWidth="1"/>
    <col min="529" max="768" width="9.109375" style="533"/>
    <col min="769" max="769" width="11" style="533" customWidth="1"/>
    <col min="770" max="770" width="47.44140625" style="533" customWidth="1"/>
    <col min="771" max="771" width="9.44140625" style="533" customWidth="1"/>
    <col min="772" max="772" width="6.44140625" style="533" customWidth="1"/>
    <col min="773" max="773" width="9.6640625" style="533" customWidth="1"/>
    <col min="774" max="774" width="9.88671875" style="533" customWidth="1"/>
    <col min="775" max="784" width="0" style="533" hidden="1" customWidth="1"/>
    <col min="785" max="1024" width="9.109375" style="533"/>
    <col min="1025" max="1025" width="11" style="533" customWidth="1"/>
    <col min="1026" max="1026" width="47.44140625" style="533" customWidth="1"/>
    <col min="1027" max="1027" width="9.44140625" style="533" customWidth="1"/>
    <col min="1028" max="1028" width="6.44140625" style="533" customWidth="1"/>
    <col min="1029" max="1029" width="9.6640625" style="533" customWidth="1"/>
    <col min="1030" max="1030" width="9.88671875" style="533" customWidth="1"/>
    <col min="1031" max="1040" width="0" style="533" hidden="1" customWidth="1"/>
    <col min="1041" max="1280" width="9.109375" style="533"/>
    <col min="1281" max="1281" width="11" style="533" customWidth="1"/>
    <col min="1282" max="1282" width="47.44140625" style="533" customWidth="1"/>
    <col min="1283" max="1283" width="9.44140625" style="533" customWidth="1"/>
    <col min="1284" max="1284" width="6.44140625" style="533" customWidth="1"/>
    <col min="1285" max="1285" width="9.6640625" style="533" customWidth="1"/>
    <col min="1286" max="1286" width="9.88671875" style="533" customWidth="1"/>
    <col min="1287" max="1296" width="0" style="533" hidden="1" customWidth="1"/>
    <col min="1297" max="1536" width="9.109375" style="533"/>
    <col min="1537" max="1537" width="11" style="533" customWidth="1"/>
    <col min="1538" max="1538" width="47.44140625" style="533" customWidth="1"/>
    <col min="1539" max="1539" width="9.44140625" style="533" customWidth="1"/>
    <col min="1540" max="1540" width="6.44140625" style="533" customWidth="1"/>
    <col min="1541" max="1541" width="9.6640625" style="533" customWidth="1"/>
    <col min="1542" max="1542" width="9.88671875" style="533" customWidth="1"/>
    <col min="1543" max="1552" width="0" style="533" hidden="1" customWidth="1"/>
    <col min="1553" max="1792" width="9.109375" style="533"/>
    <col min="1793" max="1793" width="11" style="533" customWidth="1"/>
    <col min="1794" max="1794" width="47.44140625" style="533" customWidth="1"/>
    <col min="1795" max="1795" width="9.44140625" style="533" customWidth="1"/>
    <col min="1796" max="1796" width="6.44140625" style="533" customWidth="1"/>
    <col min="1797" max="1797" width="9.6640625" style="533" customWidth="1"/>
    <col min="1798" max="1798" width="9.88671875" style="533" customWidth="1"/>
    <col min="1799" max="1808" width="0" style="533" hidden="1" customWidth="1"/>
    <col min="1809" max="2048" width="9.109375" style="533"/>
    <col min="2049" max="2049" width="11" style="533" customWidth="1"/>
    <col min="2050" max="2050" width="47.44140625" style="533" customWidth="1"/>
    <col min="2051" max="2051" width="9.44140625" style="533" customWidth="1"/>
    <col min="2052" max="2052" width="6.44140625" style="533" customWidth="1"/>
    <col min="2053" max="2053" width="9.6640625" style="533" customWidth="1"/>
    <col min="2054" max="2054" width="9.88671875" style="533" customWidth="1"/>
    <col min="2055" max="2064" width="0" style="533" hidden="1" customWidth="1"/>
    <col min="2065" max="2304" width="9.109375" style="533"/>
    <col min="2305" max="2305" width="11" style="533" customWidth="1"/>
    <col min="2306" max="2306" width="47.44140625" style="533" customWidth="1"/>
    <col min="2307" max="2307" width="9.44140625" style="533" customWidth="1"/>
    <col min="2308" max="2308" width="6.44140625" style="533" customWidth="1"/>
    <col min="2309" max="2309" width="9.6640625" style="533" customWidth="1"/>
    <col min="2310" max="2310" width="9.88671875" style="533" customWidth="1"/>
    <col min="2311" max="2320" width="0" style="533" hidden="1" customWidth="1"/>
    <col min="2321" max="2560" width="9.109375" style="533"/>
    <col min="2561" max="2561" width="11" style="533" customWidth="1"/>
    <col min="2562" max="2562" width="47.44140625" style="533" customWidth="1"/>
    <col min="2563" max="2563" width="9.44140625" style="533" customWidth="1"/>
    <col min="2564" max="2564" width="6.44140625" style="533" customWidth="1"/>
    <col min="2565" max="2565" width="9.6640625" style="533" customWidth="1"/>
    <col min="2566" max="2566" width="9.88671875" style="533" customWidth="1"/>
    <col min="2567" max="2576" width="0" style="533" hidden="1" customWidth="1"/>
    <col min="2577" max="2816" width="9.109375" style="533"/>
    <col min="2817" max="2817" width="11" style="533" customWidth="1"/>
    <col min="2818" max="2818" width="47.44140625" style="533" customWidth="1"/>
    <col min="2819" max="2819" width="9.44140625" style="533" customWidth="1"/>
    <col min="2820" max="2820" width="6.44140625" style="533" customWidth="1"/>
    <col min="2821" max="2821" width="9.6640625" style="533" customWidth="1"/>
    <col min="2822" max="2822" width="9.88671875" style="533" customWidth="1"/>
    <col min="2823" max="2832" width="0" style="533" hidden="1" customWidth="1"/>
    <col min="2833" max="3072" width="9.109375" style="533"/>
    <col min="3073" max="3073" width="11" style="533" customWidth="1"/>
    <col min="3074" max="3074" width="47.44140625" style="533" customWidth="1"/>
    <col min="3075" max="3075" width="9.44140625" style="533" customWidth="1"/>
    <col min="3076" max="3076" width="6.44140625" style="533" customWidth="1"/>
    <col min="3077" max="3077" width="9.6640625" style="533" customWidth="1"/>
    <col min="3078" max="3078" width="9.88671875" style="533" customWidth="1"/>
    <col min="3079" max="3088" width="0" style="533" hidden="1" customWidth="1"/>
    <col min="3089" max="3328" width="9.109375" style="533"/>
    <col min="3329" max="3329" width="11" style="533" customWidth="1"/>
    <col min="3330" max="3330" width="47.44140625" style="533" customWidth="1"/>
    <col min="3331" max="3331" width="9.44140625" style="533" customWidth="1"/>
    <col min="3332" max="3332" width="6.44140625" style="533" customWidth="1"/>
    <col min="3333" max="3333" width="9.6640625" style="533" customWidth="1"/>
    <col min="3334" max="3334" width="9.88671875" style="533" customWidth="1"/>
    <col min="3335" max="3344" width="0" style="533" hidden="1" customWidth="1"/>
    <col min="3345" max="3584" width="9.109375" style="533"/>
    <col min="3585" max="3585" width="11" style="533" customWidth="1"/>
    <col min="3586" max="3586" width="47.44140625" style="533" customWidth="1"/>
    <col min="3587" max="3587" width="9.44140625" style="533" customWidth="1"/>
    <col min="3588" max="3588" width="6.44140625" style="533" customWidth="1"/>
    <col min="3589" max="3589" width="9.6640625" style="533" customWidth="1"/>
    <col min="3590" max="3590" width="9.88671875" style="533" customWidth="1"/>
    <col min="3591" max="3600" width="0" style="533" hidden="1" customWidth="1"/>
    <col min="3601" max="3840" width="9.109375" style="533"/>
    <col min="3841" max="3841" width="11" style="533" customWidth="1"/>
    <col min="3842" max="3842" width="47.44140625" style="533" customWidth="1"/>
    <col min="3843" max="3843" width="9.44140625" style="533" customWidth="1"/>
    <col min="3844" max="3844" width="6.44140625" style="533" customWidth="1"/>
    <col min="3845" max="3845" width="9.6640625" style="533" customWidth="1"/>
    <col min="3846" max="3846" width="9.88671875" style="533" customWidth="1"/>
    <col min="3847" max="3856" width="0" style="533" hidden="1" customWidth="1"/>
    <col min="3857" max="4096" width="9.109375" style="533"/>
    <col min="4097" max="4097" width="11" style="533" customWidth="1"/>
    <col min="4098" max="4098" width="47.44140625" style="533" customWidth="1"/>
    <col min="4099" max="4099" width="9.44140625" style="533" customWidth="1"/>
    <col min="4100" max="4100" width="6.44140625" style="533" customWidth="1"/>
    <col min="4101" max="4101" width="9.6640625" style="533" customWidth="1"/>
    <col min="4102" max="4102" width="9.88671875" style="533" customWidth="1"/>
    <col min="4103" max="4112" width="0" style="533" hidden="1" customWidth="1"/>
    <col min="4113" max="4352" width="9.109375" style="533"/>
    <col min="4353" max="4353" width="11" style="533" customWidth="1"/>
    <col min="4354" max="4354" width="47.44140625" style="533" customWidth="1"/>
    <col min="4355" max="4355" width="9.44140625" style="533" customWidth="1"/>
    <col min="4356" max="4356" width="6.44140625" style="533" customWidth="1"/>
    <col min="4357" max="4357" width="9.6640625" style="533" customWidth="1"/>
    <col min="4358" max="4358" width="9.88671875" style="533" customWidth="1"/>
    <col min="4359" max="4368" width="0" style="533" hidden="1" customWidth="1"/>
    <col min="4369" max="4608" width="9.109375" style="533"/>
    <col min="4609" max="4609" width="11" style="533" customWidth="1"/>
    <col min="4610" max="4610" width="47.44140625" style="533" customWidth="1"/>
    <col min="4611" max="4611" width="9.44140625" style="533" customWidth="1"/>
    <col min="4612" max="4612" width="6.44140625" style="533" customWidth="1"/>
    <col min="4613" max="4613" width="9.6640625" style="533" customWidth="1"/>
    <col min="4614" max="4614" width="9.88671875" style="533" customWidth="1"/>
    <col min="4615" max="4624" width="0" style="533" hidden="1" customWidth="1"/>
    <col min="4625" max="4864" width="9.109375" style="533"/>
    <col min="4865" max="4865" width="11" style="533" customWidth="1"/>
    <col min="4866" max="4866" width="47.44140625" style="533" customWidth="1"/>
    <col min="4867" max="4867" width="9.44140625" style="533" customWidth="1"/>
    <col min="4868" max="4868" width="6.44140625" style="533" customWidth="1"/>
    <col min="4869" max="4869" width="9.6640625" style="533" customWidth="1"/>
    <col min="4870" max="4870" width="9.88671875" style="533" customWidth="1"/>
    <col min="4871" max="4880" width="0" style="533" hidden="1" customWidth="1"/>
    <col min="4881" max="5120" width="9.109375" style="533"/>
    <col min="5121" max="5121" width="11" style="533" customWidth="1"/>
    <col min="5122" max="5122" width="47.44140625" style="533" customWidth="1"/>
    <col min="5123" max="5123" width="9.44140625" style="533" customWidth="1"/>
    <col min="5124" max="5124" width="6.44140625" style="533" customWidth="1"/>
    <col min="5125" max="5125" width="9.6640625" style="533" customWidth="1"/>
    <col min="5126" max="5126" width="9.88671875" style="533" customWidth="1"/>
    <col min="5127" max="5136" width="0" style="533" hidden="1" customWidth="1"/>
    <col min="5137" max="5376" width="9.109375" style="533"/>
    <col min="5377" max="5377" width="11" style="533" customWidth="1"/>
    <col min="5378" max="5378" width="47.44140625" style="533" customWidth="1"/>
    <col min="5379" max="5379" width="9.44140625" style="533" customWidth="1"/>
    <col min="5380" max="5380" width="6.44140625" style="533" customWidth="1"/>
    <col min="5381" max="5381" width="9.6640625" style="533" customWidth="1"/>
    <col min="5382" max="5382" width="9.88671875" style="533" customWidth="1"/>
    <col min="5383" max="5392" width="0" style="533" hidden="1" customWidth="1"/>
    <col min="5393" max="5632" width="9.109375" style="533"/>
    <col min="5633" max="5633" width="11" style="533" customWidth="1"/>
    <col min="5634" max="5634" width="47.44140625" style="533" customWidth="1"/>
    <col min="5635" max="5635" width="9.44140625" style="533" customWidth="1"/>
    <col min="5636" max="5636" width="6.44140625" style="533" customWidth="1"/>
    <col min="5637" max="5637" width="9.6640625" style="533" customWidth="1"/>
    <col min="5638" max="5638" width="9.88671875" style="533" customWidth="1"/>
    <col min="5639" max="5648" width="0" style="533" hidden="1" customWidth="1"/>
    <col min="5649" max="5888" width="9.109375" style="533"/>
    <col min="5889" max="5889" width="11" style="533" customWidth="1"/>
    <col min="5890" max="5890" width="47.44140625" style="533" customWidth="1"/>
    <col min="5891" max="5891" width="9.44140625" style="533" customWidth="1"/>
    <col min="5892" max="5892" width="6.44140625" style="533" customWidth="1"/>
    <col min="5893" max="5893" width="9.6640625" style="533" customWidth="1"/>
    <col min="5894" max="5894" width="9.88671875" style="533" customWidth="1"/>
    <col min="5895" max="5904" width="0" style="533" hidden="1" customWidth="1"/>
    <col min="5905" max="6144" width="9.109375" style="533"/>
    <col min="6145" max="6145" width="11" style="533" customWidth="1"/>
    <col min="6146" max="6146" width="47.44140625" style="533" customWidth="1"/>
    <col min="6147" max="6147" width="9.44140625" style="533" customWidth="1"/>
    <col min="6148" max="6148" width="6.44140625" style="533" customWidth="1"/>
    <col min="6149" max="6149" width="9.6640625" style="533" customWidth="1"/>
    <col min="6150" max="6150" width="9.88671875" style="533" customWidth="1"/>
    <col min="6151" max="6160" width="0" style="533" hidden="1" customWidth="1"/>
    <col min="6161" max="6400" width="9.109375" style="533"/>
    <col min="6401" max="6401" width="11" style="533" customWidth="1"/>
    <col min="6402" max="6402" width="47.44140625" style="533" customWidth="1"/>
    <col min="6403" max="6403" width="9.44140625" style="533" customWidth="1"/>
    <col min="6404" max="6404" width="6.44140625" style="533" customWidth="1"/>
    <col min="6405" max="6405" width="9.6640625" style="533" customWidth="1"/>
    <col min="6406" max="6406" width="9.88671875" style="533" customWidth="1"/>
    <col min="6407" max="6416" width="0" style="533" hidden="1" customWidth="1"/>
    <col min="6417" max="6656" width="9.109375" style="533"/>
    <col min="6657" max="6657" width="11" style="533" customWidth="1"/>
    <col min="6658" max="6658" width="47.44140625" style="533" customWidth="1"/>
    <col min="6659" max="6659" width="9.44140625" style="533" customWidth="1"/>
    <col min="6660" max="6660" width="6.44140625" style="533" customWidth="1"/>
    <col min="6661" max="6661" width="9.6640625" style="533" customWidth="1"/>
    <col min="6662" max="6662" width="9.88671875" style="533" customWidth="1"/>
    <col min="6663" max="6672" width="0" style="533" hidden="1" customWidth="1"/>
    <col min="6673" max="6912" width="9.109375" style="533"/>
    <col min="6913" max="6913" width="11" style="533" customWidth="1"/>
    <col min="6914" max="6914" width="47.44140625" style="533" customWidth="1"/>
    <col min="6915" max="6915" width="9.44140625" style="533" customWidth="1"/>
    <col min="6916" max="6916" width="6.44140625" style="533" customWidth="1"/>
    <col min="6917" max="6917" width="9.6640625" style="533" customWidth="1"/>
    <col min="6918" max="6918" width="9.88671875" style="533" customWidth="1"/>
    <col min="6919" max="6928" width="0" style="533" hidden="1" customWidth="1"/>
    <col min="6929" max="7168" width="9.109375" style="533"/>
    <col min="7169" max="7169" width="11" style="533" customWidth="1"/>
    <col min="7170" max="7170" width="47.44140625" style="533" customWidth="1"/>
    <col min="7171" max="7171" width="9.44140625" style="533" customWidth="1"/>
    <col min="7172" max="7172" width="6.44140625" style="533" customWidth="1"/>
    <col min="7173" max="7173" width="9.6640625" style="533" customWidth="1"/>
    <col min="7174" max="7174" width="9.88671875" style="533" customWidth="1"/>
    <col min="7175" max="7184" width="0" style="533" hidden="1" customWidth="1"/>
    <col min="7185" max="7424" width="9.109375" style="533"/>
    <col min="7425" max="7425" width="11" style="533" customWidth="1"/>
    <col min="7426" max="7426" width="47.44140625" style="533" customWidth="1"/>
    <col min="7427" max="7427" width="9.44140625" style="533" customWidth="1"/>
    <col min="7428" max="7428" width="6.44140625" style="533" customWidth="1"/>
    <col min="7429" max="7429" width="9.6640625" style="533" customWidth="1"/>
    <col min="7430" max="7430" width="9.88671875" style="533" customWidth="1"/>
    <col min="7431" max="7440" width="0" style="533" hidden="1" customWidth="1"/>
    <col min="7441" max="7680" width="9.109375" style="533"/>
    <col min="7681" max="7681" width="11" style="533" customWidth="1"/>
    <col min="7682" max="7682" width="47.44140625" style="533" customWidth="1"/>
    <col min="7683" max="7683" width="9.44140625" style="533" customWidth="1"/>
    <col min="7684" max="7684" width="6.44140625" style="533" customWidth="1"/>
    <col min="7685" max="7685" width="9.6640625" style="533" customWidth="1"/>
    <col min="7686" max="7686" width="9.88671875" style="533" customWidth="1"/>
    <col min="7687" max="7696" width="0" style="533" hidden="1" customWidth="1"/>
    <col min="7697" max="7936" width="9.109375" style="533"/>
    <col min="7937" max="7937" width="11" style="533" customWidth="1"/>
    <col min="7938" max="7938" width="47.44140625" style="533" customWidth="1"/>
    <col min="7939" max="7939" width="9.44140625" style="533" customWidth="1"/>
    <col min="7940" max="7940" width="6.44140625" style="533" customWidth="1"/>
    <col min="7941" max="7941" width="9.6640625" style="533" customWidth="1"/>
    <col min="7942" max="7942" width="9.88671875" style="533" customWidth="1"/>
    <col min="7943" max="7952" width="0" style="533" hidden="1" customWidth="1"/>
    <col min="7953" max="8192" width="9.109375" style="533"/>
    <col min="8193" max="8193" width="11" style="533" customWidth="1"/>
    <col min="8194" max="8194" width="47.44140625" style="533" customWidth="1"/>
    <col min="8195" max="8195" width="9.44140625" style="533" customWidth="1"/>
    <col min="8196" max="8196" width="6.44140625" style="533" customWidth="1"/>
    <col min="8197" max="8197" width="9.6640625" style="533" customWidth="1"/>
    <col min="8198" max="8198" width="9.88671875" style="533" customWidth="1"/>
    <col min="8199" max="8208" width="0" style="533" hidden="1" customWidth="1"/>
    <col min="8209" max="8448" width="9.109375" style="533"/>
    <col min="8449" max="8449" width="11" style="533" customWidth="1"/>
    <col min="8450" max="8450" width="47.44140625" style="533" customWidth="1"/>
    <col min="8451" max="8451" width="9.44140625" style="533" customWidth="1"/>
    <col min="8452" max="8452" width="6.44140625" style="533" customWidth="1"/>
    <col min="8453" max="8453" width="9.6640625" style="533" customWidth="1"/>
    <col min="8454" max="8454" width="9.88671875" style="533" customWidth="1"/>
    <col min="8455" max="8464" width="0" style="533" hidden="1" customWidth="1"/>
    <col min="8465" max="8704" width="9.109375" style="533"/>
    <col min="8705" max="8705" width="11" style="533" customWidth="1"/>
    <col min="8706" max="8706" width="47.44140625" style="533" customWidth="1"/>
    <col min="8707" max="8707" width="9.44140625" style="533" customWidth="1"/>
    <col min="8708" max="8708" width="6.44140625" style="533" customWidth="1"/>
    <col min="8709" max="8709" width="9.6640625" style="533" customWidth="1"/>
    <col min="8710" max="8710" width="9.88671875" style="533" customWidth="1"/>
    <col min="8711" max="8720" width="0" style="533" hidden="1" customWidth="1"/>
    <col min="8721" max="8960" width="9.109375" style="533"/>
    <col min="8961" max="8961" width="11" style="533" customWidth="1"/>
    <col min="8962" max="8962" width="47.44140625" style="533" customWidth="1"/>
    <col min="8963" max="8963" width="9.44140625" style="533" customWidth="1"/>
    <col min="8964" max="8964" width="6.44140625" style="533" customWidth="1"/>
    <col min="8965" max="8965" width="9.6640625" style="533" customWidth="1"/>
    <col min="8966" max="8966" width="9.88671875" style="533" customWidth="1"/>
    <col min="8967" max="8976" width="0" style="533" hidden="1" customWidth="1"/>
    <col min="8977" max="9216" width="9.109375" style="533"/>
    <col min="9217" max="9217" width="11" style="533" customWidth="1"/>
    <col min="9218" max="9218" width="47.44140625" style="533" customWidth="1"/>
    <col min="9219" max="9219" width="9.44140625" style="533" customWidth="1"/>
    <col min="9220" max="9220" width="6.44140625" style="533" customWidth="1"/>
    <col min="9221" max="9221" width="9.6640625" style="533" customWidth="1"/>
    <col min="9222" max="9222" width="9.88671875" style="533" customWidth="1"/>
    <col min="9223" max="9232" width="0" style="533" hidden="1" customWidth="1"/>
    <col min="9233" max="9472" width="9.109375" style="533"/>
    <col min="9473" max="9473" width="11" style="533" customWidth="1"/>
    <col min="9474" max="9474" width="47.44140625" style="533" customWidth="1"/>
    <col min="9475" max="9475" width="9.44140625" style="533" customWidth="1"/>
    <col min="9476" max="9476" width="6.44140625" style="533" customWidth="1"/>
    <col min="9477" max="9477" width="9.6640625" style="533" customWidth="1"/>
    <col min="9478" max="9478" width="9.88671875" style="533" customWidth="1"/>
    <col min="9479" max="9488" width="0" style="533" hidden="1" customWidth="1"/>
    <col min="9489" max="9728" width="9.109375" style="533"/>
    <col min="9729" max="9729" width="11" style="533" customWidth="1"/>
    <col min="9730" max="9730" width="47.44140625" style="533" customWidth="1"/>
    <col min="9731" max="9731" width="9.44140625" style="533" customWidth="1"/>
    <col min="9732" max="9732" width="6.44140625" style="533" customWidth="1"/>
    <col min="9733" max="9733" width="9.6640625" style="533" customWidth="1"/>
    <col min="9734" max="9734" width="9.88671875" style="533" customWidth="1"/>
    <col min="9735" max="9744" width="0" style="533" hidden="1" customWidth="1"/>
    <col min="9745" max="9984" width="9.109375" style="533"/>
    <col min="9985" max="9985" width="11" style="533" customWidth="1"/>
    <col min="9986" max="9986" width="47.44140625" style="533" customWidth="1"/>
    <col min="9987" max="9987" width="9.44140625" style="533" customWidth="1"/>
    <col min="9988" max="9988" width="6.44140625" style="533" customWidth="1"/>
    <col min="9989" max="9989" width="9.6640625" style="533" customWidth="1"/>
    <col min="9990" max="9990" width="9.88671875" style="533" customWidth="1"/>
    <col min="9991" max="10000" width="0" style="533" hidden="1" customWidth="1"/>
    <col min="10001" max="10240" width="9.109375" style="533"/>
    <col min="10241" max="10241" width="11" style="533" customWidth="1"/>
    <col min="10242" max="10242" width="47.44140625" style="533" customWidth="1"/>
    <col min="10243" max="10243" width="9.44140625" style="533" customWidth="1"/>
    <col min="10244" max="10244" width="6.44140625" style="533" customWidth="1"/>
    <col min="10245" max="10245" width="9.6640625" style="533" customWidth="1"/>
    <col min="10246" max="10246" width="9.88671875" style="533" customWidth="1"/>
    <col min="10247" max="10256" width="0" style="533" hidden="1" customWidth="1"/>
    <col min="10257" max="10496" width="9.109375" style="533"/>
    <col min="10497" max="10497" width="11" style="533" customWidth="1"/>
    <col min="10498" max="10498" width="47.44140625" style="533" customWidth="1"/>
    <col min="10499" max="10499" width="9.44140625" style="533" customWidth="1"/>
    <col min="10500" max="10500" width="6.44140625" style="533" customWidth="1"/>
    <col min="10501" max="10501" width="9.6640625" style="533" customWidth="1"/>
    <col min="10502" max="10502" width="9.88671875" style="533" customWidth="1"/>
    <col min="10503" max="10512" width="0" style="533" hidden="1" customWidth="1"/>
    <col min="10513" max="10752" width="9.109375" style="533"/>
    <col min="10753" max="10753" width="11" style="533" customWidth="1"/>
    <col min="10754" max="10754" width="47.44140625" style="533" customWidth="1"/>
    <col min="10755" max="10755" width="9.44140625" style="533" customWidth="1"/>
    <col min="10756" max="10756" width="6.44140625" style="533" customWidth="1"/>
    <col min="10757" max="10757" width="9.6640625" style="533" customWidth="1"/>
    <col min="10758" max="10758" width="9.88671875" style="533" customWidth="1"/>
    <col min="10759" max="10768" width="0" style="533" hidden="1" customWidth="1"/>
    <col min="10769" max="11008" width="9.109375" style="533"/>
    <col min="11009" max="11009" width="11" style="533" customWidth="1"/>
    <col min="11010" max="11010" width="47.44140625" style="533" customWidth="1"/>
    <col min="11011" max="11011" width="9.44140625" style="533" customWidth="1"/>
    <col min="11012" max="11012" width="6.44140625" style="533" customWidth="1"/>
    <col min="11013" max="11013" width="9.6640625" style="533" customWidth="1"/>
    <col min="11014" max="11014" width="9.88671875" style="533" customWidth="1"/>
    <col min="11015" max="11024" width="0" style="533" hidden="1" customWidth="1"/>
    <col min="11025" max="11264" width="9.109375" style="533"/>
    <col min="11265" max="11265" width="11" style="533" customWidth="1"/>
    <col min="11266" max="11266" width="47.44140625" style="533" customWidth="1"/>
    <col min="11267" max="11267" width="9.44140625" style="533" customWidth="1"/>
    <col min="11268" max="11268" width="6.44140625" style="533" customWidth="1"/>
    <col min="11269" max="11269" width="9.6640625" style="533" customWidth="1"/>
    <col min="11270" max="11270" width="9.88671875" style="533" customWidth="1"/>
    <col min="11271" max="11280" width="0" style="533" hidden="1" customWidth="1"/>
    <col min="11281" max="11520" width="9.109375" style="533"/>
    <col min="11521" max="11521" width="11" style="533" customWidth="1"/>
    <col min="11522" max="11522" width="47.44140625" style="533" customWidth="1"/>
    <col min="11523" max="11523" width="9.44140625" style="533" customWidth="1"/>
    <col min="11524" max="11524" width="6.44140625" style="533" customWidth="1"/>
    <col min="11525" max="11525" width="9.6640625" style="533" customWidth="1"/>
    <col min="11526" max="11526" width="9.88671875" style="533" customWidth="1"/>
    <col min="11527" max="11536" width="0" style="533" hidden="1" customWidth="1"/>
    <col min="11537" max="11776" width="9.109375" style="533"/>
    <col min="11777" max="11777" width="11" style="533" customWidth="1"/>
    <col min="11778" max="11778" width="47.44140625" style="533" customWidth="1"/>
    <col min="11779" max="11779" width="9.44140625" style="533" customWidth="1"/>
    <col min="11780" max="11780" width="6.44140625" style="533" customWidth="1"/>
    <col min="11781" max="11781" width="9.6640625" style="533" customWidth="1"/>
    <col min="11782" max="11782" width="9.88671875" style="533" customWidth="1"/>
    <col min="11783" max="11792" width="0" style="533" hidden="1" customWidth="1"/>
    <col min="11793" max="12032" width="9.109375" style="533"/>
    <col min="12033" max="12033" width="11" style="533" customWidth="1"/>
    <col min="12034" max="12034" width="47.44140625" style="533" customWidth="1"/>
    <col min="12035" max="12035" width="9.44140625" style="533" customWidth="1"/>
    <col min="12036" max="12036" width="6.44140625" style="533" customWidth="1"/>
    <col min="12037" max="12037" width="9.6640625" style="533" customWidth="1"/>
    <col min="12038" max="12038" width="9.88671875" style="533" customWidth="1"/>
    <col min="12039" max="12048" width="0" style="533" hidden="1" customWidth="1"/>
    <col min="12049" max="12288" width="9.109375" style="533"/>
    <col min="12289" max="12289" width="11" style="533" customWidth="1"/>
    <col min="12290" max="12290" width="47.44140625" style="533" customWidth="1"/>
    <col min="12291" max="12291" width="9.44140625" style="533" customWidth="1"/>
    <col min="12292" max="12292" width="6.44140625" style="533" customWidth="1"/>
    <col min="12293" max="12293" width="9.6640625" style="533" customWidth="1"/>
    <col min="12294" max="12294" width="9.88671875" style="533" customWidth="1"/>
    <col min="12295" max="12304" width="0" style="533" hidden="1" customWidth="1"/>
    <col min="12305" max="12544" width="9.109375" style="533"/>
    <col min="12545" max="12545" width="11" style="533" customWidth="1"/>
    <col min="12546" max="12546" width="47.44140625" style="533" customWidth="1"/>
    <col min="12547" max="12547" width="9.44140625" style="533" customWidth="1"/>
    <col min="12548" max="12548" width="6.44140625" style="533" customWidth="1"/>
    <col min="12549" max="12549" width="9.6640625" style="533" customWidth="1"/>
    <col min="12550" max="12550" width="9.88671875" style="533" customWidth="1"/>
    <col min="12551" max="12560" width="0" style="533" hidden="1" customWidth="1"/>
    <col min="12561" max="12800" width="9.109375" style="533"/>
    <col min="12801" max="12801" width="11" style="533" customWidth="1"/>
    <col min="12802" max="12802" width="47.44140625" style="533" customWidth="1"/>
    <col min="12803" max="12803" width="9.44140625" style="533" customWidth="1"/>
    <col min="12804" max="12804" width="6.44140625" style="533" customWidth="1"/>
    <col min="12805" max="12805" width="9.6640625" style="533" customWidth="1"/>
    <col min="12806" max="12806" width="9.88671875" style="533" customWidth="1"/>
    <col min="12807" max="12816" width="0" style="533" hidden="1" customWidth="1"/>
    <col min="12817" max="13056" width="9.109375" style="533"/>
    <col min="13057" max="13057" width="11" style="533" customWidth="1"/>
    <col min="13058" max="13058" width="47.44140625" style="533" customWidth="1"/>
    <col min="13059" max="13059" width="9.44140625" style="533" customWidth="1"/>
    <col min="13060" max="13060" width="6.44140625" style="533" customWidth="1"/>
    <col min="13061" max="13061" width="9.6640625" style="533" customWidth="1"/>
    <col min="13062" max="13062" width="9.88671875" style="533" customWidth="1"/>
    <col min="13063" max="13072" width="0" style="533" hidden="1" customWidth="1"/>
    <col min="13073" max="13312" width="9.109375" style="533"/>
    <col min="13313" max="13313" width="11" style="533" customWidth="1"/>
    <col min="13314" max="13314" width="47.44140625" style="533" customWidth="1"/>
    <col min="13315" max="13315" width="9.44140625" style="533" customWidth="1"/>
    <col min="13316" max="13316" width="6.44140625" style="533" customWidth="1"/>
    <col min="13317" max="13317" width="9.6640625" style="533" customWidth="1"/>
    <col min="13318" max="13318" width="9.88671875" style="533" customWidth="1"/>
    <col min="13319" max="13328" width="0" style="533" hidden="1" customWidth="1"/>
    <col min="13329" max="13568" width="9.109375" style="533"/>
    <col min="13569" max="13569" width="11" style="533" customWidth="1"/>
    <col min="13570" max="13570" width="47.44140625" style="533" customWidth="1"/>
    <col min="13571" max="13571" width="9.44140625" style="533" customWidth="1"/>
    <col min="13572" max="13572" width="6.44140625" style="533" customWidth="1"/>
    <col min="13573" max="13573" width="9.6640625" style="533" customWidth="1"/>
    <col min="13574" max="13574" width="9.88671875" style="533" customWidth="1"/>
    <col min="13575" max="13584" width="0" style="533" hidden="1" customWidth="1"/>
    <col min="13585" max="13824" width="9.109375" style="533"/>
    <col min="13825" max="13825" width="11" style="533" customWidth="1"/>
    <col min="13826" max="13826" width="47.44140625" style="533" customWidth="1"/>
    <col min="13827" max="13827" width="9.44140625" style="533" customWidth="1"/>
    <col min="13828" max="13828" width="6.44140625" style="533" customWidth="1"/>
    <col min="13829" max="13829" width="9.6640625" style="533" customWidth="1"/>
    <col min="13830" max="13830" width="9.88671875" style="533" customWidth="1"/>
    <col min="13831" max="13840" width="0" style="533" hidden="1" customWidth="1"/>
    <col min="13841" max="14080" width="9.109375" style="533"/>
    <col min="14081" max="14081" width="11" style="533" customWidth="1"/>
    <col min="14082" max="14082" width="47.44140625" style="533" customWidth="1"/>
    <col min="14083" max="14083" width="9.44140625" style="533" customWidth="1"/>
    <col min="14084" max="14084" width="6.44140625" style="533" customWidth="1"/>
    <col min="14085" max="14085" width="9.6640625" style="533" customWidth="1"/>
    <col min="14086" max="14086" width="9.88671875" style="533" customWidth="1"/>
    <col min="14087" max="14096" width="0" style="533" hidden="1" customWidth="1"/>
    <col min="14097" max="14336" width="9.109375" style="533"/>
    <col min="14337" max="14337" width="11" style="533" customWidth="1"/>
    <col min="14338" max="14338" width="47.44140625" style="533" customWidth="1"/>
    <col min="14339" max="14339" width="9.44140625" style="533" customWidth="1"/>
    <col min="14340" max="14340" width="6.44140625" style="533" customWidth="1"/>
    <col min="14341" max="14341" width="9.6640625" style="533" customWidth="1"/>
    <col min="14342" max="14342" width="9.88671875" style="533" customWidth="1"/>
    <col min="14343" max="14352" width="0" style="533" hidden="1" customWidth="1"/>
    <col min="14353" max="14592" width="9.109375" style="533"/>
    <col min="14593" max="14593" width="11" style="533" customWidth="1"/>
    <col min="14594" max="14594" width="47.44140625" style="533" customWidth="1"/>
    <col min="14595" max="14595" width="9.44140625" style="533" customWidth="1"/>
    <col min="14596" max="14596" width="6.44140625" style="533" customWidth="1"/>
    <col min="14597" max="14597" width="9.6640625" style="533" customWidth="1"/>
    <col min="14598" max="14598" width="9.88671875" style="533" customWidth="1"/>
    <col min="14599" max="14608" width="0" style="533" hidden="1" customWidth="1"/>
    <col min="14609" max="14848" width="9.109375" style="533"/>
    <col min="14849" max="14849" width="11" style="533" customWidth="1"/>
    <col min="14850" max="14850" width="47.44140625" style="533" customWidth="1"/>
    <col min="14851" max="14851" width="9.44140625" style="533" customWidth="1"/>
    <col min="14852" max="14852" width="6.44140625" style="533" customWidth="1"/>
    <col min="14853" max="14853" width="9.6640625" style="533" customWidth="1"/>
    <col min="14854" max="14854" width="9.88671875" style="533" customWidth="1"/>
    <col min="14855" max="14864" width="0" style="533" hidden="1" customWidth="1"/>
    <col min="14865" max="15104" width="9.109375" style="533"/>
    <col min="15105" max="15105" width="11" style="533" customWidth="1"/>
    <col min="15106" max="15106" width="47.44140625" style="533" customWidth="1"/>
    <col min="15107" max="15107" width="9.44140625" style="533" customWidth="1"/>
    <col min="15108" max="15108" width="6.44140625" style="533" customWidth="1"/>
    <col min="15109" max="15109" width="9.6640625" style="533" customWidth="1"/>
    <col min="15110" max="15110" width="9.88671875" style="533" customWidth="1"/>
    <col min="15111" max="15120" width="0" style="533" hidden="1" customWidth="1"/>
    <col min="15121" max="15360" width="9.109375" style="533"/>
    <col min="15361" max="15361" width="11" style="533" customWidth="1"/>
    <col min="15362" max="15362" width="47.44140625" style="533" customWidth="1"/>
    <col min="15363" max="15363" width="9.44140625" style="533" customWidth="1"/>
    <col min="15364" max="15364" width="6.44140625" style="533" customWidth="1"/>
    <col min="15365" max="15365" width="9.6640625" style="533" customWidth="1"/>
    <col min="15366" max="15366" width="9.88671875" style="533" customWidth="1"/>
    <col min="15367" max="15376" width="0" style="533" hidden="1" customWidth="1"/>
    <col min="15377" max="15616" width="9.109375" style="533"/>
    <col min="15617" max="15617" width="11" style="533" customWidth="1"/>
    <col min="15618" max="15618" width="47.44140625" style="533" customWidth="1"/>
    <col min="15619" max="15619" width="9.44140625" style="533" customWidth="1"/>
    <col min="15620" max="15620" width="6.44140625" style="533" customWidth="1"/>
    <col min="15621" max="15621" width="9.6640625" style="533" customWidth="1"/>
    <col min="15622" max="15622" width="9.88671875" style="533" customWidth="1"/>
    <col min="15623" max="15632" width="0" style="533" hidden="1" customWidth="1"/>
    <col min="15633" max="15872" width="9.109375" style="533"/>
    <col min="15873" max="15873" width="11" style="533" customWidth="1"/>
    <col min="15874" max="15874" width="47.44140625" style="533" customWidth="1"/>
    <col min="15875" max="15875" width="9.44140625" style="533" customWidth="1"/>
    <col min="15876" max="15876" width="6.44140625" style="533" customWidth="1"/>
    <col min="15877" max="15877" width="9.6640625" style="533" customWidth="1"/>
    <col min="15878" max="15878" width="9.88671875" style="533" customWidth="1"/>
    <col min="15879" max="15888" width="0" style="533" hidden="1" customWidth="1"/>
    <col min="15889" max="16128" width="9.109375" style="533"/>
    <col min="16129" max="16129" width="11" style="533" customWidth="1"/>
    <col min="16130" max="16130" width="47.44140625" style="533" customWidth="1"/>
    <col min="16131" max="16131" width="9.44140625" style="533" customWidth="1"/>
    <col min="16132" max="16132" width="6.44140625" style="533" customWidth="1"/>
    <col min="16133" max="16133" width="9.6640625" style="533" customWidth="1"/>
    <col min="16134" max="16134" width="9.88671875" style="533" customWidth="1"/>
    <col min="16135" max="16144" width="0" style="533" hidden="1" customWidth="1"/>
    <col min="16145" max="16384" width="9.109375" style="533"/>
  </cols>
  <sheetData>
    <row r="1" spans="1:20">
      <c r="A1" s="530" t="s">
        <v>187</v>
      </c>
      <c r="B1" s="531" t="s">
        <v>188</v>
      </c>
      <c r="C1" s="531" t="s">
        <v>189</v>
      </c>
      <c r="D1" s="531" t="s">
        <v>190</v>
      </c>
      <c r="E1" s="532" t="s">
        <v>191</v>
      </c>
      <c r="F1" s="532" t="s">
        <v>156</v>
      </c>
    </row>
    <row r="2" spans="1:20" s="535" customFormat="1">
      <c r="A2" s="473"/>
      <c r="B2" s="516"/>
      <c r="C2" s="275"/>
      <c r="D2" s="275"/>
      <c r="E2" s="534" t="s">
        <v>232</v>
      </c>
      <c r="F2" s="534" t="s">
        <v>232</v>
      </c>
    </row>
    <row r="3" spans="1:20" s="535" customFormat="1">
      <c r="A3" s="536"/>
      <c r="B3" s="537"/>
      <c r="C3" s="538"/>
      <c r="D3" s="538"/>
      <c r="E3" s="539"/>
      <c r="F3" s="539"/>
      <c r="R3" s="540"/>
      <c r="T3" s="540"/>
    </row>
    <row r="4" spans="1:20" s="540" customFormat="1" ht="23.25" customHeight="1">
      <c r="A4" s="529" t="str">
        <f>TRIM(MID(Elec_Est!D15,6,30))</f>
        <v>1</v>
      </c>
      <c r="B4" s="781" t="str">
        <f>Elec_Est!D16</f>
        <v>Supply, install &amp; connect power supply cables.</v>
      </c>
      <c r="C4" s="538"/>
      <c r="D4" s="538"/>
      <c r="E4" s="539"/>
      <c r="F4" s="539"/>
    </row>
    <row r="5" spans="1:20" s="540" customFormat="1">
      <c r="A5" s="536"/>
      <c r="B5" s="541"/>
      <c r="C5" s="538"/>
      <c r="D5" s="538"/>
      <c r="E5" s="539"/>
      <c r="F5" s="539"/>
    </row>
    <row r="6" spans="1:20" s="540" customFormat="1">
      <c r="A6" s="536" t="str">
        <f>TRIM(MID(Elec_Est!D19,6,30))</f>
        <v>1.01</v>
      </c>
      <c r="B6" s="782" t="str">
        <f>Elec_Est!D20</f>
        <v>5c 35mm XLPE/SWA/LSZH cable SR.E2</v>
      </c>
      <c r="C6" s="543">
        <f>Elec_Est!A19</f>
        <v>35</v>
      </c>
      <c r="D6" s="538" t="str">
        <f>Elec_Est!B19</f>
        <v>M</v>
      </c>
      <c r="E6" s="539">
        <f>Elec_Est!E19</f>
        <v>34.29</v>
      </c>
      <c r="F6" s="539">
        <f>C6*E6</f>
        <v>1200.1499999999999</v>
      </c>
    </row>
    <row r="7" spans="1:20" s="540" customFormat="1">
      <c r="A7" s="536"/>
      <c r="B7" s="542"/>
      <c r="C7" s="543"/>
      <c r="D7" s="543"/>
      <c r="E7" s="539"/>
      <c r="F7" s="539"/>
    </row>
    <row r="8" spans="1:20" s="540" customFormat="1">
      <c r="A8" s="536" t="str">
        <f>TRIM(MID(Elec_Est!D28,6,30))</f>
        <v>1.02</v>
      </c>
      <c r="B8" s="782" t="str">
        <f>Elec_Est!D29</f>
        <v>5c 6.0mm XLPE/SWA/LSZH Cable</v>
      </c>
      <c r="C8" s="543">
        <f>Elec_Est!A28</f>
        <v>50</v>
      </c>
      <c r="D8" s="538" t="str">
        <f>Elec_Est!B28</f>
        <v>M</v>
      </c>
      <c r="E8" s="539">
        <f>Elec_Est!E28</f>
        <v>10.07</v>
      </c>
      <c r="F8" s="539">
        <f>C8*E8</f>
        <v>503.5</v>
      </c>
    </row>
    <row r="9" spans="1:20" s="540" customFormat="1">
      <c r="A9" s="536"/>
      <c r="B9" s="542"/>
      <c r="C9" s="543"/>
      <c r="D9" s="543"/>
      <c r="E9" s="539"/>
      <c r="F9" s="539"/>
    </row>
    <row r="10" spans="1:20" s="540" customFormat="1">
      <c r="A10" s="536"/>
      <c r="B10" s="537"/>
      <c r="C10" s="538"/>
      <c r="D10" s="538"/>
      <c r="E10" s="539"/>
      <c r="F10" s="539"/>
    </row>
    <row r="11" spans="1:20" s="544" customFormat="1" ht="23.25" customHeight="1">
      <c r="A11" s="529" t="str">
        <f>TRIM(MID(Elec_Est!D38,6,30))</f>
        <v>2</v>
      </c>
      <c r="B11" s="783" t="str">
        <f>Elec_Est!D39</f>
        <v>Supply, install &amp; connect the following switchgear.</v>
      </c>
      <c r="C11" s="543"/>
      <c r="D11" s="543"/>
      <c r="E11" s="539"/>
      <c r="F11" s="539"/>
    </row>
    <row r="12" spans="1:20" s="540" customFormat="1">
      <c r="A12" s="536"/>
      <c r="B12" s="537"/>
      <c r="C12" s="538"/>
      <c r="D12" s="538"/>
      <c r="E12" s="539"/>
      <c r="F12" s="539"/>
    </row>
    <row r="13" spans="1:20" s="540" customFormat="1">
      <c r="A13" s="536" t="str">
        <f>TRIM(MID(Elec_Est!D42,6,30))</f>
        <v>2.01</v>
      </c>
      <c r="B13" s="782" t="str">
        <f>Elec_Est!D43</f>
        <v>12 Way Distrebution Board DB-SR.E2</v>
      </c>
      <c r="C13" s="543">
        <f>Elec_Est!A42</f>
        <v>1</v>
      </c>
      <c r="D13" s="543" t="str">
        <f>Elec_Est!B42</f>
        <v>No.</v>
      </c>
      <c r="E13" s="539">
        <f>Elec_Est!E42</f>
        <v>839.15</v>
      </c>
      <c r="F13" s="539">
        <f>C13*E13</f>
        <v>839.15</v>
      </c>
    </row>
    <row r="14" spans="1:20" s="540" customFormat="1">
      <c r="A14" s="536"/>
      <c r="B14" s="537"/>
      <c r="C14" s="538"/>
      <c r="D14" s="538"/>
      <c r="E14" s="539"/>
      <c r="F14" s="539"/>
    </row>
    <row r="15" spans="1:20" s="544" customFormat="1">
      <c r="A15" s="536" t="str">
        <f>TRIM(MID(Elec_Est!D48,6,30))</f>
        <v>2.02</v>
      </c>
      <c r="B15" s="782" t="str">
        <f>Elec_Est!D49</f>
        <v>4P 63A IP65 Isolator for AC outdoor unit</v>
      </c>
      <c r="C15" s="543">
        <f>Elec_Est!A48</f>
        <v>1</v>
      </c>
      <c r="D15" s="543" t="str">
        <f>Elec_Est!B48</f>
        <v>No.</v>
      </c>
      <c r="E15" s="539">
        <f>Elec_Est!E48</f>
        <v>85.74</v>
      </c>
      <c r="F15" s="539">
        <f>C15*E15</f>
        <v>85.74</v>
      </c>
    </row>
    <row r="16" spans="1:20" s="544" customFormat="1">
      <c r="A16" s="536"/>
      <c r="B16" s="537"/>
      <c r="C16" s="538"/>
      <c r="D16" s="538"/>
      <c r="E16" s="539"/>
      <c r="F16" s="539"/>
    </row>
    <row r="17" spans="1:6" s="544" customFormat="1">
      <c r="A17" s="536"/>
      <c r="B17" s="542"/>
      <c r="C17" s="543"/>
      <c r="D17" s="543"/>
      <c r="E17" s="539"/>
      <c r="F17" s="539"/>
    </row>
    <row r="18" spans="1:6" s="544" customFormat="1" ht="23.25" customHeight="1">
      <c r="A18" s="529" t="str">
        <f>TRIM(MID(Elec_Est!D57,6,30))</f>
        <v>3</v>
      </c>
      <c r="B18" s="781" t="str">
        <f>Elec_Est!D58</f>
        <v>Supply &amp; install the following containment</v>
      </c>
      <c r="C18" s="538"/>
      <c r="D18" s="538"/>
      <c r="E18" s="539"/>
      <c r="F18" s="539"/>
    </row>
    <row r="19" spans="1:6" s="544" customFormat="1">
      <c r="A19" s="536"/>
      <c r="B19" s="542"/>
      <c r="C19" s="543"/>
      <c r="D19" s="543"/>
      <c r="E19" s="539"/>
      <c r="F19" s="539"/>
    </row>
    <row r="20" spans="1:6" s="544" customFormat="1">
      <c r="A20" s="536" t="str">
        <f>TRIM(MID(Elec_Est!D61,6,30))</f>
        <v>3.03</v>
      </c>
      <c r="B20" s="782" t="str">
        <f>Elec_Est!D62</f>
        <v>100x100mm Galvanised cable trunking</v>
      </c>
      <c r="C20" s="543">
        <f>Elec_Est!A61</f>
        <v>6</v>
      </c>
      <c r="D20" s="538" t="str">
        <f>Elec_Est!B61</f>
        <v>M</v>
      </c>
      <c r="E20" s="539">
        <f>Elec_Est!E61</f>
        <v>43.81</v>
      </c>
      <c r="F20" s="539">
        <f>C20*E20</f>
        <v>262.86</v>
      </c>
    </row>
    <row r="21" spans="1:6" s="544" customFormat="1">
      <c r="A21" s="536"/>
      <c r="B21" s="542"/>
      <c r="C21" s="543"/>
      <c r="D21" s="543"/>
      <c r="E21" s="539"/>
      <c r="F21" s="539"/>
    </row>
    <row r="22" spans="1:6" s="544" customFormat="1">
      <c r="A22" s="536"/>
      <c r="B22" s="537"/>
      <c r="C22" s="538"/>
      <c r="D22" s="538"/>
      <c r="E22" s="539"/>
      <c r="F22" s="539"/>
    </row>
    <row r="23" spans="1:6" s="544" customFormat="1" ht="36.450000000000003" customHeight="1">
      <c r="A23" s="529" t="str">
        <f>TRIM(MID(Elec_Est!D76,6,30))</f>
        <v>4</v>
      </c>
      <c r="B23" s="783" t="str">
        <f>Elec_Est!D77</f>
        <v>Supply, install &amp; connect the following power points complete with wiring accessories.</v>
      </c>
      <c r="C23" s="543"/>
      <c r="D23" s="543"/>
      <c r="E23" s="539"/>
      <c r="F23" s="539"/>
    </row>
    <row r="24" spans="1:6" s="544" customFormat="1">
      <c r="A24" s="536"/>
      <c r="B24" s="537"/>
      <c r="C24" s="538"/>
      <c r="D24" s="538"/>
      <c r="E24" s="539"/>
      <c r="F24" s="539"/>
    </row>
    <row r="25" spans="1:6" s="544" customFormat="1">
      <c r="A25" s="536" t="str">
        <f>TRIM(MID(Elec_Est!D80,6,30))</f>
        <v>4.01</v>
      </c>
      <c r="B25" s="782" t="str">
        <f>Elec_Est!D81</f>
        <v>13A Twin socket outlets</v>
      </c>
      <c r="C25" s="543">
        <f>Elec_Est!A80</f>
        <v>24</v>
      </c>
      <c r="D25" s="543" t="str">
        <f>Elec_Est!B80</f>
        <v>No.</v>
      </c>
      <c r="E25" s="539">
        <f ca="1">Elec_Est!E80</f>
        <v>83.3</v>
      </c>
      <c r="F25" s="539">
        <f ca="1">C25*E25</f>
        <v>1999.1999999999998</v>
      </c>
    </row>
    <row r="26" spans="1:6" s="544" customFormat="1">
      <c r="A26" s="536"/>
      <c r="B26" s="537"/>
      <c r="C26" s="538"/>
      <c r="D26" s="538"/>
      <c r="E26" s="539"/>
      <c r="F26" s="539"/>
    </row>
    <row r="27" spans="1:6" s="544" customFormat="1">
      <c r="A27" s="536" t="str">
        <f>TRIM(MID(Elec_Est!D91,6,30))</f>
        <v>4.02</v>
      </c>
      <c r="B27" s="782" t="str">
        <f>Elec_Est!D92</f>
        <v>!3A Fuse connection unit complete with neon indicator</v>
      </c>
      <c r="C27" s="543">
        <f>Elec_Est!A91</f>
        <v>14</v>
      </c>
      <c r="D27" s="543" t="str">
        <f>Elec_Est!B91</f>
        <v>No.</v>
      </c>
      <c r="E27" s="539">
        <f ca="1">Elec_Est!E91</f>
        <v>83.4</v>
      </c>
      <c r="F27" s="539">
        <f ca="1">C27*E27</f>
        <v>1167.6000000000001</v>
      </c>
    </row>
    <row r="28" spans="1:6" s="544" customFormat="1">
      <c r="A28" s="536"/>
      <c r="B28" s="537"/>
      <c r="C28" s="538"/>
      <c r="D28" s="538"/>
      <c r="E28" s="539"/>
      <c r="F28" s="539"/>
    </row>
    <row r="29" spans="1:6" s="544" customFormat="1" ht="26.4">
      <c r="A29" s="536" t="str">
        <f>TRIM(MID(Elec_Est!D102,6,30))</f>
        <v>4.03</v>
      </c>
      <c r="B29" s="782" t="str">
        <f>Elec_Est!D103</f>
        <v>3 Compartment Floor outlet boxes complete with 4No 13A single socket outlets &amp; 2No. RJ45 single outlets</v>
      </c>
      <c r="C29" s="543">
        <f>Elec_Est!A102</f>
        <v>7</v>
      </c>
      <c r="D29" s="543" t="str">
        <f>Elec_Est!B102</f>
        <v>No.</v>
      </c>
      <c r="E29" s="539">
        <f ca="1">Elec_Est!E102</f>
        <v>750.7</v>
      </c>
      <c r="F29" s="539">
        <f ca="1">C29*E29</f>
        <v>5254.9000000000005</v>
      </c>
    </row>
    <row r="30" spans="1:6" s="544" customFormat="1">
      <c r="A30" s="536"/>
      <c r="B30" s="537"/>
      <c r="C30" s="538"/>
      <c r="D30" s="538"/>
      <c r="E30" s="539"/>
      <c r="F30" s="539"/>
    </row>
    <row r="31" spans="1:6" s="544" customFormat="1">
      <c r="A31" s="536"/>
      <c r="B31" s="542"/>
      <c r="C31" s="543"/>
      <c r="D31" s="543"/>
      <c r="E31" s="539"/>
      <c r="F31" s="539"/>
    </row>
    <row r="32" spans="1:6" s="544" customFormat="1" ht="36.450000000000003" customHeight="1">
      <c r="A32" s="529" t="str">
        <f>TRIM(MID(Elec_Est!D114,6,30))</f>
        <v>5</v>
      </c>
      <c r="B32" s="781" t="str">
        <f>Elec_Est!D115</f>
        <v>Supply, install &amp; connect the following lighting points including the Dali cabling.</v>
      </c>
      <c r="C32" s="538"/>
      <c r="D32" s="538"/>
      <c r="E32" s="539"/>
      <c r="F32" s="539"/>
    </row>
    <row r="33" spans="1:20" s="544" customFormat="1">
      <c r="A33" s="536"/>
      <c r="B33" s="542"/>
      <c r="C33" s="543"/>
      <c r="D33" s="543"/>
      <c r="E33" s="539"/>
      <c r="F33" s="539"/>
    </row>
    <row r="34" spans="1:20" s="544" customFormat="1">
      <c r="A34" s="536" t="str">
        <f>TRIM(MID(Elec_Est!D118,6,30))</f>
        <v>5.01</v>
      </c>
      <c r="B34" s="782" t="str">
        <f>Elec_Est!D119</f>
        <v>Light points</v>
      </c>
      <c r="C34" s="543">
        <f>Elec_Est!A118</f>
        <v>50</v>
      </c>
      <c r="D34" s="543" t="str">
        <f>Elec_Est!B118</f>
        <v>No.</v>
      </c>
      <c r="E34" s="539">
        <f>Elec_Est!E118</f>
        <v>35.549999999999997</v>
      </c>
      <c r="F34" s="539">
        <f>C34*E34</f>
        <v>1777.4999999999998</v>
      </c>
    </row>
    <row r="35" spans="1:20" s="544" customFormat="1">
      <c r="A35" s="536"/>
      <c r="B35" s="542"/>
      <c r="C35" s="543"/>
      <c r="D35" s="543"/>
      <c r="E35" s="539"/>
      <c r="F35" s="539"/>
    </row>
    <row r="36" spans="1:20" s="544" customFormat="1">
      <c r="A36" s="536" t="str">
        <f>TRIM(MID(Elec_Est!D126,6,30))</f>
        <v>5.02</v>
      </c>
      <c r="B36" s="782" t="str">
        <f>Elec_Est!D127</f>
        <v>Emergency light points</v>
      </c>
      <c r="C36" s="543">
        <f>Elec_Est!A126</f>
        <v>9</v>
      </c>
      <c r="D36" s="543" t="str">
        <f>Elec_Est!B126</f>
        <v>No.</v>
      </c>
      <c r="E36" s="539">
        <f>Elec_Est!E126</f>
        <v>53.13</v>
      </c>
      <c r="F36" s="539">
        <f>C36*E36</f>
        <v>478.17</v>
      </c>
    </row>
    <row r="37" spans="1:20" s="544" customFormat="1">
      <c r="A37" s="536"/>
      <c r="B37" s="542"/>
      <c r="C37" s="543"/>
      <c r="D37" s="543"/>
      <c r="E37" s="539"/>
      <c r="F37" s="539"/>
    </row>
    <row r="38" spans="1:20" s="544" customFormat="1">
      <c r="A38" s="536"/>
      <c r="B38" s="542"/>
      <c r="C38" s="543"/>
      <c r="D38" s="543"/>
      <c r="E38" s="539"/>
      <c r="F38" s="539"/>
    </row>
    <row r="39" spans="1:20" s="544" customFormat="1" ht="23.25" customHeight="1">
      <c r="A39" s="529" t="str">
        <f>TRIM(MID(Elec_Est!D134,6,30))</f>
        <v>6</v>
      </c>
      <c r="B39" s="783" t="str">
        <f>Elec_Est!D135</f>
        <v>Supply, install &amp; connect the following light fittings.</v>
      </c>
      <c r="C39" s="543"/>
      <c r="D39" s="543"/>
      <c r="E39" s="539"/>
      <c r="F39" s="539"/>
    </row>
    <row r="40" spans="1:20" s="544" customFormat="1">
      <c r="A40" s="536"/>
      <c r="B40" s="542"/>
      <c r="C40" s="543"/>
      <c r="D40" s="543"/>
      <c r="E40" s="539"/>
      <c r="F40" s="539"/>
    </row>
    <row r="41" spans="1:20" s="544" customFormat="1">
      <c r="A41" s="536" t="str">
        <f>TRIM(MID(Elec_Est!D138,6,30))</f>
        <v>6.01</v>
      </c>
      <c r="B41" s="782" t="str">
        <f>Elec_Est!D139</f>
        <v>Emergency lights</v>
      </c>
      <c r="C41" s="543">
        <f>Elec_Est!A138</f>
        <v>9</v>
      </c>
      <c r="D41" s="543" t="str">
        <f>Elec_Est!B138</f>
        <v>No.</v>
      </c>
      <c r="E41" s="539">
        <f>Elec_Est!E138</f>
        <v>70.099999999999994</v>
      </c>
      <c r="F41" s="539">
        <f>C41*E41</f>
        <v>630.9</v>
      </c>
    </row>
    <row r="42" spans="1:20" s="544" customFormat="1">
      <c r="A42" s="536"/>
      <c r="B42" s="782"/>
      <c r="C42" s="543"/>
      <c r="D42" s="543"/>
      <c r="E42" s="539"/>
      <c r="F42" s="539"/>
    </row>
    <row r="43" spans="1:20" s="544" customFormat="1">
      <c r="A43" s="536"/>
      <c r="B43" s="782"/>
      <c r="C43" s="543"/>
      <c r="D43" s="543"/>
      <c r="E43" s="539"/>
      <c r="F43" s="539"/>
    </row>
    <row r="44" spans="1:20" s="544" customFormat="1">
      <c r="A44" s="536"/>
      <c r="B44" s="782"/>
      <c r="C44" s="543"/>
      <c r="D44" s="543"/>
      <c r="E44" s="539"/>
      <c r="F44" s="539"/>
    </row>
    <row r="45" spans="1:20" s="544" customFormat="1">
      <c r="A45" s="536"/>
      <c r="B45" s="542"/>
      <c r="C45" s="543"/>
      <c r="D45" s="543"/>
      <c r="E45" s="539"/>
      <c r="F45" s="539"/>
    </row>
    <row r="46" spans="1:20">
      <c r="A46" s="536"/>
      <c r="B46" s="542"/>
      <c r="C46" s="543"/>
      <c r="D46" s="543"/>
      <c r="E46" s="539"/>
      <c r="F46" s="539"/>
    </row>
    <row r="47" spans="1:20" s="544" customFormat="1">
      <c r="A47" s="536"/>
      <c r="B47" s="783"/>
      <c r="C47" s="543"/>
      <c r="D47" s="538"/>
      <c r="E47" s="539"/>
      <c r="F47" s="539"/>
      <c r="R47" s="533"/>
      <c r="T47" s="533"/>
    </row>
    <row r="48" spans="1:20">
      <c r="A48" s="536"/>
      <c r="B48" s="793"/>
      <c r="C48" s="543"/>
      <c r="D48" s="543"/>
      <c r="E48" s="539"/>
      <c r="F48" s="539"/>
    </row>
    <row r="49" spans="1:20">
      <c r="A49" s="548" t="s">
        <v>148</v>
      </c>
      <c r="B49" s="583"/>
      <c r="C49" s="794"/>
      <c r="D49" s="794"/>
      <c r="E49" s="795" t="s">
        <v>526</v>
      </c>
      <c r="F49" s="549">
        <f ca="1">SUM(F5:F48)</f>
        <v>14199.67</v>
      </c>
      <c r="G49" s="792">
        <f t="shared" ref="G49:P49" si="0">SUM(G3:G48)</f>
        <v>0</v>
      </c>
      <c r="H49" s="550">
        <f t="shared" si="0"/>
        <v>0</v>
      </c>
      <c r="I49" s="550">
        <f t="shared" si="0"/>
        <v>0</v>
      </c>
      <c r="J49" s="550">
        <f t="shared" si="0"/>
        <v>0</v>
      </c>
      <c r="K49" s="550">
        <f t="shared" si="0"/>
        <v>0</v>
      </c>
      <c r="L49" s="550">
        <f t="shared" si="0"/>
        <v>0</v>
      </c>
      <c r="M49" s="550">
        <f t="shared" si="0"/>
        <v>0</v>
      </c>
      <c r="N49" s="550">
        <f t="shared" si="0"/>
        <v>0</v>
      </c>
      <c r="O49" s="550">
        <f t="shared" si="0"/>
        <v>0</v>
      </c>
      <c r="P49" s="550">
        <f t="shared" si="0"/>
        <v>0</v>
      </c>
    </row>
    <row r="50" spans="1:20">
      <c r="A50" s="530" t="s">
        <v>187</v>
      </c>
      <c r="B50" s="531" t="s">
        <v>188</v>
      </c>
      <c r="C50" s="531" t="s">
        <v>189</v>
      </c>
      <c r="D50" s="531" t="s">
        <v>190</v>
      </c>
      <c r="E50" s="532" t="s">
        <v>191</v>
      </c>
      <c r="F50" s="532" t="s">
        <v>156</v>
      </c>
    </row>
    <row r="51" spans="1:20" s="535" customFormat="1">
      <c r="A51" s="473"/>
      <c r="B51" s="516"/>
      <c r="C51" s="275"/>
      <c r="D51" s="275"/>
      <c r="E51" s="534" t="s">
        <v>232</v>
      </c>
      <c r="F51" s="534" t="s">
        <v>232</v>
      </c>
    </row>
    <row r="52" spans="1:20" s="535" customFormat="1">
      <c r="A52" s="536"/>
      <c r="B52" s="537"/>
      <c r="C52" s="538"/>
      <c r="D52" s="538"/>
      <c r="E52" s="539"/>
      <c r="F52" s="539"/>
      <c r="R52" s="540"/>
      <c r="T52" s="540"/>
    </row>
    <row r="53" spans="1:20" s="540" customFormat="1" ht="36.450000000000003" customHeight="1">
      <c r="A53" s="529" t="str">
        <f>TRIM(MID(Elec_Est!D153,6,30))</f>
        <v>7</v>
      </c>
      <c r="B53" s="783" t="str">
        <f>Elec_Est!D154</f>
        <v>Install and connect the following light fittings supplied by others.</v>
      </c>
      <c r="C53" s="543"/>
      <c r="D53" s="538"/>
      <c r="E53" s="539"/>
      <c r="F53" s="539"/>
    </row>
    <row r="54" spans="1:20" s="540" customFormat="1">
      <c r="A54" s="536"/>
      <c r="B54" s="541"/>
      <c r="C54" s="538"/>
      <c r="D54" s="538"/>
      <c r="E54" s="539"/>
      <c r="F54" s="539"/>
    </row>
    <row r="55" spans="1:20" s="540" customFormat="1">
      <c r="A55" s="536" t="str">
        <f>TRIM(MID(Elec_Est!D157,6,30))</f>
        <v>7.01</v>
      </c>
      <c r="B55" s="782" t="str">
        <f>Elec_Est!D158</f>
        <v>LED Strip Light in meeting room</v>
      </c>
      <c r="C55" s="543">
        <f>Elec_Est!A157</f>
        <v>1</v>
      </c>
      <c r="D55" s="538" t="str">
        <f>Elec_Est!B157</f>
        <v>No.</v>
      </c>
      <c r="E55" s="539">
        <f>Elec_Est!E157</f>
        <v>33.159999999999997</v>
      </c>
      <c r="F55" s="539">
        <f>C55*E55</f>
        <v>33.159999999999997</v>
      </c>
    </row>
    <row r="56" spans="1:20" s="540" customFormat="1">
      <c r="A56" s="536"/>
      <c r="B56" s="542"/>
      <c r="C56" s="543"/>
      <c r="D56" s="543"/>
      <c r="E56" s="539"/>
      <c r="F56" s="539"/>
    </row>
    <row r="57" spans="1:20" s="540" customFormat="1">
      <c r="A57" s="536" t="str">
        <f>TRIM(MID(Elec_Est!D165,6,30))</f>
        <v>7.02</v>
      </c>
      <c r="B57" s="782" t="str">
        <f>Elec_Est!D166</f>
        <v>Chandelier in meeting room</v>
      </c>
      <c r="C57" s="543">
        <f>Elec_Est!A165</f>
        <v>1</v>
      </c>
      <c r="D57" s="538" t="str">
        <f>Elec_Est!B165</f>
        <v>No.</v>
      </c>
      <c r="E57" s="539">
        <f>Elec_Est!E165</f>
        <v>52.66</v>
      </c>
      <c r="F57" s="539">
        <f>C57*E57</f>
        <v>52.66</v>
      </c>
    </row>
    <row r="58" spans="1:20" s="540" customFormat="1">
      <c r="A58" s="536"/>
      <c r="B58" s="782"/>
      <c r="C58" s="543"/>
      <c r="D58" s="538"/>
      <c r="E58" s="539"/>
      <c r="F58" s="539"/>
    </row>
    <row r="59" spans="1:20" s="540" customFormat="1">
      <c r="A59" s="536" t="str">
        <f>TRIM(MID(Elec_Est!D173,6,30))</f>
        <v>7.03</v>
      </c>
      <c r="B59" s="782" t="str">
        <f>Elec_Est!D174</f>
        <v>Lighting track 4.8 meteres</v>
      </c>
      <c r="C59" s="543">
        <f>Elec_Est!A173</f>
        <v>2</v>
      </c>
      <c r="D59" s="538" t="str">
        <f>Elec_Est!B173</f>
        <v>No.</v>
      </c>
      <c r="E59" s="539">
        <f>Elec_Est!E173</f>
        <v>108.85</v>
      </c>
      <c r="F59" s="539">
        <f>C59*E59</f>
        <v>217.7</v>
      </c>
    </row>
    <row r="60" spans="1:20" s="544" customFormat="1">
      <c r="A60" s="536"/>
      <c r="B60" s="542"/>
      <c r="C60" s="543"/>
      <c r="D60" s="543"/>
      <c r="E60" s="539"/>
      <c r="F60" s="539"/>
    </row>
    <row r="61" spans="1:20" s="540" customFormat="1">
      <c r="A61" s="536" t="str">
        <f>TRIM(MID(Elec_Est!D181,6,30))</f>
        <v>7.04</v>
      </c>
      <c r="B61" s="782" t="str">
        <f>Elec_Est!D182</f>
        <v>Lighting track 15 meteres</v>
      </c>
      <c r="C61" s="543">
        <f>Elec_Est!A181</f>
        <v>1</v>
      </c>
      <c r="D61" s="538" t="str">
        <f>Elec_Est!B181</f>
        <v>No.</v>
      </c>
      <c r="E61" s="539">
        <f>Elec_Est!E181</f>
        <v>324.52</v>
      </c>
      <c r="F61" s="539">
        <f>C61*E61</f>
        <v>324.52</v>
      </c>
    </row>
    <row r="62" spans="1:20" s="540" customFormat="1">
      <c r="A62" s="529"/>
      <c r="B62" s="783"/>
      <c r="C62" s="543"/>
      <c r="D62" s="543"/>
      <c r="E62" s="539"/>
      <c r="F62" s="539"/>
    </row>
    <row r="63" spans="1:20" s="540" customFormat="1">
      <c r="A63" s="536" t="str">
        <f>TRIM(MID(Elec_Est!D189,6,30))</f>
        <v>7.05</v>
      </c>
      <c r="B63" s="782" t="str">
        <f>Elec_Est!D190</f>
        <v>Lighting track 3.5 meteres</v>
      </c>
      <c r="C63" s="543">
        <f>Elec_Est!A189</f>
        <v>1</v>
      </c>
      <c r="D63" s="538" t="str">
        <f>Elec_Est!B189</f>
        <v>No.</v>
      </c>
      <c r="E63" s="539">
        <f>Elec_Est!E189</f>
        <v>81.36</v>
      </c>
      <c r="F63" s="539">
        <f>C63*E63</f>
        <v>81.36</v>
      </c>
    </row>
    <row r="64" spans="1:20" s="544" customFormat="1">
      <c r="A64" s="536"/>
      <c r="B64" s="782"/>
      <c r="C64" s="543"/>
      <c r="D64" s="543"/>
      <c r="E64" s="539"/>
      <c r="F64" s="539"/>
    </row>
    <row r="65" spans="1:6" s="544" customFormat="1">
      <c r="A65" s="536" t="str">
        <f>TRIM(MID(Elec_Est!D197,6,30))</f>
        <v>7.06</v>
      </c>
      <c r="B65" s="782" t="str">
        <f>Elec_Est!D198</f>
        <v>Lighting track 10 meteres</v>
      </c>
      <c r="C65" s="543">
        <f>Elec_Est!A197</f>
        <v>1</v>
      </c>
      <c r="D65" s="538" t="str">
        <f>Elec_Est!B197</f>
        <v>No.</v>
      </c>
      <c r="E65" s="539">
        <f>Elec_Est!E197</f>
        <v>218.8</v>
      </c>
      <c r="F65" s="539">
        <f>C65*E65</f>
        <v>218.8</v>
      </c>
    </row>
    <row r="66" spans="1:6" s="544" customFormat="1">
      <c r="A66" s="536"/>
      <c r="B66" s="782"/>
      <c r="C66" s="543"/>
      <c r="D66" s="543"/>
      <c r="E66" s="539"/>
      <c r="F66" s="539"/>
    </row>
    <row r="67" spans="1:6" s="544" customFormat="1">
      <c r="A67" s="536" t="str">
        <f>TRIM(MID(Elec_Est!D205,6,30))</f>
        <v>7.07</v>
      </c>
      <c r="B67" s="782" t="str">
        <f>Elec_Est!D206</f>
        <v>Lighting track 12 meteres</v>
      </c>
      <c r="C67" s="543">
        <f>Elec_Est!A205</f>
        <v>1</v>
      </c>
      <c r="D67" s="538" t="str">
        <f>Elec_Est!B205</f>
        <v>No.</v>
      </c>
      <c r="E67" s="539">
        <f>Elec_Est!E205</f>
        <v>261.08999999999997</v>
      </c>
      <c r="F67" s="539">
        <f>C67*E67</f>
        <v>261.08999999999997</v>
      </c>
    </row>
    <row r="68" spans="1:6" s="544" customFormat="1">
      <c r="A68" s="536"/>
      <c r="B68" s="782"/>
      <c r="C68" s="543"/>
      <c r="D68" s="543"/>
      <c r="E68" s="539"/>
      <c r="F68" s="539"/>
    </row>
    <row r="69" spans="1:6" s="544" customFormat="1">
      <c r="A69" s="536" t="str">
        <f>TRIM(MID(Elec_Est!D213,6,30))</f>
        <v>7.08</v>
      </c>
      <c r="B69" s="782" t="str">
        <f>Elec_Est!D214</f>
        <v>Hexagon Lighting</v>
      </c>
      <c r="C69" s="543">
        <f>Elec_Est!A213</f>
        <v>1</v>
      </c>
      <c r="D69" s="538" t="str">
        <f>Elec_Est!B213</f>
        <v>No.</v>
      </c>
      <c r="E69" s="539">
        <f>Elec_Est!E213</f>
        <v>28.5</v>
      </c>
      <c r="F69" s="539">
        <f>C69*E69</f>
        <v>28.5</v>
      </c>
    </row>
    <row r="70" spans="1:6" s="544" customFormat="1">
      <c r="A70" s="536"/>
      <c r="B70" s="542"/>
      <c r="C70" s="543"/>
      <c r="D70" s="543"/>
      <c r="E70" s="539"/>
      <c r="F70" s="539"/>
    </row>
    <row r="71" spans="1:6" s="544" customFormat="1">
      <c r="A71" s="529" t="str">
        <f>TRIM(MID(Elec_Est!D221,6,30))</f>
        <v>7.09</v>
      </c>
      <c r="B71" s="783" t="str">
        <f>Elec_Est!D222</f>
        <v>High Ceiling Lighting</v>
      </c>
      <c r="C71" s="543">
        <f>Elec_Est!A221</f>
        <v>13</v>
      </c>
      <c r="D71" s="538" t="str">
        <f>Elec_Est!B221</f>
        <v>No.</v>
      </c>
      <c r="E71" s="539">
        <f>Elec_Est!E221</f>
        <v>33.159999999999997</v>
      </c>
      <c r="F71" s="539">
        <f>C71*E71</f>
        <v>431.07999999999993</v>
      </c>
    </row>
    <row r="72" spans="1:6" s="544" customFormat="1">
      <c r="A72" s="536"/>
      <c r="B72" s="542"/>
      <c r="C72" s="543"/>
      <c r="D72" s="543"/>
      <c r="E72" s="539"/>
      <c r="F72" s="539"/>
    </row>
    <row r="73" spans="1:6" s="544" customFormat="1">
      <c r="A73" s="536"/>
      <c r="B73" s="782"/>
      <c r="C73" s="543"/>
      <c r="D73" s="538"/>
      <c r="E73" s="539"/>
      <c r="F73" s="539"/>
    </row>
    <row r="74" spans="1:6" s="544" customFormat="1" ht="23.25" customHeight="1">
      <c r="A74" s="529" t="str">
        <f>TRIM(MID(Elec_Est!D228,6,30))</f>
        <v>8</v>
      </c>
      <c r="B74" s="783" t="str">
        <f>Elec_Est!D229</f>
        <v>Supply, install &amp; connect Dali equipment.</v>
      </c>
      <c r="C74" s="543"/>
      <c r="D74" s="543"/>
      <c r="E74" s="539"/>
      <c r="F74" s="539"/>
    </row>
    <row r="75" spans="1:6" s="544" customFormat="1">
      <c r="A75" s="536"/>
      <c r="B75" s="782"/>
      <c r="C75" s="543"/>
      <c r="D75" s="538"/>
      <c r="E75" s="539"/>
      <c r="F75" s="539"/>
    </row>
    <row r="76" spans="1:6" s="544" customFormat="1">
      <c r="A76" s="536" t="str">
        <f>TRIM(MID(Elec_Est!D232,6,30))</f>
        <v>8.01</v>
      </c>
      <c r="B76" s="782" t="str">
        <f>Elec_Est!D233</f>
        <v>Dali controller</v>
      </c>
      <c r="C76" s="543">
        <f>Elec_Est!A232</f>
        <v>1</v>
      </c>
      <c r="D76" s="543" t="str">
        <f>Elec_Est!B232</f>
        <v>No</v>
      </c>
      <c r="E76" s="539">
        <f>Elec_Est!E232</f>
        <v>1283.99</v>
      </c>
      <c r="F76" s="539">
        <f>C76*E76</f>
        <v>1283.99</v>
      </c>
    </row>
    <row r="77" spans="1:6" s="544" customFormat="1">
      <c r="A77" s="536"/>
      <c r="B77" s="782"/>
      <c r="C77" s="543"/>
      <c r="D77" s="538"/>
      <c r="E77" s="539"/>
      <c r="F77" s="539"/>
    </row>
    <row r="78" spans="1:6" s="544" customFormat="1">
      <c r="A78" s="536" t="str">
        <f>TRIM(MID(Elec_Est!D241,6,30))</f>
        <v>8.02</v>
      </c>
      <c r="B78" s="782" t="str">
        <f>Elec_Est!D242</f>
        <v>Dali 7" Main touch screen</v>
      </c>
      <c r="C78" s="543">
        <f>Elec_Est!A241</f>
        <v>1</v>
      </c>
      <c r="D78" s="543" t="str">
        <f>Elec_Est!B241</f>
        <v>No.</v>
      </c>
      <c r="E78" s="539">
        <f>Elec_Est!E241</f>
        <v>1151.8499999999999</v>
      </c>
      <c r="F78" s="539">
        <f>C78*E78</f>
        <v>1151.8499999999999</v>
      </c>
    </row>
    <row r="79" spans="1:6" s="544" customFormat="1">
      <c r="A79" s="536"/>
      <c r="B79" s="782"/>
      <c r="C79" s="543"/>
      <c r="D79" s="543"/>
      <c r="E79" s="539"/>
      <c r="F79" s="539"/>
    </row>
    <row r="80" spans="1:6" s="544" customFormat="1">
      <c r="A80" s="536" t="str">
        <f>TRIM(MID(Elec_Est!D249,6,30))</f>
        <v>8.03</v>
      </c>
      <c r="B80" s="782" t="str">
        <f>Elec_Est!D250</f>
        <v>Dali touch screen in meeting room</v>
      </c>
      <c r="C80" s="543">
        <f>Elec_Est!A249</f>
        <v>1</v>
      </c>
      <c r="D80" s="543" t="str">
        <f>Elec_Est!B249</f>
        <v>No.</v>
      </c>
      <c r="E80" s="539">
        <f>Elec_Est!E249</f>
        <v>391.3</v>
      </c>
      <c r="F80" s="539">
        <f>C80*E80</f>
        <v>391.3</v>
      </c>
    </row>
    <row r="81" spans="1:6" s="544" customFormat="1">
      <c r="A81" s="536"/>
      <c r="B81" s="782"/>
      <c r="C81" s="543"/>
      <c r="D81" s="543"/>
      <c r="E81" s="539"/>
      <c r="F81" s="539"/>
    </row>
    <row r="82" spans="1:6" s="544" customFormat="1">
      <c r="A82" s="536"/>
      <c r="B82" s="542"/>
      <c r="C82" s="543"/>
      <c r="D82" s="543"/>
      <c r="E82" s="539"/>
      <c r="F82" s="539"/>
    </row>
    <row r="83" spans="1:6" s="544" customFormat="1" ht="23.25" customHeight="1">
      <c r="A83" s="529" t="str">
        <f>TRIM(MID(Elec_Est!D257,6,30))</f>
        <v>9</v>
      </c>
      <c r="B83" s="783" t="str">
        <f>Elec_Est!D258</f>
        <v>Supply, install &amp; connect data points</v>
      </c>
      <c r="C83" s="543"/>
      <c r="D83" s="543"/>
      <c r="E83" s="539"/>
      <c r="F83" s="539"/>
    </row>
    <row r="84" spans="1:6" s="544" customFormat="1">
      <c r="A84" s="529"/>
      <c r="B84" s="783"/>
      <c r="C84" s="543"/>
      <c r="D84" s="543"/>
      <c r="E84" s="539"/>
      <c r="F84" s="539"/>
    </row>
    <row r="85" spans="1:6" s="544" customFormat="1">
      <c r="A85" s="536" t="str">
        <f>TRIM(MID(Elec_Est!D261,6,30))</f>
        <v>9.01</v>
      </c>
      <c r="B85" s="782" t="str">
        <f>Elec_Est!D262</f>
        <v>25mm PVC conduit</v>
      </c>
      <c r="C85" s="543">
        <f>Elec_Est!A261</f>
        <v>27</v>
      </c>
      <c r="D85" s="543" t="str">
        <f>Elec_Est!B261</f>
        <v>No.</v>
      </c>
      <c r="E85" s="539">
        <f>Elec_Est!E261</f>
        <v>39.36</v>
      </c>
      <c r="F85" s="539">
        <f>C85*E85</f>
        <v>1062.72</v>
      </c>
    </row>
    <row r="86" spans="1:6" s="544" customFormat="1">
      <c r="A86" s="536"/>
      <c r="B86" s="782"/>
      <c r="C86" s="543"/>
      <c r="D86" s="543"/>
      <c r="E86" s="539"/>
      <c r="F86" s="539"/>
    </row>
    <row r="87" spans="1:6" s="544" customFormat="1">
      <c r="A87" s="536" t="str">
        <f>TRIM(MID(Elec_Est!D267,6,30))</f>
        <v>9.02</v>
      </c>
      <c r="B87" s="782" t="str">
        <f>Elec_Est!D268</f>
        <v>Cat6 cables</v>
      </c>
      <c r="C87" s="543">
        <f>Elec_Est!A267</f>
        <v>1150</v>
      </c>
      <c r="D87" s="543" t="str">
        <f>Elec_Est!B267</f>
        <v>M</v>
      </c>
      <c r="E87" s="539">
        <f>Elec_Est!E267</f>
        <v>0.76</v>
      </c>
      <c r="F87" s="539">
        <f>C87*E87</f>
        <v>874</v>
      </c>
    </row>
    <row r="88" spans="1:6" s="544" customFormat="1">
      <c r="A88" s="536"/>
      <c r="B88" s="782"/>
      <c r="C88" s="543"/>
      <c r="D88" s="543"/>
      <c r="E88" s="539"/>
      <c r="F88" s="539"/>
    </row>
    <row r="89" spans="1:6" s="544" customFormat="1">
      <c r="A89" s="536" t="str">
        <f>TRIM(MID(Elec_Est!D273,6,30))</f>
        <v>9.03</v>
      </c>
      <c r="B89" s="782" t="str">
        <f>Elec_Est!D274</f>
        <v>Single RJ45 outlets</v>
      </c>
      <c r="C89" s="543">
        <f>Elec_Est!A273</f>
        <v>6</v>
      </c>
      <c r="D89" s="538" t="str">
        <f>Elec_Est!B273</f>
        <v>No.</v>
      </c>
      <c r="E89" s="539">
        <f>Elec_Est!E273</f>
        <v>7.33</v>
      </c>
      <c r="F89" s="539">
        <f>C89*E89</f>
        <v>43.980000000000004</v>
      </c>
    </row>
    <row r="90" spans="1:6" s="544" customFormat="1">
      <c r="A90" s="536"/>
      <c r="B90" s="542"/>
      <c r="C90" s="543"/>
      <c r="D90" s="543"/>
      <c r="E90" s="539"/>
      <c r="F90" s="539"/>
    </row>
    <row r="91" spans="1:6" s="544" customFormat="1">
      <c r="A91" s="529" t="str">
        <f>TRIM(MID(Elec_Est!D282,6,30))</f>
        <v>9.04</v>
      </c>
      <c r="B91" s="783" t="str">
        <f>Elec_Est!D283</f>
        <v>Twin RJ45 outlets</v>
      </c>
      <c r="C91" s="543">
        <f>Elec_Est!A282</f>
        <v>21</v>
      </c>
      <c r="D91" s="543" t="str">
        <f>Elec_Est!B282</f>
        <v>No.</v>
      </c>
      <c r="E91" s="539">
        <f>Elec_Est!E282</f>
        <v>10.72</v>
      </c>
      <c r="F91" s="539">
        <f>C91*E91</f>
        <v>225.12</v>
      </c>
    </row>
    <row r="92" spans="1:6" s="544" customFormat="1">
      <c r="A92" s="536"/>
      <c r="B92" s="542"/>
      <c r="C92" s="543"/>
      <c r="D92" s="543"/>
      <c r="E92" s="539"/>
      <c r="F92" s="539"/>
    </row>
    <row r="93" spans="1:6" s="544" customFormat="1">
      <c r="A93" s="536" t="str">
        <f>TRIM(MID(Elec_Est!D291,6,30))</f>
        <v>9.05</v>
      </c>
      <c r="B93" s="782" t="str">
        <f>Elec_Est!D292</f>
        <v>Termination of Cat6 cables atpatch panel end</v>
      </c>
      <c r="C93" s="543">
        <f>Elec_Est!A291</f>
        <v>46</v>
      </c>
      <c r="D93" s="538" t="str">
        <f>Elec_Est!B291</f>
        <v>No.</v>
      </c>
      <c r="E93" s="539">
        <f>Elec_Est!E291</f>
        <v>7.55</v>
      </c>
      <c r="F93" s="539">
        <f>C93*E93</f>
        <v>347.3</v>
      </c>
    </row>
    <row r="94" spans="1:6" s="544" customFormat="1">
      <c r="A94" s="536"/>
      <c r="B94" s="782"/>
      <c r="C94" s="543"/>
      <c r="D94" s="538"/>
      <c r="E94" s="539"/>
      <c r="F94" s="539"/>
    </row>
    <row r="95" spans="1:6" s="544" customFormat="1">
      <c r="A95" s="536"/>
      <c r="B95" s="782"/>
      <c r="C95" s="543"/>
      <c r="D95" s="538"/>
      <c r="E95" s="539"/>
      <c r="F95" s="539"/>
    </row>
    <row r="96" spans="1:6" s="544" customFormat="1">
      <c r="A96" s="536"/>
      <c r="B96" s="782"/>
      <c r="C96" s="543"/>
      <c r="D96" s="538"/>
      <c r="E96" s="539"/>
      <c r="F96" s="539"/>
    </row>
    <row r="97" spans="1:12" s="544" customFormat="1">
      <c r="A97" s="536"/>
      <c r="B97" s="782"/>
      <c r="C97" s="543"/>
      <c r="D97" s="538"/>
      <c r="E97" s="539"/>
      <c r="F97" s="539"/>
    </row>
    <row r="98" spans="1:12" s="544" customFormat="1">
      <c r="A98" s="536"/>
      <c r="B98" s="782"/>
      <c r="C98" s="543"/>
      <c r="D98" s="538"/>
      <c r="E98" s="539"/>
      <c r="F98" s="539"/>
    </row>
    <row r="99" spans="1:12" s="544" customFormat="1">
      <c r="A99" s="536"/>
      <c r="B99" s="542"/>
      <c r="C99" s="543"/>
      <c r="D99" s="543"/>
      <c r="E99" s="539"/>
      <c r="F99" s="539"/>
    </row>
    <row r="100" spans="1:12" s="544" customFormat="1">
      <c r="A100" s="536"/>
      <c r="B100" s="537"/>
      <c r="C100" s="538"/>
      <c r="D100" s="538"/>
      <c r="E100" s="539"/>
      <c r="F100" s="539"/>
    </row>
    <row r="101" spans="1:12">
      <c r="A101" s="536"/>
      <c r="B101" s="542"/>
      <c r="C101" s="543"/>
      <c r="D101" s="543"/>
      <c r="E101" s="539"/>
      <c r="F101" s="539"/>
    </row>
    <row r="102" spans="1:12">
      <c r="A102" s="548" t="s">
        <v>148</v>
      </c>
      <c r="B102" s="583"/>
      <c r="C102" s="794"/>
      <c r="D102" s="794"/>
      <c r="E102" s="795" t="s">
        <v>526</v>
      </c>
      <c r="F102" s="549">
        <f>SUM(F52:F101)</f>
        <v>7029.1299999999992</v>
      </c>
    </row>
    <row r="103" spans="1:12">
      <c r="A103" s="530" t="s">
        <v>187</v>
      </c>
      <c r="B103" s="531" t="s">
        <v>188</v>
      </c>
      <c r="C103" s="531" t="s">
        <v>189</v>
      </c>
      <c r="D103" s="531" t="s">
        <v>190</v>
      </c>
      <c r="E103" s="532" t="s">
        <v>191</v>
      </c>
      <c r="F103" s="532" t="s">
        <v>156</v>
      </c>
      <c r="G103" s="552"/>
      <c r="H103" s="553"/>
      <c r="I103" s="551"/>
      <c r="J103" s="551"/>
      <c r="K103" s="554"/>
      <c r="L103" s="555"/>
    </row>
    <row r="104" spans="1:12">
      <c r="A104" s="473"/>
      <c r="B104" s="516"/>
      <c r="C104" s="275"/>
      <c r="D104" s="275"/>
      <c r="E104" s="534" t="s">
        <v>232</v>
      </c>
      <c r="F104" s="534" t="s">
        <v>232</v>
      </c>
      <c r="G104" s="552"/>
      <c r="H104" s="553"/>
      <c r="I104" s="551"/>
      <c r="J104" s="551"/>
      <c r="K104" s="554"/>
      <c r="L104" s="555"/>
    </row>
    <row r="105" spans="1:12">
      <c r="A105" s="536"/>
      <c r="B105" s="537"/>
      <c r="C105" s="538"/>
      <c r="D105" s="538"/>
      <c r="E105" s="539"/>
      <c r="F105" s="539"/>
      <c r="G105" s="552"/>
      <c r="H105" s="553"/>
      <c r="I105" s="551"/>
      <c r="J105" s="551"/>
      <c r="K105" s="554"/>
      <c r="L105" s="555"/>
    </row>
    <row r="106" spans="1:12" ht="23.25" customHeight="1">
      <c r="A106" s="529" t="str">
        <f>TRIM(MID(Elec_Est!D303,6,30))</f>
        <v>10</v>
      </c>
      <c r="B106" s="783" t="str">
        <f>Elec_Est!D304</f>
        <v>Install &amp; connect access control system.</v>
      </c>
      <c r="C106" s="543"/>
      <c r="D106" s="538"/>
      <c r="E106" s="539"/>
      <c r="F106" s="539"/>
      <c r="G106" s="552"/>
      <c r="H106" s="553"/>
      <c r="I106" s="551"/>
      <c r="J106" s="551"/>
      <c r="K106" s="554"/>
      <c r="L106" s="555"/>
    </row>
    <row r="107" spans="1:12">
      <c r="A107" s="536"/>
      <c r="B107" s="541"/>
      <c r="C107" s="538"/>
      <c r="D107" s="538"/>
      <c r="E107" s="539"/>
      <c r="F107" s="539"/>
      <c r="G107" s="552"/>
      <c r="H107" s="553"/>
      <c r="I107" s="551"/>
      <c r="J107" s="551"/>
      <c r="K107" s="554"/>
      <c r="L107" s="555"/>
    </row>
    <row r="108" spans="1:12">
      <c r="A108" s="536" t="str">
        <f>TRIM(MID(Elec_Est!D307,6,30))</f>
        <v>10.01</v>
      </c>
      <c r="B108" s="782" t="str">
        <f>Elec_Est!D308</f>
        <v>Access master controller Installation Only</v>
      </c>
      <c r="C108" s="543">
        <f>Elec_Est!A307</f>
        <v>1</v>
      </c>
      <c r="D108" s="538" t="str">
        <f>Elec_Est!B307</f>
        <v>No.</v>
      </c>
      <c r="E108" s="539">
        <f>Elec_Est!E307</f>
        <v>49.03</v>
      </c>
      <c r="F108" s="539">
        <f>C108*E108</f>
        <v>49.03</v>
      </c>
      <c r="G108" s="552"/>
      <c r="H108" s="553"/>
      <c r="I108" s="551"/>
      <c r="J108" s="551"/>
      <c r="K108" s="554"/>
      <c r="L108" s="555"/>
    </row>
    <row r="109" spans="1:12">
      <c r="A109" s="536"/>
      <c r="B109" s="542"/>
      <c r="C109" s="543"/>
      <c r="D109" s="543"/>
      <c r="E109" s="539"/>
      <c r="F109" s="539"/>
      <c r="G109" s="552"/>
      <c r="H109" s="553"/>
      <c r="I109" s="551"/>
      <c r="J109" s="551"/>
      <c r="K109" s="554"/>
      <c r="L109" s="555"/>
    </row>
    <row r="110" spans="1:12" ht="26.4">
      <c r="A110" s="536" t="str">
        <f>TRIM(MID(Elec_Est!D317,6,30))</f>
        <v>10.02</v>
      </c>
      <c r="B110" s="782" t="str">
        <f>Elec_Est!D318</f>
        <v>Access card reader c/w conduits and cables Installation Only</v>
      </c>
      <c r="C110" s="543">
        <f>Elec_Est!A317</f>
        <v>1</v>
      </c>
      <c r="D110" s="538" t="str">
        <f>Elec_Est!B317</f>
        <v>No.</v>
      </c>
      <c r="E110" s="539">
        <f>Elec_Est!E317</f>
        <v>39.28</v>
      </c>
      <c r="F110" s="539">
        <f>C110*E110</f>
        <v>39.28</v>
      </c>
      <c r="G110" s="552"/>
      <c r="H110" s="553"/>
      <c r="I110" s="551"/>
      <c r="J110" s="551"/>
      <c r="K110" s="554"/>
      <c r="L110" s="555"/>
    </row>
    <row r="111" spans="1:12">
      <c r="A111" s="536"/>
      <c r="B111" s="542"/>
      <c r="C111" s="543"/>
      <c r="D111" s="543"/>
      <c r="E111" s="539"/>
      <c r="F111" s="539"/>
      <c r="G111" s="552"/>
      <c r="H111" s="553"/>
      <c r="I111" s="551"/>
      <c r="J111" s="551"/>
      <c r="K111" s="554"/>
      <c r="L111" s="555"/>
    </row>
    <row r="112" spans="1:12">
      <c r="A112" s="536"/>
      <c r="B112" s="782"/>
      <c r="C112" s="543"/>
      <c r="D112" s="538"/>
      <c r="E112" s="539"/>
      <c r="F112" s="539"/>
      <c r="G112" s="552"/>
      <c r="H112" s="553"/>
      <c r="I112" s="551"/>
      <c r="J112" s="551"/>
      <c r="K112" s="554"/>
      <c r="L112" s="555"/>
    </row>
    <row r="113" spans="1:12" ht="23.25" customHeight="1">
      <c r="A113" s="529" t="str">
        <f>TRIM(MID(Elec_Est!D327,6,30))</f>
        <v>11</v>
      </c>
      <c r="B113" s="783" t="str">
        <f>Elec_Est!D328</f>
        <v>Install &amp; connect CCTV Cameras system.</v>
      </c>
      <c r="C113" s="543"/>
      <c r="D113" s="543"/>
      <c r="E113" s="539"/>
      <c r="F113" s="539"/>
      <c r="G113" s="552"/>
      <c r="H113" s="553"/>
      <c r="I113" s="551"/>
      <c r="J113" s="551"/>
      <c r="K113" s="554"/>
      <c r="L113" s="555"/>
    </row>
    <row r="114" spans="1:12">
      <c r="A114" s="536"/>
      <c r="B114" s="537"/>
      <c r="C114" s="538"/>
      <c r="D114" s="538"/>
      <c r="E114" s="539"/>
      <c r="F114" s="539"/>
      <c r="G114" s="552"/>
      <c r="H114" s="553"/>
      <c r="I114" s="551"/>
      <c r="J114" s="551"/>
      <c r="K114" s="554"/>
      <c r="L114" s="555"/>
    </row>
    <row r="115" spans="1:12" ht="26.4">
      <c r="A115" s="529" t="str">
        <f>TRIM(MID(Elec_Est!D331,6,30))</f>
        <v>11.01</v>
      </c>
      <c r="B115" s="783" t="str">
        <f>Elec_Est!D332</f>
        <v>Internal CCTV Cameras c/w conduits &amp; Cables Installation Only</v>
      </c>
      <c r="C115" s="543">
        <f>Elec_Est!A331</f>
        <v>7</v>
      </c>
      <c r="D115" s="543" t="str">
        <f>Elec_Est!B331</f>
        <v>No.</v>
      </c>
      <c r="E115" s="539">
        <f>Elec_Est!E331</f>
        <v>51.19</v>
      </c>
      <c r="F115" s="539">
        <f>C115*E115</f>
        <v>358.33</v>
      </c>
      <c r="G115" s="552"/>
      <c r="H115" s="553"/>
      <c r="I115" s="551"/>
      <c r="J115" s="551"/>
      <c r="K115" s="554"/>
      <c r="L115" s="555"/>
    </row>
    <row r="116" spans="1:12">
      <c r="A116" s="536"/>
      <c r="B116" s="537"/>
      <c r="C116" s="538"/>
      <c r="D116" s="538"/>
      <c r="E116" s="539"/>
      <c r="F116" s="539"/>
      <c r="G116" s="552"/>
      <c r="H116" s="553"/>
      <c r="I116" s="551"/>
      <c r="J116" s="551"/>
      <c r="K116" s="554"/>
      <c r="L116" s="555"/>
    </row>
    <row r="117" spans="1:12" ht="26.4">
      <c r="A117" s="536" t="str">
        <f>TRIM(MID(Elec_Est!D342,6,30))</f>
        <v>11.02</v>
      </c>
      <c r="B117" s="782" t="str">
        <f>Elec_Est!D343</f>
        <v>External CCTV Cameras c/w conduits &amp; Cables Installation Only</v>
      </c>
      <c r="C117" s="543">
        <f>Elec_Est!A342</f>
        <v>3</v>
      </c>
      <c r="D117" s="543" t="str">
        <f>Elec_Est!B342</f>
        <v>No.</v>
      </c>
      <c r="E117" s="539">
        <f>Elec_Est!E342</f>
        <v>65.849999999999994</v>
      </c>
      <c r="F117" s="539">
        <f>C117*E117</f>
        <v>197.54999999999998</v>
      </c>
      <c r="G117" s="552"/>
      <c r="H117" s="553"/>
      <c r="I117" s="551"/>
      <c r="J117" s="551"/>
      <c r="K117" s="554"/>
      <c r="L117" s="555"/>
    </row>
    <row r="118" spans="1:12">
      <c r="A118" s="536"/>
      <c r="B118" s="537"/>
      <c r="C118" s="538"/>
      <c r="D118" s="538"/>
      <c r="E118" s="539"/>
      <c r="F118" s="539"/>
      <c r="G118" s="552"/>
      <c r="H118" s="553"/>
      <c r="I118" s="551"/>
      <c r="J118" s="551"/>
      <c r="K118" s="554"/>
      <c r="L118" s="555"/>
    </row>
    <row r="119" spans="1:12">
      <c r="A119" s="536"/>
      <c r="B119" s="782"/>
      <c r="C119" s="543"/>
      <c r="D119" s="543"/>
      <c r="E119" s="539"/>
      <c r="F119" s="539"/>
      <c r="G119" s="552"/>
      <c r="H119" s="553"/>
      <c r="I119" s="551"/>
      <c r="J119" s="551"/>
      <c r="K119" s="554"/>
      <c r="L119" s="555"/>
    </row>
    <row r="120" spans="1:12" ht="23.25" customHeight="1">
      <c r="A120" s="529" t="str">
        <f>TRIM(MID(Elec_Est!D353,6,30))</f>
        <v>12</v>
      </c>
      <c r="B120" s="781" t="str">
        <f>Elec_Est!D354</f>
        <v>Install &amp; connect fire alarm system.</v>
      </c>
      <c r="C120" s="538"/>
      <c r="D120" s="538"/>
      <c r="E120" s="539"/>
      <c r="F120" s="539"/>
      <c r="G120" s="552"/>
      <c r="H120" s="553"/>
      <c r="I120" s="551"/>
      <c r="J120" s="551"/>
      <c r="K120" s="554"/>
      <c r="L120" s="555"/>
    </row>
    <row r="121" spans="1:12">
      <c r="A121" s="536"/>
      <c r="B121" s="782"/>
      <c r="C121" s="543"/>
      <c r="D121" s="543"/>
      <c r="E121" s="539"/>
      <c r="F121" s="539"/>
      <c r="G121" s="552"/>
      <c r="H121" s="553"/>
      <c r="I121" s="551"/>
      <c r="J121" s="551"/>
      <c r="K121" s="554"/>
      <c r="L121" s="555"/>
    </row>
    <row r="122" spans="1:12" ht="105.6">
      <c r="A122" s="536" t="str">
        <f>TRIM(MID(Elec_Est!D357,6,30))</f>
        <v>12.01</v>
      </c>
      <c r="B122" s="782" t="str">
        <f>Elec_Est!D358</f>
        <v>Supply, installation, testing, and commissioning of complete Addressable/Conventional Fire Alarm System (as per project drawings), including but not limited to smoke detectors, heat detectors, manual call points, sounder bases, cabling, junction boxes, accessories, termination, programming, integration with other systems, and all associated materials, equipment, and labor required to deliver a fully operational system.</v>
      </c>
      <c r="C122" s="543">
        <f>Elec_Est!A357</f>
        <v>1</v>
      </c>
      <c r="D122" s="538" t="str">
        <f>Elec_Est!B357</f>
        <v>LS</v>
      </c>
      <c r="E122" s="539">
        <f>Elec_Est!E357</f>
        <v>2150.5</v>
      </c>
      <c r="F122" s="539">
        <f>C122*E122</f>
        <v>2150.5</v>
      </c>
      <c r="G122" s="552"/>
      <c r="H122" s="553"/>
      <c r="I122" s="551"/>
      <c r="J122" s="551"/>
      <c r="K122" s="554"/>
      <c r="L122" s="555"/>
    </row>
    <row r="123" spans="1:12">
      <c r="A123" s="536"/>
      <c r="B123" s="542"/>
      <c r="C123" s="543"/>
      <c r="D123" s="543"/>
      <c r="E123" s="539"/>
      <c r="F123" s="539"/>
      <c r="G123" s="552"/>
      <c r="H123" s="553"/>
      <c r="I123" s="551"/>
      <c r="J123" s="551"/>
      <c r="K123" s="554"/>
      <c r="L123" s="555"/>
    </row>
    <row r="124" spans="1:12">
      <c r="A124" s="529"/>
      <c r="B124" s="781"/>
      <c r="C124" s="538"/>
      <c r="D124" s="538"/>
      <c r="E124" s="539"/>
      <c r="F124" s="539"/>
      <c r="G124" s="552"/>
      <c r="H124" s="553"/>
      <c r="I124" s="551"/>
      <c r="J124" s="551"/>
      <c r="K124" s="554"/>
      <c r="L124" s="555"/>
    </row>
    <row r="125" spans="1:12">
      <c r="A125" s="536"/>
      <c r="B125" s="542"/>
      <c r="C125" s="543"/>
      <c r="D125" s="543"/>
      <c r="E125" s="539"/>
      <c r="F125" s="539"/>
      <c r="G125" s="552"/>
      <c r="H125" s="553"/>
      <c r="I125" s="551"/>
      <c r="J125" s="551"/>
      <c r="K125" s="554"/>
      <c r="L125" s="555"/>
    </row>
    <row r="126" spans="1:12">
      <c r="A126" s="536"/>
      <c r="B126" s="782"/>
      <c r="C126" s="543"/>
      <c r="D126" s="538"/>
      <c r="E126" s="539"/>
      <c r="F126" s="539"/>
      <c r="G126" s="552"/>
      <c r="H126" s="553"/>
      <c r="I126" s="551"/>
      <c r="J126" s="551"/>
      <c r="K126" s="554"/>
      <c r="L126" s="555"/>
    </row>
    <row r="127" spans="1:12">
      <c r="A127" s="536"/>
      <c r="B127" s="542"/>
      <c r="C127" s="543"/>
      <c r="D127" s="543"/>
      <c r="E127" s="539"/>
      <c r="F127" s="539"/>
      <c r="G127" s="552"/>
      <c r="H127" s="553"/>
      <c r="I127" s="551"/>
      <c r="J127" s="551"/>
      <c r="K127" s="554"/>
      <c r="L127" s="555"/>
    </row>
    <row r="128" spans="1:12">
      <c r="A128" s="536"/>
      <c r="B128" s="782"/>
      <c r="C128" s="543"/>
      <c r="D128" s="538"/>
      <c r="E128" s="539"/>
      <c r="F128" s="539"/>
      <c r="G128" s="552"/>
      <c r="H128" s="553"/>
      <c r="I128" s="551"/>
      <c r="J128" s="551"/>
      <c r="K128" s="554"/>
      <c r="L128" s="555"/>
    </row>
    <row r="129" spans="1:12">
      <c r="A129" s="536"/>
      <c r="B129" s="542"/>
      <c r="C129" s="543"/>
      <c r="D129" s="543"/>
      <c r="E129" s="539"/>
      <c r="F129" s="539"/>
      <c r="G129" s="552"/>
      <c r="H129" s="553"/>
      <c r="I129" s="551"/>
      <c r="J129" s="551"/>
      <c r="K129" s="554"/>
      <c r="L129" s="555"/>
    </row>
    <row r="130" spans="1:12">
      <c r="A130" s="536"/>
      <c r="B130" s="542"/>
      <c r="C130" s="543"/>
      <c r="D130" s="543"/>
      <c r="E130" s="539"/>
      <c r="F130" s="539"/>
      <c r="G130" s="552"/>
      <c r="H130" s="553"/>
      <c r="I130" s="551"/>
      <c r="J130" s="551"/>
      <c r="K130" s="554"/>
      <c r="L130" s="555"/>
    </row>
    <row r="131" spans="1:12">
      <c r="A131" s="536"/>
      <c r="B131" s="542"/>
      <c r="C131" s="543"/>
      <c r="D131" s="543"/>
      <c r="E131" s="539"/>
      <c r="F131" s="539"/>
      <c r="G131" s="552"/>
      <c r="H131" s="553"/>
      <c r="I131" s="551"/>
      <c r="J131" s="551"/>
      <c r="K131" s="554"/>
      <c r="L131" s="555"/>
    </row>
    <row r="132" spans="1:12">
      <c r="A132" s="536"/>
      <c r="B132" s="542"/>
      <c r="C132" s="543"/>
      <c r="D132" s="543"/>
      <c r="E132" s="539"/>
      <c r="F132" s="539"/>
      <c r="G132" s="552"/>
      <c r="H132" s="553"/>
      <c r="I132" s="551"/>
      <c r="J132" s="551"/>
      <c r="K132" s="554"/>
      <c r="L132" s="555"/>
    </row>
    <row r="133" spans="1:12">
      <c r="A133" s="536"/>
      <c r="B133" s="542"/>
      <c r="C133" s="543"/>
      <c r="D133" s="543"/>
      <c r="E133" s="539"/>
      <c r="F133" s="539"/>
      <c r="G133" s="552"/>
      <c r="H133" s="553"/>
      <c r="I133" s="551"/>
      <c r="J133" s="551"/>
      <c r="K133" s="554"/>
      <c r="L133" s="555"/>
    </row>
    <row r="134" spans="1:12">
      <c r="A134" s="536"/>
      <c r="B134" s="782"/>
      <c r="C134" s="543"/>
      <c r="D134" s="538"/>
      <c r="E134" s="539"/>
      <c r="F134" s="539"/>
      <c r="G134" s="552"/>
      <c r="H134" s="553"/>
      <c r="I134" s="551"/>
      <c r="J134" s="551"/>
      <c r="K134" s="554"/>
      <c r="L134" s="555"/>
    </row>
    <row r="135" spans="1:12">
      <c r="A135" s="536"/>
      <c r="B135" s="542"/>
      <c r="C135" s="543"/>
      <c r="D135" s="543"/>
      <c r="E135" s="539"/>
      <c r="F135" s="539"/>
      <c r="G135" s="552"/>
      <c r="H135" s="553"/>
      <c r="I135" s="551"/>
      <c r="J135" s="551"/>
      <c r="K135" s="554"/>
      <c r="L135" s="555"/>
    </row>
    <row r="136" spans="1:12">
      <c r="A136" s="536"/>
      <c r="B136" s="782"/>
      <c r="C136" s="543"/>
      <c r="D136" s="543"/>
      <c r="E136" s="539"/>
      <c r="F136" s="539"/>
      <c r="G136" s="552"/>
      <c r="H136" s="553"/>
      <c r="I136" s="551"/>
      <c r="J136" s="551"/>
      <c r="K136" s="554"/>
      <c r="L136" s="555"/>
    </row>
    <row r="137" spans="1:12">
      <c r="A137" s="536"/>
      <c r="B137" s="542"/>
      <c r="C137" s="543"/>
      <c r="D137" s="543"/>
      <c r="E137" s="539"/>
      <c r="F137" s="539"/>
      <c r="G137" s="552"/>
      <c r="H137" s="553"/>
      <c r="I137" s="551"/>
      <c r="J137" s="551"/>
      <c r="K137" s="554"/>
      <c r="L137" s="555"/>
    </row>
    <row r="138" spans="1:12">
      <c r="A138" s="536"/>
      <c r="B138" s="782"/>
      <c r="C138" s="543"/>
      <c r="D138" s="543"/>
      <c r="E138" s="539"/>
      <c r="F138" s="539"/>
      <c r="G138" s="552"/>
      <c r="H138" s="553"/>
      <c r="I138" s="551"/>
      <c r="J138" s="551"/>
      <c r="K138" s="554"/>
      <c r="L138" s="555"/>
    </row>
    <row r="139" spans="1:12">
      <c r="A139" s="536"/>
      <c r="B139" s="542"/>
      <c r="C139" s="543"/>
      <c r="D139" s="543"/>
      <c r="E139" s="539"/>
      <c r="F139" s="539"/>
      <c r="G139" s="552"/>
      <c r="H139" s="553"/>
      <c r="I139" s="551"/>
      <c r="J139" s="551"/>
      <c r="K139" s="554"/>
      <c r="L139" s="555"/>
    </row>
    <row r="140" spans="1:12">
      <c r="A140" s="536"/>
      <c r="B140" s="542"/>
      <c r="C140" s="543"/>
      <c r="D140" s="543"/>
      <c r="E140" s="539"/>
      <c r="F140" s="539"/>
      <c r="G140" s="552"/>
      <c r="H140" s="553"/>
      <c r="I140" s="551"/>
      <c r="J140" s="551"/>
      <c r="K140" s="554"/>
      <c r="L140" s="555"/>
    </row>
    <row r="141" spans="1:12">
      <c r="A141" s="536"/>
      <c r="B141" s="782"/>
      <c r="C141" s="543"/>
      <c r="D141" s="538"/>
      <c r="E141" s="539"/>
      <c r="F141" s="539"/>
      <c r="G141" s="552"/>
      <c r="H141" s="553"/>
      <c r="I141" s="551"/>
      <c r="J141" s="551"/>
      <c r="K141" s="554"/>
      <c r="L141" s="555"/>
    </row>
    <row r="142" spans="1:12">
      <c r="A142" s="536"/>
      <c r="B142" s="537"/>
      <c r="C142" s="538"/>
      <c r="D142" s="538"/>
      <c r="E142" s="539"/>
      <c r="F142" s="539"/>
      <c r="G142" s="552"/>
      <c r="H142" s="553"/>
      <c r="I142" s="551"/>
      <c r="J142" s="551"/>
      <c r="K142" s="554"/>
      <c r="L142" s="555"/>
    </row>
    <row r="143" spans="1:12">
      <c r="A143" s="536"/>
      <c r="B143" s="537"/>
      <c r="C143" s="538"/>
      <c r="D143" s="538"/>
      <c r="E143" s="539"/>
      <c r="F143" s="539"/>
      <c r="G143" s="552"/>
      <c r="H143" s="553"/>
      <c r="I143" s="551"/>
      <c r="J143" s="551"/>
      <c r="K143" s="554"/>
      <c r="L143" s="555"/>
    </row>
    <row r="144" spans="1:12">
      <c r="A144" s="536"/>
      <c r="B144" s="537"/>
      <c r="C144" s="538"/>
      <c r="D144" s="538"/>
      <c r="E144" s="539"/>
      <c r="F144" s="539"/>
      <c r="G144" s="552"/>
      <c r="H144" s="553"/>
      <c r="I144" s="551"/>
      <c r="J144" s="551"/>
      <c r="K144" s="554"/>
      <c r="L144" s="555"/>
    </row>
    <row r="145" spans="1:12">
      <c r="A145" s="536"/>
      <c r="B145" s="542"/>
      <c r="C145" s="543"/>
      <c r="D145" s="543"/>
      <c r="E145" s="539"/>
      <c r="F145" s="539"/>
      <c r="G145" s="552"/>
      <c r="H145" s="553"/>
      <c r="I145" s="551"/>
      <c r="J145" s="551"/>
      <c r="K145" s="554"/>
      <c r="L145" s="555"/>
    </row>
    <row r="146" spans="1:12">
      <c r="A146" s="548" t="s">
        <v>148</v>
      </c>
      <c r="B146" s="583"/>
      <c r="C146" s="794"/>
      <c r="D146" s="794"/>
      <c r="E146" s="795" t="s">
        <v>526</v>
      </c>
      <c r="F146" s="549">
        <f>SUM(F105:F145)</f>
        <v>2794.69</v>
      </c>
      <c r="G146" s="552"/>
      <c r="H146" s="553"/>
      <c r="I146" s="551"/>
      <c r="J146" s="551"/>
      <c r="K146" s="554"/>
      <c r="L146" s="555"/>
    </row>
    <row r="147" spans="1:12">
      <c r="A147" s="548" t="s">
        <v>148</v>
      </c>
      <c r="B147" s="583"/>
      <c r="C147" s="794"/>
      <c r="D147" s="794"/>
      <c r="E147" s="795" t="s">
        <v>527</v>
      </c>
      <c r="F147" s="549">
        <f ca="1">F146+F102+F49</f>
        <v>24023.489999999998</v>
      </c>
      <c r="G147" s="552"/>
      <c r="H147" s="553"/>
      <c r="I147" s="551"/>
      <c r="J147" s="551"/>
      <c r="K147" s="554"/>
      <c r="L147" s="555"/>
    </row>
  </sheetData>
  <phoneticPr fontId="27" type="noConversion"/>
  <pageMargins left="0.59055118110236227" right="0.23622047244094491" top="1.1023622047244095" bottom="0.78740157480314965" header="0.35433070866141736" footer="0.51181102362204722"/>
  <pageSetup paperSize="9" scale="99" orientation="portrait" r:id="rId1"/>
  <headerFooter alignWithMargins="0">
    <oddHeader>&amp;LPanta Contracting Ltd.&amp;C&amp;"Arial,Bold"Panta Showroom Phase 2
Supply and Install Electrical Requirements
Bill of Quantities&amp;R&amp;8&amp;D</oddHeader>
    <oddFooter>&amp;C&amp;9Page &amp;P</oddFooter>
  </headerFooter>
  <rowBreaks count="2" manualBreakCount="2">
    <brk id="49" max="5" man="1"/>
    <brk id="102"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H20" sqref="H20"/>
    </sheetView>
  </sheetViews>
  <sheetFormatPr defaultRowHeight="13.2"/>
  <cols>
    <col min="1" max="1" width="8.33203125" style="552" customWidth="1"/>
    <col min="2" max="2" width="35.5546875" style="553" customWidth="1"/>
    <col min="3" max="3" width="6.33203125" style="589" customWidth="1"/>
    <col min="4" max="6" width="6.33203125" style="551" customWidth="1"/>
    <col min="7" max="7" width="6.44140625" style="551" customWidth="1"/>
    <col min="8" max="8" width="9" style="554" customWidth="1"/>
    <col min="9" max="9" width="8.6640625" style="555" customWidth="1"/>
    <col min="10" max="10" width="9" style="554" customWidth="1"/>
    <col min="11" max="11" width="8.6640625" style="555" customWidth="1"/>
    <col min="12" max="19" width="9.109375" style="533" customWidth="1"/>
    <col min="20" max="256" width="9.109375" style="533"/>
    <col min="257" max="257" width="8.33203125" style="533" customWidth="1"/>
    <col min="258" max="258" width="35.5546875" style="533" customWidth="1"/>
    <col min="259" max="262" width="6.33203125" style="533" customWidth="1"/>
    <col min="263" max="263" width="6.44140625" style="533" customWidth="1"/>
    <col min="264" max="264" width="9" style="533" customWidth="1"/>
    <col min="265" max="265" width="8.6640625" style="533" customWidth="1"/>
    <col min="266" max="275" width="0" style="533" hidden="1" customWidth="1"/>
    <col min="276" max="512" width="9.109375" style="533"/>
    <col min="513" max="513" width="8.33203125" style="533" customWidth="1"/>
    <col min="514" max="514" width="35.5546875" style="533" customWidth="1"/>
    <col min="515" max="518" width="6.33203125" style="533" customWidth="1"/>
    <col min="519" max="519" width="6.44140625" style="533" customWidth="1"/>
    <col min="520" max="520" width="9" style="533" customWidth="1"/>
    <col min="521" max="521" width="8.6640625" style="533" customWidth="1"/>
    <col min="522" max="531" width="0" style="533" hidden="1" customWidth="1"/>
    <col min="532" max="768" width="9.109375" style="533"/>
    <col min="769" max="769" width="8.33203125" style="533" customWidth="1"/>
    <col min="770" max="770" width="35.5546875" style="533" customWidth="1"/>
    <col min="771" max="774" width="6.33203125" style="533" customWidth="1"/>
    <col min="775" max="775" width="6.44140625" style="533" customWidth="1"/>
    <col min="776" max="776" width="9" style="533" customWidth="1"/>
    <col min="777" max="777" width="8.6640625" style="533" customWidth="1"/>
    <col min="778" max="787" width="0" style="533" hidden="1" customWidth="1"/>
    <col min="788" max="1024" width="9.109375" style="533"/>
    <col min="1025" max="1025" width="8.33203125" style="533" customWidth="1"/>
    <col min="1026" max="1026" width="35.5546875" style="533" customWidth="1"/>
    <col min="1027" max="1030" width="6.33203125" style="533" customWidth="1"/>
    <col min="1031" max="1031" width="6.44140625" style="533" customWidth="1"/>
    <col min="1032" max="1032" width="9" style="533" customWidth="1"/>
    <col min="1033" max="1033" width="8.6640625" style="533" customWidth="1"/>
    <col min="1034" max="1043" width="0" style="533" hidden="1" customWidth="1"/>
    <col min="1044" max="1280" width="9.109375" style="533"/>
    <col min="1281" max="1281" width="8.33203125" style="533" customWidth="1"/>
    <col min="1282" max="1282" width="35.5546875" style="533" customWidth="1"/>
    <col min="1283" max="1286" width="6.33203125" style="533" customWidth="1"/>
    <col min="1287" max="1287" width="6.44140625" style="533" customWidth="1"/>
    <col min="1288" max="1288" width="9" style="533" customWidth="1"/>
    <col min="1289" max="1289" width="8.6640625" style="533" customWidth="1"/>
    <col min="1290" max="1299" width="0" style="533" hidden="1" customWidth="1"/>
    <col min="1300" max="1536" width="9.109375" style="533"/>
    <col min="1537" max="1537" width="8.33203125" style="533" customWidth="1"/>
    <col min="1538" max="1538" width="35.5546875" style="533" customWidth="1"/>
    <col min="1539" max="1542" width="6.33203125" style="533" customWidth="1"/>
    <col min="1543" max="1543" width="6.44140625" style="533" customWidth="1"/>
    <col min="1544" max="1544" width="9" style="533" customWidth="1"/>
    <col min="1545" max="1545" width="8.6640625" style="533" customWidth="1"/>
    <col min="1546" max="1555" width="0" style="533" hidden="1" customWidth="1"/>
    <col min="1556" max="1792" width="9.109375" style="533"/>
    <col min="1793" max="1793" width="8.33203125" style="533" customWidth="1"/>
    <col min="1794" max="1794" width="35.5546875" style="533" customWidth="1"/>
    <col min="1795" max="1798" width="6.33203125" style="533" customWidth="1"/>
    <col min="1799" max="1799" width="6.44140625" style="533" customWidth="1"/>
    <col min="1800" max="1800" width="9" style="533" customWidth="1"/>
    <col min="1801" max="1801" width="8.6640625" style="533" customWidth="1"/>
    <col min="1802" max="1811" width="0" style="533" hidden="1" customWidth="1"/>
    <col min="1812" max="2048" width="9.109375" style="533"/>
    <col min="2049" max="2049" width="8.33203125" style="533" customWidth="1"/>
    <col min="2050" max="2050" width="35.5546875" style="533" customWidth="1"/>
    <col min="2051" max="2054" width="6.33203125" style="533" customWidth="1"/>
    <col min="2055" max="2055" width="6.44140625" style="533" customWidth="1"/>
    <col min="2056" max="2056" width="9" style="533" customWidth="1"/>
    <col min="2057" max="2057" width="8.6640625" style="533" customWidth="1"/>
    <col min="2058" max="2067" width="0" style="533" hidden="1" customWidth="1"/>
    <col min="2068" max="2304" width="9.109375" style="533"/>
    <col min="2305" max="2305" width="8.33203125" style="533" customWidth="1"/>
    <col min="2306" max="2306" width="35.5546875" style="533" customWidth="1"/>
    <col min="2307" max="2310" width="6.33203125" style="533" customWidth="1"/>
    <col min="2311" max="2311" width="6.44140625" style="533" customWidth="1"/>
    <col min="2312" max="2312" width="9" style="533" customWidth="1"/>
    <col min="2313" max="2313" width="8.6640625" style="533" customWidth="1"/>
    <col min="2314" max="2323" width="0" style="533" hidden="1" customWidth="1"/>
    <col min="2324" max="2560" width="9.109375" style="533"/>
    <col min="2561" max="2561" width="8.33203125" style="533" customWidth="1"/>
    <col min="2562" max="2562" width="35.5546875" style="533" customWidth="1"/>
    <col min="2563" max="2566" width="6.33203125" style="533" customWidth="1"/>
    <col min="2567" max="2567" width="6.44140625" style="533" customWidth="1"/>
    <col min="2568" max="2568" width="9" style="533" customWidth="1"/>
    <col min="2569" max="2569" width="8.6640625" style="533" customWidth="1"/>
    <col min="2570" max="2579" width="0" style="533" hidden="1" customWidth="1"/>
    <col min="2580" max="2816" width="9.109375" style="533"/>
    <col min="2817" max="2817" width="8.33203125" style="533" customWidth="1"/>
    <col min="2818" max="2818" width="35.5546875" style="533" customWidth="1"/>
    <col min="2819" max="2822" width="6.33203125" style="533" customWidth="1"/>
    <col min="2823" max="2823" width="6.44140625" style="533" customWidth="1"/>
    <col min="2824" max="2824" width="9" style="533" customWidth="1"/>
    <col min="2825" max="2825" width="8.6640625" style="533" customWidth="1"/>
    <col min="2826" max="2835" width="0" style="533" hidden="1" customWidth="1"/>
    <col min="2836" max="3072" width="9.109375" style="533"/>
    <col min="3073" max="3073" width="8.33203125" style="533" customWidth="1"/>
    <col min="3074" max="3074" width="35.5546875" style="533" customWidth="1"/>
    <col min="3075" max="3078" width="6.33203125" style="533" customWidth="1"/>
    <col min="3079" max="3079" width="6.44140625" style="533" customWidth="1"/>
    <col min="3080" max="3080" width="9" style="533" customWidth="1"/>
    <col min="3081" max="3081" width="8.6640625" style="533" customWidth="1"/>
    <col min="3082" max="3091" width="0" style="533" hidden="1" customWidth="1"/>
    <col min="3092" max="3328" width="9.109375" style="533"/>
    <col min="3329" max="3329" width="8.33203125" style="533" customWidth="1"/>
    <col min="3330" max="3330" width="35.5546875" style="533" customWidth="1"/>
    <col min="3331" max="3334" width="6.33203125" style="533" customWidth="1"/>
    <col min="3335" max="3335" width="6.44140625" style="533" customWidth="1"/>
    <col min="3336" max="3336" width="9" style="533" customWidth="1"/>
    <col min="3337" max="3337" width="8.6640625" style="533" customWidth="1"/>
    <col min="3338" max="3347" width="0" style="533" hidden="1" customWidth="1"/>
    <col min="3348" max="3584" width="9.109375" style="533"/>
    <col min="3585" max="3585" width="8.33203125" style="533" customWidth="1"/>
    <col min="3586" max="3586" width="35.5546875" style="533" customWidth="1"/>
    <col min="3587" max="3590" width="6.33203125" style="533" customWidth="1"/>
    <col min="3591" max="3591" width="6.44140625" style="533" customWidth="1"/>
    <col min="3592" max="3592" width="9" style="533" customWidth="1"/>
    <col min="3593" max="3593" width="8.6640625" style="533" customWidth="1"/>
    <col min="3594" max="3603" width="0" style="533" hidden="1" customWidth="1"/>
    <col min="3604" max="3840" width="9.109375" style="533"/>
    <col min="3841" max="3841" width="8.33203125" style="533" customWidth="1"/>
    <col min="3842" max="3842" width="35.5546875" style="533" customWidth="1"/>
    <col min="3843" max="3846" width="6.33203125" style="533" customWidth="1"/>
    <col min="3847" max="3847" width="6.44140625" style="533" customWidth="1"/>
    <col min="3848" max="3848" width="9" style="533" customWidth="1"/>
    <col min="3849" max="3849" width="8.6640625" style="533" customWidth="1"/>
    <col min="3850" max="3859" width="0" style="533" hidden="1" customWidth="1"/>
    <col min="3860" max="4096" width="9.109375" style="533"/>
    <col min="4097" max="4097" width="8.33203125" style="533" customWidth="1"/>
    <col min="4098" max="4098" width="35.5546875" style="533" customWidth="1"/>
    <col min="4099" max="4102" width="6.33203125" style="533" customWidth="1"/>
    <col min="4103" max="4103" width="6.44140625" style="533" customWidth="1"/>
    <col min="4104" max="4104" width="9" style="533" customWidth="1"/>
    <col min="4105" max="4105" width="8.6640625" style="533" customWidth="1"/>
    <col min="4106" max="4115" width="0" style="533" hidden="1" customWidth="1"/>
    <col min="4116" max="4352" width="9.109375" style="533"/>
    <col min="4353" max="4353" width="8.33203125" style="533" customWidth="1"/>
    <col min="4354" max="4354" width="35.5546875" style="533" customWidth="1"/>
    <col min="4355" max="4358" width="6.33203125" style="533" customWidth="1"/>
    <col min="4359" max="4359" width="6.44140625" style="533" customWidth="1"/>
    <col min="4360" max="4360" width="9" style="533" customWidth="1"/>
    <col min="4361" max="4361" width="8.6640625" style="533" customWidth="1"/>
    <col min="4362" max="4371" width="0" style="533" hidden="1" customWidth="1"/>
    <col min="4372" max="4608" width="9.109375" style="533"/>
    <col min="4609" max="4609" width="8.33203125" style="533" customWidth="1"/>
    <col min="4610" max="4610" width="35.5546875" style="533" customWidth="1"/>
    <col min="4611" max="4614" width="6.33203125" style="533" customWidth="1"/>
    <col min="4615" max="4615" width="6.44140625" style="533" customWidth="1"/>
    <col min="4616" max="4616" width="9" style="533" customWidth="1"/>
    <col min="4617" max="4617" width="8.6640625" style="533" customWidth="1"/>
    <col min="4618" max="4627" width="0" style="533" hidden="1" customWidth="1"/>
    <col min="4628" max="4864" width="9.109375" style="533"/>
    <col min="4865" max="4865" width="8.33203125" style="533" customWidth="1"/>
    <col min="4866" max="4866" width="35.5546875" style="533" customWidth="1"/>
    <col min="4867" max="4870" width="6.33203125" style="533" customWidth="1"/>
    <col min="4871" max="4871" width="6.44140625" style="533" customWidth="1"/>
    <col min="4872" max="4872" width="9" style="533" customWidth="1"/>
    <col min="4873" max="4873" width="8.6640625" style="533" customWidth="1"/>
    <col min="4874" max="4883" width="0" style="533" hidden="1" customWidth="1"/>
    <col min="4884" max="5120" width="9.109375" style="533"/>
    <col min="5121" max="5121" width="8.33203125" style="533" customWidth="1"/>
    <col min="5122" max="5122" width="35.5546875" style="533" customWidth="1"/>
    <col min="5123" max="5126" width="6.33203125" style="533" customWidth="1"/>
    <col min="5127" max="5127" width="6.44140625" style="533" customWidth="1"/>
    <col min="5128" max="5128" width="9" style="533" customWidth="1"/>
    <col min="5129" max="5129" width="8.6640625" style="533" customWidth="1"/>
    <col min="5130" max="5139" width="0" style="533" hidden="1" customWidth="1"/>
    <col min="5140" max="5376" width="9.109375" style="533"/>
    <col min="5377" max="5377" width="8.33203125" style="533" customWidth="1"/>
    <col min="5378" max="5378" width="35.5546875" style="533" customWidth="1"/>
    <col min="5379" max="5382" width="6.33203125" style="533" customWidth="1"/>
    <col min="5383" max="5383" width="6.44140625" style="533" customWidth="1"/>
    <col min="5384" max="5384" width="9" style="533" customWidth="1"/>
    <col min="5385" max="5385" width="8.6640625" style="533" customWidth="1"/>
    <col min="5386" max="5395" width="0" style="533" hidden="1" customWidth="1"/>
    <col min="5396" max="5632" width="9.109375" style="533"/>
    <col min="5633" max="5633" width="8.33203125" style="533" customWidth="1"/>
    <col min="5634" max="5634" width="35.5546875" style="533" customWidth="1"/>
    <col min="5635" max="5638" width="6.33203125" style="533" customWidth="1"/>
    <col min="5639" max="5639" width="6.44140625" style="533" customWidth="1"/>
    <col min="5640" max="5640" width="9" style="533" customWidth="1"/>
    <col min="5641" max="5641" width="8.6640625" style="533" customWidth="1"/>
    <col min="5642" max="5651" width="0" style="533" hidden="1" customWidth="1"/>
    <col min="5652" max="5888" width="9.109375" style="533"/>
    <col min="5889" max="5889" width="8.33203125" style="533" customWidth="1"/>
    <col min="5890" max="5890" width="35.5546875" style="533" customWidth="1"/>
    <col min="5891" max="5894" width="6.33203125" style="533" customWidth="1"/>
    <col min="5895" max="5895" width="6.44140625" style="533" customWidth="1"/>
    <col min="5896" max="5896" width="9" style="533" customWidth="1"/>
    <col min="5897" max="5897" width="8.6640625" style="533" customWidth="1"/>
    <col min="5898" max="5907" width="0" style="533" hidden="1" customWidth="1"/>
    <col min="5908" max="6144" width="9.109375" style="533"/>
    <col min="6145" max="6145" width="8.33203125" style="533" customWidth="1"/>
    <col min="6146" max="6146" width="35.5546875" style="533" customWidth="1"/>
    <col min="6147" max="6150" width="6.33203125" style="533" customWidth="1"/>
    <col min="6151" max="6151" width="6.44140625" style="533" customWidth="1"/>
    <col min="6152" max="6152" width="9" style="533" customWidth="1"/>
    <col min="6153" max="6153" width="8.6640625" style="533" customWidth="1"/>
    <col min="6154" max="6163" width="0" style="533" hidden="1" customWidth="1"/>
    <col min="6164" max="6400" width="9.109375" style="533"/>
    <col min="6401" max="6401" width="8.33203125" style="533" customWidth="1"/>
    <col min="6402" max="6402" width="35.5546875" style="533" customWidth="1"/>
    <col min="6403" max="6406" width="6.33203125" style="533" customWidth="1"/>
    <col min="6407" max="6407" width="6.44140625" style="533" customWidth="1"/>
    <col min="6408" max="6408" width="9" style="533" customWidth="1"/>
    <col min="6409" max="6409" width="8.6640625" style="533" customWidth="1"/>
    <col min="6410" max="6419" width="0" style="533" hidden="1" customWidth="1"/>
    <col min="6420" max="6656" width="9.109375" style="533"/>
    <col min="6657" max="6657" width="8.33203125" style="533" customWidth="1"/>
    <col min="6658" max="6658" width="35.5546875" style="533" customWidth="1"/>
    <col min="6659" max="6662" width="6.33203125" style="533" customWidth="1"/>
    <col min="6663" max="6663" width="6.44140625" style="533" customWidth="1"/>
    <col min="6664" max="6664" width="9" style="533" customWidth="1"/>
    <col min="6665" max="6665" width="8.6640625" style="533" customWidth="1"/>
    <col min="6666" max="6675" width="0" style="533" hidden="1" customWidth="1"/>
    <col min="6676" max="6912" width="9.109375" style="533"/>
    <col min="6913" max="6913" width="8.33203125" style="533" customWidth="1"/>
    <col min="6914" max="6914" width="35.5546875" style="533" customWidth="1"/>
    <col min="6915" max="6918" width="6.33203125" style="533" customWidth="1"/>
    <col min="6919" max="6919" width="6.44140625" style="533" customWidth="1"/>
    <col min="6920" max="6920" width="9" style="533" customWidth="1"/>
    <col min="6921" max="6921" width="8.6640625" style="533" customWidth="1"/>
    <col min="6922" max="6931" width="0" style="533" hidden="1" customWidth="1"/>
    <col min="6932" max="7168" width="9.109375" style="533"/>
    <col min="7169" max="7169" width="8.33203125" style="533" customWidth="1"/>
    <col min="7170" max="7170" width="35.5546875" style="533" customWidth="1"/>
    <col min="7171" max="7174" width="6.33203125" style="533" customWidth="1"/>
    <col min="7175" max="7175" width="6.44140625" style="533" customWidth="1"/>
    <col min="7176" max="7176" width="9" style="533" customWidth="1"/>
    <col min="7177" max="7177" width="8.6640625" style="533" customWidth="1"/>
    <col min="7178" max="7187" width="0" style="533" hidden="1" customWidth="1"/>
    <col min="7188" max="7424" width="9.109375" style="533"/>
    <col min="7425" max="7425" width="8.33203125" style="533" customWidth="1"/>
    <col min="7426" max="7426" width="35.5546875" style="533" customWidth="1"/>
    <col min="7427" max="7430" width="6.33203125" style="533" customWidth="1"/>
    <col min="7431" max="7431" width="6.44140625" style="533" customWidth="1"/>
    <col min="7432" max="7432" width="9" style="533" customWidth="1"/>
    <col min="7433" max="7433" width="8.6640625" style="533" customWidth="1"/>
    <col min="7434" max="7443" width="0" style="533" hidden="1" customWidth="1"/>
    <col min="7444" max="7680" width="9.109375" style="533"/>
    <col min="7681" max="7681" width="8.33203125" style="533" customWidth="1"/>
    <col min="7682" max="7682" width="35.5546875" style="533" customWidth="1"/>
    <col min="7683" max="7686" width="6.33203125" style="533" customWidth="1"/>
    <col min="7687" max="7687" width="6.44140625" style="533" customWidth="1"/>
    <col min="7688" max="7688" width="9" style="533" customWidth="1"/>
    <col min="7689" max="7689" width="8.6640625" style="533" customWidth="1"/>
    <col min="7690" max="7699" width="0" style="533" hidden="1" customWidth="1"/>
    <col min="7700" max="7936" width="9.109375" style="533"/>
    <col min="7937" max="7937" width="8.33203125" style="533" customWidth="1"/>
    <col min="7938" max="7938" width="35.5546875" style="533" customWidth="1"/>
    <col min="7939" max="7942" width="6.33203125" style="533" customWidth="1"/>
    <col min="7943" max="7943" width="6.44140625" style="533" customWidth="1"/>
    <col min="7944" max="7944" width="9" style="533" customWidth="1"/>
    <col min="7945" max="7945" width="8.6640625" style="533" customWidth="1"/>
    <col min="7946" max="7955" width="0" style="533" hidden="1" customWidth="1"/>
    <col min="7956" max="8192" width="9.109375" style="533"/>
    <col min="8193" max="8193" width="8.33203125" style="533" customWidth="1"/>
    <col min="8194" max="8194" width="35.5546875" style="533" customWidth="1"/>
    <col min="8195" max="8198" width="6.33203125" style="533" customWidth="1"/>
    <col min="8199" max="8199" width="6.44140625" style="533" customWidth="1"/>
    <col min="8200" max="8200" width="9" style="533" customWidth="1"/>
    <col min="8201" max="8201" width="8.6640625" style="533" customWidth="1"/>
    <col min="8202" max="8211" width="0" style="533" hidden="1" customWidth="1"/>
    <col min="8212" max="8448" width="9.109375" style="533"/>
    <col min="8449" max="8449" width="8.33203125" style="533" customWidth="1"/>
    <col min="8450" max="8450" width="35.5546875" style="533" customWidth="1"/>
    <col min="8451" max="8454" width="6.33203125" style="533" customWidth="1"/>
    <col min="8455" max="8455" width="6.44140625" style="533" customWidth="1"/>
    <col min="8456" max="8456" width="9" style="533" customWidth="1"/>
    <col min="8457" max="8457" width="8.6640625" style="533" customWidth="1"/>
    <col min="8458" max="8467" width="0" style="533" hidden="1" customWidth="1"/>
    <col min="8468" max="8704" width="9.109375" style="533"/>
    <col min="8705" max="8705" width="8.33203125" style="533" customWidth="1"/>
    <col min="8706" max="8706" width="35.5546875" style="533" customWidth="1"/>
    <col min="8707" max="8710" width="6.33203125" style="533" customWidth="1"/>
    <col min="8711" max="8711" width="6.44140625" style="533" customWidth="1"/>
    <col min="8712" max="8712" width="9" style="533" customWidth="1"/>
    <col min="8713" max="8713" width="8.6640625" style="533" customWidth="1"/>
    <col min="8714" max="8723" width="0" style="533" hidden="1" customWidth="1"/>
    <col min="8724" max="8960" width="9.109375" style="533"/>
    <col min="8961" max="8961" width="8.33203125" style="533" customWidth="1"/>
    <col min="8962" max="8962" width="35.5546875" style="533" customWidth="1"/>
    <col min="8963" max="8966" width="6.33203125" style="533" customWidth="1"/>
    <col min="8967" max="8967" width="6.44140625" style="533" customWidth="1"/>
    <col min="8968" max="8968" width="9" style="533" customWidth="1"/>
    <col min="8969" max="8969" width="8.6640625" style="533" customWidth="1"/>
    <col min="8970" max="8979" width="0" style="533" hidden="1" customWidth="1"/>
    <col min="8980" max="9216" width="9.109375" style="533"/>
    <col min="9217" max="9217" width="8.33203125" style="533" customWidth="1"/>
    <col min="9218" max="9218" width="35.5546875" style="533" customWidth="1"/>
    <col min="9219" max="9222" width="6.33203125" style="533" customWidth="1"/>
    <col min="9223" max="9223" width="6.44140625" style="533" customWidth="1"/>
    <col min="9224" max="9224" width="9" style="533" customWidth="1"/>
    <col min="9225" max="9225" width="8.6640625" style="533" customWidth="1"/>
    <col min="9226" max="9235" width="0" style="533" hidden="1" customWidth="1"/>
    <col min="9236" max="9472" width="9.109375" style="533"/>
    <col min="9473" max="9473" width="8.33203125" style="533" customWidth="1"/>
    <col min="9474" max="9474" width="35.5546875" style="533" customWidth="1"/>
    <col min="9475" max="9478" width="6.33203125" style="533" customWidth="1"/>
    <col min="9479" max="9479" width="6.44140625" style="533" customWidth="1"/>
    <col min="9480" max="9480" width="9" style="533" customWidth="1"/>
    <col min="9481" max="9481" width="8.6640625" style="533" customWidth="1"/>
    <col min="9482" max="9491" width="0" style="533" hidden="1" customWidth="1"/>
    <col min="9492" max="9728" width="9.109375" style="533"/>
    <col min="9729" max="9729" width="8.33203125" style="533" customWidth="1"/>
    <col min="9730" max="9730" width="35.5546875" style="533" customWidth="1"/>
    <col min="9731" max="9734" width="6.33203125" style="533" customWidth="1"/>
    <col min="9735" max="9735" width="6.44140625" style="533" customWidth="1"/>
    <col min="9736" max="9736" width="9" style="533" customWidth="1"/>
    <col min="9737" max="9737" width="8.6640625" style="533" customWidth="1"/>
    <col min="9738" max="9747" width="0" style="533" hidden="1" customWidth="1"/>
    <col min="9748" max="9984" width="9.109375" style="533"/>
    <col min="9985" max="9985" width="8.33203125" style="533" customWidth="1"/>
    <col min="9986" max="9986" width="35.5546875" style="533" customWidth="1"/>
    <col min="9987" max="9990" width="6.33203125" style="533" customWidth="1"/>
    <col min="9991" max="9991" width="6.44140625" style="533" customWidth="1"/>
    <col min="9992" max="9992" width="9" style="533" customWidth="1"/>
    <col min="9993" max="9993" width="8.6640625" style="533" customWidth="1"/>
    <col min="9994" max="10003" width="0" style="533" hidden="1" customWidth="1"/>
    <col min="10004" max="10240" width="9.109375" style="533"/>
    <col min="10241" max="10241" width="8.33203125" style="533" customWidth="1"/>
    <col min="10242" max="10242" width="35.5546875" style="533" customWidth="1"/>
    <col min="10243" max="10246" width="6.33203125" style="533" customWidth="1"/>
    <col min="10247" max="10247" width="6.44140625" style="533" customWidth="1"/>
    <col min="10248" max="10248" width="9" style="533" customWidth="1"/>
    <col min="10249" max="10249" width="8.6640625" style="533" customWidth="1"/>
    <col min="10250" max="10259" width="0" style="533" hidden="1" customWidth="1"/>
    <col min="10260" max="10496" width="9.109375" style="533"/>
    <col min="10497" max="10497" width="8.33203125" style="533" customWidth="1"/>
    <col min="10498" max="10498" width="35.5546875" style="533" customWidth="1"/>
    <col min="10499" max="10502" width="6.33203125" style="533" customWidth="1"/>
    <col min="10503" max="10503" width="6.44140625" style="533" customWidth="1"/>
    <col min="10504" max="10504" width="9" style="533" customWidth="1"/>
    <col min="10505" max="10505" width="8.6640625" style="533" customWidth="1"/>
    <col min="10506" max="10515" width="0" style="533" hidden="1" customWidth="1"/>
    <col min="10516" max="10752" width="9.109375" style="533"/>
    <col min="10753" max="10753" width="8.33203125" style="533" customWidth="1"/>
    <col min="10754" max="10754" width="35.5546875" style="533" customWidth="1"/>
    <col min="10755" max="10758" width="6.33203125" style="533" customWidth="1"/>
    <col min="10759" max="10759" width="6.44140625" style="533" customWidth="1"/>
    <col min="10760" max="10760" width="9" style="533" customWidth="1"/>
    <col min="10761" max="10761" width="8.6640625" style="533" customWidth="1"/>
    <col min="10762" max="10771" width="0" style="533" hidden="1" customWidth="1"/>
    <col min="10772" max="11008" width="9.109375" style="533"/>
    <col min="11009" max="11009" width="8.33203125" style="533" customWidth="1"/>
    <col min="11010" max="11010" width="35.5546875" style="533" customWidth="1"/>
    <col min="11011" max="11014" width="6.33203125" style="533" customWidth="1"/>
    <col min="11015" max="11015" width="6.44140625" style="533" customWidth="1"/>
    <col min="11016" max="11016" width="9" style="533" customWidth="1"/>
    <col min="11017" max="11017" width="8.6640625" style="533" customWidth="1"/>
    <col min="11018" max="11027" width="0" style="533" hidden="1" customWidth="1"/>
    <col min="11028" max="11264" width="9.109375" style="533"/>
    <col min="11265" max="11265" width="8.33203125" style="533" customWidth="1"/>
    <col min="11266" max="11266" width="35.5546875" style="533" customWidth="1"/>
    <col min="11267" max="11270" width="6.33203125" style="533" customWidth="1"/>
    <col min="11271" max="11271" width="6.44140625" style="533" customWidth="1"/>
    <col min="11272" max="11272" width="9" style="533" customWidth="1"/>
    <col min="11273" max="11273" width="8.6640625" style="533" customWidth="1"/>
    <col min="11274" max="11283" width="0" style="533" hidden="1" customWidth="1"/>
    <col min="11284" max="11520" width="9.109375" style="533"/>
    <col min="11521" max="11521" width="8.33203125" style="533" customWidth="1"/>
    <col min="11522" max="11522" width="35.5546875" style="533" customWidth="1"/>
    <col min="11523" max="11526" width="6.33203125" style="533" customWidth="1"/>
    <col min="11527" max="11527" width="6.44140625" style="533" customWidth="1"/>
    <col min="11528" max="11528" width="9" style="533" customWidth="1"/>
    <col min="11529" max="11529" width="8.6640625" style="533" customWidth="1"/>
    <col min="11530" max="11539" width="0" style="533" hidden="1" customWidth="1"/>
    <col min="11540" max="11776" width="9.109375" style="533"/>
    <col min="11777" max="11777" width="8.33203125" style="533" customWidth="1"/>
    <col min="11778" max="11778" width="35.5546875" style="533" customWidth="1"/>
    <col min="11779" max="11782" width="6.33203125" style="533" customWidth="1"/>
    <col min="11783" max="11783" width="6.44140625" style="533" customWidth="1"/>
    <col min="11784" max="11784" width="9" style="533" customWidth="1"/>
    <col min="11785" max="11785" width="8.6640625" style="533" customWidth="1"/>
    <col min="11786" max="11795" width="0" style="533" hidden="1" customWidth="1"/>
    <col min="11796" max="12032" width="9.109375" style="533"/>
    <col min="12033" max="12033" width="8.33203125" style="533" customWidth="1"/>
    <col min="12034" max="12034" width="35.5546875" style="533" customWidth="1"/>
    <col min="12035" max="12038" width="6.33203125" style="533" customWidth="1"/>
    <col min="12039" max="12039" width="6.44140625" style="533" customWidth="1"/>
    <col min="12040" max="12040" width="9" style="533" customWidth="1"/>
    <col min="12041" max="12041" width="8.6640625" style="533" customWidth="1"/>
    <col min="12042" max="12051" width="0" style="533" hidden="1" customWidth="1"/>
    <col min="12052" max="12288" width="9.109375" style="533"/>
    <col min="12289" max="12289" width="8.33203125" style="533" customWidth="1"/>
    <col min="12290" max="12290" width="35.5546875" style="533" customWidth="1"/>
    <col min="12291" max="12294" width="6.33203125" style="533" customWidth="1"/>
    <col min="12295" max="12295" width="6.44140625" style="533" customWidth="1"/>
    <col min="12296" max="12296" width="9" style="533" customWidth="1"/>
    <col min="12297" max="12297" width="8.6640625" style="533" customWidth="1"/>
    <col min="12298" max="12307" width="0" style="533" hidden="1" customWidth="1"/>
    <col min="12308" max="12544" width="9.109375" style="533"/>
    <col min="12545" max="12545" width="8.33203125" style="533" customWidth="1"/>
    <col min="12546" max="12546" width="35.5546875" style="533" customWidth="1"/>
    <col min="12547" max="12550" width="6.33203125" style="533" customWidth="1"/>
    <col min="12551" max="12551" width="6.44140625" style="533" customWidth="1"/>
    <col min="12552" max="12552" width="9" style="533" customWidth="1"/>
    <col min="12553" max="12553" width="8.6640625" style="533" customWidth="1"/>
    <col min="12554" max="12563" width="0" style="533" hidden="1" customWidth="1"/>
    <col min="12564" max="12800" width="9.109375" style="533"/>
    <col min="12801" max="12801" width="8.33203125" style="533" customWidth="1"/>
    <col min="12802" max="12802" width="35.5546875" style="533" customWidth="1"/>
    <col min="12803" max="12806" width="6.33203125" style="533" customWidth="1"/>
    <col min="12807" max="12807" width="6.44140625" style="533" customWidth="1"/>
    <col min="12808" max="12808" width="9" style="533" customWidth="1"/>
    <col min="12809" max="12809" width="8.6640625" style="533" customWidth="1"/>
    <col min="12810" max="12819" width="0" style="533" hidden="1" customWidth="1"/>
    <col min="12820" max="13056" width="9.109375" style="533"/>
    <col min="13057" max="13057" width="8.33203125" style="533" customWidth="1"/>
    <col min="13058" max="13058" width="35.5546875" style="533" customWidth="1"/>
    <col min="13059" max="13062" width="6.33203125" style="533" customWidth="1"/>
    <col min="13063" max="13063" width="6.44140625" style="533" customWidth="1"/>
    <col min="13064" max="13064" width="9" style="533" customWidth="1"/>
    <col min="13065" max="13065" width="8.6640625" style="533" customWidth="1"/>
    <col min="13066" max="13075" width="0" style="533" hidden="1" customWidth="1"/>
    <col min="13076" max="13312" width="9.109375" style="533"/>
    <col min="13313" max="13313" width="8.33203125" style="533" customWidth="1"/>
    <col min="13314" max="13314" width="35.5546875" style="533" customWidth="1"/>
    <col min="13315" max="13318" width="6.33203125" style="533" customWidth="1"/>
    <col min="13319" max="13319" width="6.44140625" style="533" customWidth="1"/>
    <col min="13320" max="13320" width="9" style="533" customWidth="1"/>
    <col min="13321" max="13321" width="8.6640625" style="533" customWidth="1"/>
    <col min="13322" max="13331" width="0" style="533" hidden="1" customWidth="1"/>
    <col min="13332" max="13568" width="9.109375" style="533"/>
    <col min="13569" max="13569" width="8.33203125" style="533" customWidth="1"/>
    <col min="13570" max="13570" width="35.5546875" style="533" customWidth="1"/>
    <col min="13571" max="13574" width="6.33203125" style="533" customWidth="1"/>
    <col min="13575" max="13575" width="6.44140625" style="533" customWidth="1"/>
    <col min="13576" max="13576" width="9" style="533" customWidth="1"/>
    <col min="13577" max="13577" width="8.6640625" style="533" customWidth="1"/>
    <col min="13578" max="13587" width="0" style="533" hidden="1" customWidth="1"/>
    <col min="13588" max="13824" width="9.109375" style="533"/>
    <col min="13825" max="13825" width="8.33203125" style="533" customWidth="1"/>
    <col min="13826" max="13826" width="35.5546875" style="533" customWidth="1"/>
    <col min="13827" max="13830" width="6.33203125" style="533" customWidth="1"/>
    <col min="13831" max="13831" width="6.44140625" style="533" customWidth="1"/>
    <col min="13832" max="13832" width="9" style="533" customWidth="1"/>
    <col min="13833" max="13833" width="8.6640625" style="533" customWidth="1"/>
    <col min="13834" max="13843" width="0" style="533" hidden="1" customWidth="1"/>
    <col min="13844" max="14080" width="9.109375" style="533"/>
    <col min="14081" max="14081" width="8.33203125" style="533" customWidth="1"/>
    <col min="14082" max="14082" width="35.5546875" style="533" customWidth="1"/>
    <col min="14083" max="14086" width="6.33203125" style="533" customWidth="1"/>
    <col min="14087" max="14087" width="6.44140625" style="533" customWidth="1"/>
    <col min="14088" max="14088" width="9" style="533" customWidth="1"/>
    <col min="14089" max="14089" width="8.6640625" style="533" customWidth="1"/>
    <col min="14090" max="14099" width="0" style="533" hidden="1" customWidth="1"/>
    <col min="14100" max="14336" width="9.109375" style="533"/>
    <col min="14337" max="14337" width="8.33203125" style="533" customWidth="1"/>
    <col min="14338" max="14338" width="35.5546875" style="533" customWidth="1"/>
    <col min="14339" max="14342" width="6.33203125" style="533" customWidth="1"/>
    <col min="14343" max="14343" width="6.44140625" style="533" customWidth="1"/>
    <col min="14344" max="14344" width="9" style="533" customWidth="1"/>
    <col min="14345" max="14345" width="8.6640625" style="533" customWidth="1"/>
    <col min="14346" max="14355" width="0" style="533" hidden="1" customWidth="1"/>
    <col min="14356" max="14592" width="9.109375" style="533"/>
    <col min="14593" max="14593" width="8.33203125" style="533" customWidth="1"/>
    <col min="14594" max="14594" width="35.5546875" style="533" customWidth="1"/>
    <col min="14595" max="14598" width="6.33203125" style="533" customWidth="1"/>
    <col min="14599" max="14599" width="6.44140625" style="533" customWidth="1"/>
    <col min="14600" max="14600" width="9" style="533" customWidth="1"/>
    <col min="14601" max="14601" width="8.6640625" style="533" customWidth="1"/>
    <col min="14602" max="14611" width="0" style="533" hidden="1" customWidth="1"/>
    <col min="14612" max="14848" width="9.109375" style="533"/>
    <col min="14849" max="14849" width="8.33203125" style="533" customWidth="1"/>
    <col min="14850" max="14850" width="35.5546875" style="533" customWidth="1"/>
    <col min="14851" max="14854" width="6.33203125" style="533" customWidth="1"/>
    <col min="14855" max="14855" width="6.44140625" style="533" customWidth="1"/>
    <col min="14856" max="14856" width="9" style="533" customWidth="1"/>
    <col min="14857" max="14857" width="8.6640625" style="533" customWidth="1"/>
    <col min="14858" max="14867" width="0" style="533" hidden="1" customWidth="1"/>
    <col min="14868" max="15104" width="9.109375" style="533"/>
    <col min="15105" max="15105" width="8.33203125" style="533" customWidth="1"/>
    <col min="15106" max="15106" width="35.5546875" style="533" customWidth="1"/>
    <col min="15107" max="15110" width="6.33203125" style="533" customWidth="1"/>
    <col min="15111" max="15111" width="6.44140625" style="533" customWidth="1"/>
    <col min="15112" max="15112" width="9" style="533" customWidth="1"/>
    <col min="15113" max="15113" width="8.6640625" style="533" customWidth="1"/>
    <col min="15114" max="15123" width="0" style="533" hidden="1" customWidth="1"/>
    <col min="15124" max="15360" width="9.109375" style="533"/>
    <col min="15361" max="15361" width="8.33203125" style="533" customWidth="1"/>
    <col min="15362" max="15362" width="35.5546875" style="533" customWidth="1"/>
    <col min="15363" max="15366" width="6.33203125" style="533" customWidth="1"/>
    <col min="15367" max="15367" width="6.44140625" style="533" customWidth="1"/>
    <col min="15368" max="15368" width="9" style="533" customWidth="1"/>
    <col min="15369" max="15369" width="8.6640625" style="533" customWidth="1"/>
    <col min="15370" max="15379" width="0" style="533" hidden="1" customWidth="1"/>
    <col min="15380" max="15616" width="9.109375" style="533"/>
    <col min="15617" max="15617" width="8.33203125" style="533" customWidth="1"/>
    <col min="15618" max="15618" width="35.5546875" style="533" customWidth="1"/>
    <col min="15619" max="15622" width="6.33203125" style="533" customWidth="1"/>
    <col min="15623" max="15623" width="6.44140625" style="533" customWidth="1"/>
    <col min="15624" max="15624" width="9" style="533" customWidth="1"/>
    <col min="15625" max="15625" width="8.6640625" style="533" customWidth="1"/>
    <col min="15626" max="15635" width="0" style="533" hidden="1" customWidth="1"/>
    <col min="15636" max="15872" width="9.109375" style="533"/>
    <col min="15873" max="15873" width="8.33203125" style="533" customWidth="1"/>
    <col min="15874" max="15874" width="35.5546875" style="533" customWidth="1"/>
    <col min="15875" max="15878" width="6.33203125" style="533" customWidth="1"/>
    <col min="15879" max="15879" width="6.44140625" style="533" customWidth="1"/>
    <col min="15880" max="15880" width="9" style="533" customWidth="1"/>
    <col min="15881" max="15881" width="8.6640625" style="533" customWidth="1"/>
    <col min="15882" max="15891" width="0" style="533" hidden="1" customWidth="1"/>
    <col min="15892" max="16128" width="9.109375" style="533"/>
    <col min="16129" max="16129" width="8.33203125" style="533" customWidth="1"/>
    <col min="16130" max="16130" width="35.5546875" style="533" customWidth="1"/>
    <col min="16131" max="16134" width="6.33203125" style="533" customWidth="1"/>
    <col min="16135" max="16135" width="6.44140625" style="533" customWidth="1"/>
    <col min="16136" max="16136" width="9" style="533" customWidth="1"/>
    <col min="16137" max="16137" width="8.6640625" style="533" customWidth="1"/>
    <col min="16138" max="16147" width="0" style="533" hidden="1" customWidth="1"/>
    <col min="16148" max="16384" width="9.109375" style="533"/>
  </cols>
  <sheetData>
    <row r="1" spans="1:23" ht="16.5" customHeight="1">
      <c r="A1" s="530" t="s">
        <v>143</v>
      </c>
      <c r="B1" s="556" t="s">
        <v>188</v>
      </c>
      <c r="C1" s="819" t="s">
        <v>189</v>
      </c>
      <c r="D1" s="820"/>
      <c r="E1" s="820"/>
      <c r="F1" s="821"/>
      <c r="G1" s="557" t="s">
        <v>190</v>
      </c>
      <c r="H1" s="532" t="s">
        <v>191</v>
      </c>
      <c r="I1" s="532" t="s">
        <v>156</v>
      </c>
      <c r="J1" s="592" t="s">
        <v>265</v>
      </c>
      <c r="K1" s="592" t="s">
        <v>267</v>
      </c>
    </row>
    <row r="2" spans="1:23" s="535" customFormat="1">
      <c r="A2" s="558"/>
      <c r="B2" s="559"/>
      <c r="C2" s="560" t="s">
        <v>175</v>
      </c>
      <c r="D2" s="561" t="s">
        <v>171</v>
      </c>
      <c r="E2" s="561" t="s">
        <v>176</v>
      </c>
      <c r="F2" s="562" t="s">
        <v>177</v>
      </c>
      <c r="G2" s="563"/>
      <c r="H2" s="534" t="s">
        <v>232</v>
      </c>
      <c r="I2" s="534" t="s">
        <v>232</v>
      </c>
      <c r="J2" s="593" t="s">
        <v>266</v>
      </c>
      <c r="K2" s="593" t="s">
        <v>266</v>
      </c>
    </row>
    <row r="3" spans="1:23" s="535" customFormat="1">
      <c r="A3" s="536"/>
      <c r="B3" s="564"/>
      <c r="C3" s="565"/>
      <c r="D3" s="538"/>
      <c r="E3" s="538"/>
      <c r="F3" s="566"/>
      <c r="G3" s="567"/>
      <c r="H3" s="539"/>
      <c r="I3" s="539"/>
      <c r="J3" s="539"/>
      <c r="K3" s="539"/>
      <c r="U3" s="540"/>
      <c r="W3" s="540"/>
    </row>
    <row r="4" spans="1:23" s="540" customFormat="1">
      <c r="A4" s="536"/>
      <c r="B4" s="568"/>
      <c r="C4" s="565"/>
      <c r="D4" s="538"/>
      <c r="E4" s="538"/>
      <c r="F4" s="566"/>
      <c r="G4" s="567"/>
      <c r="H4" s="539"/>
      <c r="I4" s="539"/>
      <c r="J4" s="539"/>
      <c r="K4" s="539"/>
    </row>
    <row r="5" spans="1:23" s="540" customFormat="1">
      <c r="A5" s="536"/>
      <c r="B5" s="569"/>
      <c r="C5" s="570"/>
      <c r="D5" s="571"/>
      <c r="E5" s="571"/>
      <c r="F5" s="572"/>
      <c r="G5" s="567"/>
      <c r="H5" s="539"/>
      <c r="I5" s="539"/>
      <c r="J5" s="539"/>
      <c r="K5" s="539"/>
    </row>
    <row r="6" spans="1:23" s="540" customFormat="1">
      <c r="A6" s="536"/>
      <c r="B6" s="568"/>
      <c r="C6" s="565"/>
      <c r="D6" s="538"/>
      <c r="E6" s="538"/>
      <c r="F6" s="566"/>
      <c r="G6" s="567"/>
      <c r="H6" s="539"/>
      <c r="I6" s="539"/>
      <c r="J6" s="539"/>
      <c r="K6" s="539"/>
    </row>
    <row r="7" spans="1:23" s="540" customFormat="1">
      <c r="A7" s="536"/>
      <c r="B7" s="573"/>
      <c r="C7" s="574"/>
      <c r="D7" s="543"/>
      <c r="E7" s="543"/>
      <c r="F7" s="575"/>
      <c r="G7" s="576"/>
      <c r="H7" s="539"/>
      <c r="I7" s="539"/>
      <c r="J7" s="539"/>
      <c r="K7" s="539"/>
    </row>
    <row r="8" spans="1:23" s="540" customFormat="1">
      <c r="A8" s="536"/>
      <c r="B8" s="568"/>
      <c r="C8" s="565"/>
      <c r="D8" s="538"/>
      <c r="E8" s="538"/>
      <c r="F8" s="566"/>
      <c r="G8" s="567"/>
      <c r="H8" s="539"/>
      <c r="I8" s="539"/>
      <c r="J8" s="539"/>
      <c r="K8" s="539"/>
    </row>
    <row r="9" spans="1:23" s="540" customFormat="1">
      <c r="A9" s="536"/>
      <c r="B9" s="573"/>
      <c r="C9" s="574"/>
      <c r="D9" s="543"/>
      <c r="E9" s="543"/>
      <c r="F9" s="575"/>
      <c r="G9" s="576"/>
      <c r="H9" s="539"/>
      <c r="I9" s="539"/>
      <c r="J9" s="539"/>
      <c r="K9" s="539"/>
    </row>
    <row r="10" spans="1:23" s="540" customFormat="1">
      <c r="A10" s="536"/>
      <c r="B10" s="573"/>
      <c r="C10" s="565"/>
      <c r="D10" s="538"/>
      <c r="E10" s="538"/>
      <c r="F10" s="566"/>
      <c r="G10" s="567"/>
      <c r="H10" s="539"/>
      <c r="I10" s="539"/>
      <c r="J10" s="539"/>
      <c r="K10" s="539"/>
    </row>
    <row r="11" spans="1:23" s="544" customFormat="1" ht="22.65" customHeight="1">
      <c r="A11" s="529"/>
      <c r="B11" s="577"/>
      <c r="C11" s="574"/>
      <c r="D11" s="543"/>
      <c r="E11" s="543"/>
      <c r="F11" s="575"/>
      <c r="G11" s="576"/>
      <c r="H11" s="539"/>
      <c r="I11" s="539"/>
      <c r="J11" s="539"/>
      <c r="K11" s="539"/>
    </row>
    <row r="12" spans="1:23" s="540" customFormat="1">
      <c r="A12" s="536"/>
      <c r="B12" s="568"/>
      <c r="C12" s="565"/>
      <c r="D12" s="538"/>
      <c r="E12" s="538"/>
      <c r="F12" s="566"/>
      <c r="G12" s="567"/>
      <c r="H12" s="539"/>
      <c r="I12" s="539"/>
      <c r="J12" s="539"/>
      <c r="K12" s="539"/>
    </row>
    <row r="13" spans="1:23" s="540" customFormat="1">
      <c r="A13" s="536"/>
      <c r="B13" s="568"/>
      <c r="C13" s="574"/>
      <c r="D13" s="543"/>
      <c r="E13" s="543"/>
      <c r="F13" s="575"/>
      <c r="G13" s="576"/>
      <c r="H13" s="539"/>
      <c r="I13" s="539"/>
      <c r="J13" s="539"/>
      <c r="K13" s="539"/>
    </row>
    <row r="14" spans="1:23" s="540" customFormat="1">
      <c r="A14" s="536"/>
      <c r="B14" s="564"/>
      <c r="C14" s="565"/>
      <c r="D14" s="538"/>
      <c r="E14" s="538"/>
      <c r="F14" s="566"/>
      <c r="G14" s="567"/>
      <c r="H14" s="539"/>
      <c r="I14" s="539"/>
      <c r="J14" s="539"/>
      <c r="K14" s="539"/>
    </row>
    <row r="15" spans="1:23" s="544" customFormat="1">
      <c r="A15" s="536"/>
      <c r="B15" s="568"/>
      <c r="C15" s="574"/>
      <c r="D15" s="543"/>
      <c r="E15" s="543"/>
      <c r="F15" s="575"/>
      <c r="G15" s="576"/>
      <c r="H15" s="539"/>
      <c r="I15" s="539"/>
      <c r="J15" s="539"/>
      <c r="K15" s="539"/>
    </row>
    <row r="16" spans="1:23" s="544" customFormat="1">
      <c r="A16" s="536"/>
      <c r="B16" s="564"/>
      <c r="C16" s="565"/>
      <c r="D16" s="538"/>
      <c r="E16" s="538"/>
      <c r="F16" s="566"/>
      <c r="G16" s="567"/>
      <c r="H16" s="539"/>
      <c r="I16" s="539"/>
      <c r="J16" s="539"/>
      <c r="K16" s="539"/>
    </row>
    <row r="17" spans="1:11" s="544" customFormat="1">
      <c r="A17" s="536"/>
      <c r="B17" s="568"/>
      <c r="C17" s="574"/>
      <c r="D17" s="543"/>
      <c r="E17" s="543"/>
      <c r="F17" s="575"/>
      <c r="G17" s="576"/>
      <c r="H17" s="539"/>
      <c r="I17" s="539"/>
      <c r="J17" s="539"/>
      <c r="K17" s="539"/>
    </row>
    <row r="18" spans="1:11" s="544" customFormat="1">
      <c r="A18" s="536"/>
      <c r="B18" s="564"/>
      <c r="C18" s="565"/>
      <c r="D18" s="538"/>
      <c r="E18" s="538"/>
      <c r="F18" s="566"/>
      <c r="G18" s="567"/>
      <c r="H18" s="539"/>
      <c r="I18" s="539"/>
      <c r="J18" s="539"/>
      <c r="K18" s="539"/>
    </row>
    <row r="19" spans="1:11" s="544" customFormat="1">
      <c r="A19" s="536"/>
      <c r="B19" s="568"/>
      <c r="C19" s="574"/>
      <c r="D19" s="543"/>
      <c r="E19" s="543"/>
      <c r="F19" s="575"/>
      <c r="G19" s="576"/>
      <c r="H19" s="539"/>
      <c r="I19" s="539"/>
      <c r="J19" s="539"/>
      <c r="K19" s="539"/>
    </row>
    <row r="20" spans="1:11" s="544" customFormat="1">
      <c r="A20" s="536"/>
      <c r="B20" s="564"/>
      <c r="C20" s="565"/>
      <c r="D20" s="538"/>
      <c r="E20" s="538"/>
      <c r="F20" s="566"/>
      <c r="G20" s="567"/>
      <c r="H20" s="539"/>
      <c r="I20" s="539"/>
      <c r="J20" s="539"/>
      <c r="K20" s="539"/>
    </row>
    <row r="21" spans="1:11" s="544" customFormat="1">
      <c r="A21" s="536"/>
      <c r="B21" s="568"/>
      <c r="C21" s="574"/>
      <c r="D21" s="543"/>
      <c r="E21" s="543"/>
      <c r="F21" s="575"/>
      <c r="G21" s="576"/>
      <c r="H21" s="539"/>
      <c r="I21" s="539"/>
      <c r="J21" s="539"/>
      <c r="K21" s="539"/>
    </row>
    <row r="22" spans="1:11" s="544" customFormat="1">
      <c r="A22" s="536"/>
      <c r="B22" s="564"/>
      <c r="C22" s="565"/>
      <c r="D22" s="538"/>
      <c r="E22" s="538"/>
      <c r="F22" s="566"/>
      <c r="G22" s="567"/>
      <c r="H22" s="539"/>
      <c r="I22" s="539"/>
      <c r="J22" s="539"/>
      <c r="K22" s="539"/>
    </row>
    <row r="23" spans="1:11" s="544" customFormat="1">
      <c r="A23" s="536"/>
      <c r="B23" s="568"/>
      <c r="C23" s="574"/>
      <c r="D23" s="543"/>
      <c r="E23" s="543"/>
      <c r="F23" s="575"/>
      <c r="G23" s="576"/>
      <c r="H23" s="539"/>
      <c r="I23" s="539"/>
      <c r="J23" s="539"/>
      <c r="K23" s="539"/>
    </row>
    <row r="24" spans="1:11" s="544" customFormat="1">
      <c r="A24" s="536"/>
      <c r="B24" s="564"/>
      <c r="C24" s="565"/>
      <c r="D24" s="538"/>
      <c r="E24" s="538"/>
      <c r="F24" s="566"/>
      <c r="G24" s="567"/>
      <c r="H24" s="539"/>
      <c r="I24" s="539"/>
      <c r="J24" s="539"/>
      <c r="K24" s="539"/>
    </row>
    <row r="25" spans="1:11" s="544" customFormat="1">
      <c r="A25" s="536"/>
      <c r="B25" s="573"/>
      <c r="C25" s="574"/>
      <c r="D25" s="543"/>
      <c r="E25" s="543"/>
      <c r="F25" s="575"/>
      <c r="G25" s="576"/>
      <c r="H25" s="539"/>
      <c r="I25" s="539"/>
      <c r="J25" s="539"/>
      <c r="K25" s="539"/>
    </row>
    <row r="26" spans="1:11" s="544" customFormat="1" ht="22.65" customHeight="1">
      <c r="A26" s="529"/>
      <c r="B26" s="578"/>
      <c r="C26" s="565"/>
      <c r="D26" s="538"/>
      <c r="E26" s="538"/>
      <c r="F26" s="566"/>
      <c r="G26" s="567"/>
      <c r="H26" s="539"/>
      <c r="I26" s="539"/>
      <c r="J26" s="539"/>
      <c r="K26" s="539"/>
    </row>
    <row r="27" spans="1:11" s="544" customFormat="1">
      <c r="A27" s="536"/>
      <c r="B27" s="573"/>
      <c r="C27" s="574"/>
      <c r="D27" s="543"/>
      <c r="E27" s="543"/>
      <c r="F27" s="575"/>
      <c r="G27" s="576"/>
      <c r="H27" s="539"/>
      <c r="I27" s="539"/>
      <c r="J27" s="539"/>
      <c r="K27" s="539"/>
    </row>
    <row r="28" spans="1:11" s="544" customFormat="1">
      <c r="A28" s="536"/>
      <c r="B28" s="564"/>
      <c r="C28" s="565"/>
      <c r="D28" s="538"/>
      <c r="E28" s="538"/>
      <c r="F28" s="566"/>
      <c r="G28" s="567"/>
      <c r="H28" s="539"/>
      <c r="I28" s="539"/>
      <c r="J28" s="539"/>
      <c r="K28" s="539"/>
    </row>
    <row r="29" spans="1:11" s="544" customFormat="1" ht="22.65" customHeight="1">
      <c r="A29" s="529"/>
      <c r="B29" s="577"/>
      <c r="C29" s="574"/>
      <c r="D29" s="543"/>
      <c r="E29" s="543"/>
      <c r="F29" s="575"/>
      <c r="G29" s="576"/>
      <c r="H29" s="539"/>
      <c r="I29" s="539"/>
      <c r="J29" s="539"/>
      <c r="K29" s="539"/>
    </row>
    <row r="30" spans="1:11" s="544" customFormat="1">
      <c r="A30" s="536"/>
      <c r="B30" s="564"/>
      <c r="C30" s="565"/>
      <c r="D30" s="538"/>
      <c r="E30" s="538"/>
      <c r="F30" s="566"/>
      <c r="G30" s="567"/>
      <c r="H30" s="539"/>
      <c r="I30" s="539"/>
      <c r="J30" s="539"/>
      <c r="K30" s="539"/>
    </row>
    <row r="31" spans="1:11" s="544" customFormat="1">
      <c r="A31" s="536"/>
      <c r="B31" s="568"/>
      <c r="C31" s="574"/>
      <c r="D31" s="543"/>
      <c r="E31" s="543"/>
      <c r="F31" s="575"/>
      <c r="G31" s="576"/>
      <c r="H31" s="539"/>
      <c r="I31" s="539"/>
      <c r="J31" s="539"/>
      <c r="K31" s="539"/>
    </row>
    <row r="32" spans="1:11" s="544" customFormat="1">
      <c r="A32" s="536"/>
      <c r="B32" s="568"/>
      <c r="C32" s="574"/>
      <c r="D32" s="543"/>
      <c r="E32" s="543"/>
      <c r="F32" s="575"/>
      <c r="G32" s="576"/>
      <c r="H32" s="539"/>
      <c r="I32" s="539"/>
      <c r="J32" s="539"/>
      <c r="K32" s="539"/>
    </row>
    <row r="33" spans="1:11" s="544" customFormat="1">
      <c r="A33" s="536"/>
      <c r="B33" s="568"/>
      <c r="C33" s="574"/>
      <c r="D33" s="543"/>
      <c r="E33" s="543"/>
      <c r="F33" s="575"/>
      <c r="G33" s="576"/>
      <c r="H33" s="539"/>
      <c r="I33" s="539"/>
      <c r="J33" s="539"/>
      <c r="K33" s="539"/>
    </row>
    <row r="34" spans="1:11" s="544" customFormat="1">
      <c r="A34" s="536"/>
      <c r="B34" s="568"/>
      <c r="C34" s="574"/>
      <c r="D34" s="543"/>
      <c r="E34" s="543"/>
      <c r="F34" s="575"/>
      <c r="G34" s="576"/>
      <c r="H34" s="539"/>
      <c r="I34" s="539"/>
      <c r="J34" s="539"/>
      <c r="K34" s="539"/>
    </row>
    <row r="35" spans="1:11" s="544" customFormat="1">
      <c r="A35" s="536"/>
      <c r="B35" s="568"/>
      <c r="C35" s="574"/>
      <c r="D35" s="543"/>
      <c r="E35" s="543"/>
      <c r="F35" s="575"/>
      <c r="G35" s="576"/>
      <c r="H35" s="539"/>
      <c r="I35" s="539"/>
      <c r="J35" s="539"/>
      <c r="K35" s="539"/>
    </row>
    <row r="36" spans="1:11" s="544" customFormat="1">
      <c r="A36" s="536"/>
      <c r="B36" s="568"/>
      <c r="C36" s="574"/>
      <c r="D36" s="543"/>
      <c r="E36" s="543"/>
      <c r="F36" s="575"/>
      <c r="G36" s="576"/>
      <c r="H36" s="539"/>
      <c r="I36" s="539"/>
      <c r="J36" s="539"/>
      <c r="K36" s="539"/>
    </row>
    <row r="37" spans="1:11" s="544" customFormat="1">
      <c r="A37" s="536"/>
      <c r="B37" s="568"/>
      <c r="C37" s="574"/>
      <c r="D37" s="543"/>
      <c r="E37" s="543"/>
      <c r="F37" s="575"/>
      <c r="G37" s="576"/>
      <c r="H37" s="539"/>
      <c r="I37" s="539"/>
      <c r="J37" s="539"/>
      <c r="K37" s="539"/>
    </row>
    <row r="38" spans="1:11" s="544" customFormat="1">
      <c r="A38" s="536"/>
      <c r="B38" s="568"/>
      <c r="C38" s="574"/>
      <c r="D38" s="543"/>
      <c r="E38" s="543"/>
      <c r="F38" s="575"/>
      <c r="G38" s="576"/>
      <c r="H38" s="539"/>
      <c r="I38" s="539"/>
      <c r="J38" s="539"/>
      <c r="K38" s="539"/>
    </row>
    <row r="39" spans="1:11" s="544" customFormat="1">
      <c r="A39" s="536"/>
      <c r="B39" s="568"/>
      <c r="C39" s="574"/>
      <c r="D39" s="543"/>
      <c r="E39" s="543"/>
      <c r="F39" s="575"/>
      <c r="G39" s="576"/>
      <c r="H39" s="539"/>
      <c r="I39" s="539"/>
      <c r="J39" s="539"/>
      <c r="K39" s="539"/>
    </row>
    <row r="40" spans="1:11" s="544" customFormat="1">
      <c r="A40" s="536"/>
      <c r="B40" s="568"/>
      <c r="C40" s="574"/>
      <c r="D40" s="543"/>
      <c r="E40" s="543"/>
      <c r="F40" s="575"/>
      <c r="G40" s="576"/>
      <c r="H40" s="539"/>
      <c r="I40" s="539"/>
      <c r="J40" s="539"/>
      <c r="K40" s="539"/>
    </row>
    <row r="41" spans="1:11" s="544" customFormat="1">
      <c r="A41" s="536"/>
      <c r="B41" s="568"/>
      <c r="C41" s="574"/>
      <c r="D41" s="543"/>
      <c r="E41" s="543"/>
      <c r="F41" s="575"/>
      <c r="G41" s="576"/>
      <c r="H41" s="539"/>
      <c r="I41" s="539"/>
      <c r="J41" s="539"/>
      <c r="K41" s="539"/>
    </row>
    <row r="42" spans="1:11" s="544" customFormat="1">
      <c r="A42" s="536"/>
      <c r="B42" s="568"/>
      <c r="C42" s="574"/>
      <c r="D42" s="543"/>
      <c r="E42" s="543"/>
      <c r="F42" s="575"/>
      <c r="G42" s="576"/>
      <c r="H42" s="539"/>
      <c r="I42" s="539"/>
      <c r="J42" s="539"/>
      <c r="K42" s="539"/>
    </row>
    <row r="43" spans="1:11" s="544" customFormat="1">
      <c r="A43" s="536"/>
      <c r="B43" s="568"/>
      <c r="C43" s="574"/>
      <c r="D43" s="543"/>
      <c r="E43" s="543"/>
      <c r="F43" s="575"/>
      <c r="G43" s="576"/>
      <c r="H43" s="539"/>
      <c r="I43" s="539"/>
      <c r="J43" s="539"/>
      <c r="K43" s="539"/>
    </row>
    <row r="44" spans="1:11" s="544" customFormat="1">
      <c r="A44" s="536"/>
      <c r="B44" s="568"/>
      <c r="C44" s="574"/>
      <c r="D44" s="543"/>
      <c r="E44" s="543"/>
      <c r="F44" s="575"/>
      <c r="G44" s="576"/>
      <c r="H44" s="539"/>
      <c r="I44" s="539"/>
      <c r="J44" s="539"/>
      <c r="K44" s="539"/>
    </row>
    <row r="45" spans="1:11" s="544" customFormat="1">
      <c r="A45" s="536"/>
      <c r="B45" s="568"/>
      <c r="C45" s="574"/>
      <c r="D45" s="543"/>
      <c r="E45" s="543"/>
      <c r="F45" s="575"/>
      <c r="G45" s="576"/>
      <c r="H45" s="539"/>
      <c r="I45" s="539"/>
      <c r="J45" s="539"/>
      <c r="K45" s="539"/>
    </row>
    <row r="46" spans="1:11" s="544" customFormat="1">
      <c r="A46" s="536"/>
      <c r="B46" s="564"/>
      <c r="C46" s="565"/>
      <c r="D46" s="538"/>
      <c r="E46" s="538"/>
      <c r="F46" s="566"/>
      <c r="G46" s="567"/>
      <c r="H46" s="539"/>
      <c r="I46" s="539"/>
      <c r="J46" s="539"/>
      <c r="K46" s="539"/>
    </row>
    <row r="47" spans="1:11" s="544" customFormat="1">
      <c r="A47" s="536"/>
      <c r="B47" s="568"/>
      <c r="C47" s="574"/>
      <c r="D47" s="543"/>
      <c r="E47" s="543"/>
      <c r="F47" s="575"/>
      <c r="G47" s="576"/>
      <c r="H47" s="539"/>
      <c r="I47" s="539"/>
      <c r="J47" s="539"/>
      <c r="K47" s="539"/>
    </row>
    <row r="48" spans="1:11" s="544" customFormat="1">
      <c r="A48" s="536"/>
      <c r="B48" s="564"/>
      <c r="C48" s="565"/>
      <c r="D48" s="538"/>
      <c r="E48" s="538"/>
      <c r="F48" s="566"/>
      <c r="G48" s="567"/>
      <c r="H48" s="539"/>
      <c r="I48" s="539"/>
      <c r="J48" s="539"/>
      <c r="K48" s="539"/>
    </row>
    <row r="49" spans="1:23" s="544" customFormat="1">
      <c r="A49" s="536"/>
      <c r="B49" s="568"/>
      <c r="C49" s="574"/>
      <c r="D49" s="543"/>
      <c r="E49" s="543"/>
      <c r="F49" s="575"/>
      <c r="G49" s="576"/>
      <c r="H49" s="539"/>
      <c r="I49" s="539"/>
      <c r="J49" s="539"/>
      <c r="K49" s="539"/>
    </row>
    <row r="50" spans="1:23" s="544" customFormat="1">
      <c r="A50" s="536"/>
      <c r="B50" s="568"/>
      <c r="C50" s="574"/>
      <c r="D50" s="543"/>
      <c r="E50" s="543"/>
      <c r="F50" s="575"/>
      <c r="G50" s="576"/>
      <c r="H50" s="539"/>
      <c r="I50" s="539"/>
      <c r="J50" s="539"/>
      <c r="K50" s="539"/>
    </row>
    <row r="51" spans="1:23" s="544" customFormat="1">
      <c r="A51" s="536"/>
      <c r="B51" s="564"/>
      <c r="C51" s="565"/>
      <c r="D51" s="538"/>
      <c r="E51" s="538"/>
      <c r="F51" s="566"/>
      <c r="G51" s="567"/>
      <c r="H51" s="539"/>
      <c r="I51" s="539"/>
      <c r="J51" s="539"/>
      <c r="K51" s="539"/>
      <c r="U51" s="533"/>
      <c r="W51" s="533"/>
    </row>
    <row r="52" spans="1:23" s="544" customFormat="1">
      <c r="A52" s="536"/>
      <c r="B52" s="564"/>
      <c r="C52" s="565"/>
      <c r="D52" s="538"/>
      <c r="E52" s="538"/>
      <c r="F52" s="566"/>
      <c r="G52" s="567"/>
      <c r="H52" s="539"/>
      <c r="I52" s="539"/>
      <c r="J52" s="539"/>
      <c r="K52" s="539"/>
      <c r="U52" s="533"/>
      <c r="W52" s="533"/>
    </row>
    <row r="53" spans="1:23">
      <c r="A53" s="545"/>
      <c r="B53" s="579"/>
      <c r="C53" s="580"/>
      <c r="D53" s="546"/>
      <c r="E53" s="546"/>
      <c r="F53" s="581"/>
      <c r="G53" s="582"/>
      <c r="H53" s="547"/>
      <c r="I53" s="547"/>
      <c r="J53" s="547"/>
      <c r="K53" s="547"/>
    </row>
    <row r="54" spans="1:23">
      <c r="A54" s="548" t="s">
        <v>148</v>
      </c>
      <c r="B54" s="583"/>
      <c r="C54" s="584"/>
      <c r="D54" s="585"/>
      <c r="E54" s="585"/>
      <c r="F54" s="586" t="s">
        <v>231</v>
      </c>
      <c r="G54" s="587"/>
      <c r="H54" s="588" t="s">
        <v>204</v>
      </c>
      <c r="I54" s="549">
        <f>SUM(I3:I53)</f>
        <v>0</v>
      </c>
      <c r="J54" s="588"/>
      <c r="K54" s="549">
        <f>SUM(K3:K53)</f>
        <v>0</v>
      </c>
    </row>
    <row r="55" spans="1:23" ht="16.5" customHeight="1">
      <c r="A55" s="530" t="s">
        <v>143</v>
      </c>
      <c r="B55" s="556" t="s">
        <v>188</v>
      </c>
      <c r="C55" s="819" t="s">
        <v>189</v>
      </c>
      <c r="D55" s="820"/>
      <c r="E55" s="820"/>
      <c r="F55" s="821"/>
      <c r="G55" s="557" t="s">
        <v>190</v>
      </c>
      <c r="H55" s="532" t="s">
        <v>191</v>
      </c>
      <c r="I55" s="532" t="s">
        <v>156</v>
      </c>
      <c r="J55" s="592" t="s">
        <v>265</v>
      </c>
      <c r="K55" s="592" t="s">
        <v>267</v>
      </c>
    </row>
    <row r="56" spans="1:23" s="535" customFormat="1">
      <c r="A56" s="274"/>
      <c r="B56" s="559"/>
      <c r="C56" s="560" t="s">
        <v>175</v>
      </c>
      <c r="D56" s="561" t="s">
        <v>171</v>
      </c>
      <c r="E56" s="561" t="s">
        <v>176</v>
      </c>
      <c r="F56" s="562" t="s">
        <v>177</v>
      </c>
      <c r="G56" s="563"/>
      <c r="H56" s="534" t="s">
        <v>232</v>
      </c>
      <c r="I56" s="534" t="s">
        <v>232</v>
      </c>
      <c r="J56" s="593" t="s">
        <v>266</v>
      </c>
      <c r="K56" s="593" t="s">
        <v>266</v>
      </c>
    </row>
    <row r="57" spans="1:23" s="535" customFormat="1">
      <c r="A57" s="536"/>
      <c r="B57" s="564"/>
      <c r="C57" s="565"/>
      <c r="D57" s="538"/>
      <c r="E57" s="538"/>
      <c r="F57" s="566"/>
      <c r="G57" s="567"/>
      <c r="H57" s="539"/>
      <c r="I57" s="539"/>
      <c r="J57" s="539"/>
      <c r="K57" s="539"/>
      <c r="U57" s="540"/>
      <c r="W57" s="540"/>
    </row>
    <row r="58" spans="1:23" s="540" customFormat="1">
      <c r="A58" s="536"/>
      <c r="B58" s="564"/>
      <c r="C58" s="565"/>
      <c r="D58" s="538"/>
      <c r="E58" s="538"/>
      <c r="F58" s="566"/>
      <c r="G58" s="567"/>
      <c r="H58" s="539"/>
      <c r="I58" s="539"/>
      <c r="J58" s="539"/>
      <c r="K58" s="539"/>
    </row>
    <row r="59" spans="1:23" s="540" customFormat="1">
      <c r="A59" s="536"/>
      <c r="B59" s="569"/>
      <c r="C59" s="570"/>
      <c r="D59" s="571"/>
      <c r="E59" s="571"/>
      <c r="F59" s="572"/>
      <c r="G59" s="567"/>
      <c r="H59" s="539"/>
      <c r="I59" s="539"/>
      <c r="J59" s="539"/>
      <c r="K59" s="539"/>
    </row>
    <row r="60" spans="1:23" s="540" customFormat="1">
      <c r="A60" s="536"/>
      <c r="B60" s="564"/>
      <c r="C60" s="565"/>
      <c r="D60" s="538"/>
      <c r="E60" s="538"/>
      <c r="F60" s="566"/>
      <c r="G60" s="567"/>
      <c r="H60" s="539"/>
      <c r="I60" s="539"/>
      <c r="J60" s="539"/>
      <c r="K60" s="539"/>
    </row>
    <row r="61" spans="1:23" s="540" customFormat="1">
      <c r="A61" s="536"/>
      <c r="B61" s="573"/>
      <c r="C61" s="574"/>
      <c r="D61" s="543"/>
      <c r="E61" s="543"/>
      <c r="F61" s="575"/>
      <c r="G61" s="576"/>
      <c r="H61" s="539"/>
      <c r="I61" s="539"/>
      <c r="J61" s="539"/>
      <c r="K61" s="539"/>
    </row>
    <row r="62" spans="1:23" s="540" customFormat="1">
      <c r="A62" s="536"/>
      <c r="B62" s="564"/>
      <c r="C62" s="565"/>
      <c r="D62" s="538"/>
      <c r="E62" s="538"/>
      <c r="F62" s="566"/>
      <c r="G62" s="567"/>
      <c r="H62" s="539"/>
      <c r="I62" s="539"/>
      <c r="J62" s="539"/>
      <c r="K62" s="539"/>
    </row>
    <row r="63" spans="1:23" s="540" customFormat="1">
      <c r="A63" s="536"/>
      <c r="B63" s="573"/>
      <c r="C63" s="574"/>
      <c r="D63" s="543"/>
      <c r="E63" s="543"/>
      <c r="F63" s="575"/>
      <c r="G63" s="576"/>
      <c r="H63" s="539"/>
      <c r="I63" s="539"/>
      <c r="J63" s="539"/>
      <c r="K63" s="539"/>
    </row>
    <row r="64" spans="1:23" s="540" customFormat="1">
      <c r="A64" s="536"/>
      <c r="B64" s="564"/>
      <c r="C64" s="565"/>
      <c r="D64" s="538"/>
      <c r="E64" s="538"/>
      <c r="F64" s="566"/>
      <c r="G64" s="567"/>
      <c r="H64" s="539"/>
      <c r="I64" s="539"/>
      <c r="J64" s="539"/>
      <c r="K64" s="539"/>
    </row>
    <row r="65" spans="1:11" s="544" customFormat="1">
      <c r="A65" s="536"/>
      <c r="B65" s="573"/>
      <c r="C65" s="574"/>
      <c r="D65" s="543"/>
      <c r="E65" s="543"/>
      <c r="F65" s="575"/>
      <c r="G65" s="576"/>
      <c r="H65" s="539"/>
      <c r="I65" s="539"/>
      <c r="J65" s="539"/>
      <c r="K65" s="539"/>
    </row>
    <row r="66" spans="1:11" s="540" customFormat="1">
      <c r="A66" s="536"/>
      <c r="B66" s="564"/>
      <c r="C66" s="565"/>
      <c r="D66" s="538"/>
      <c r="E66" s="538"/>
      <c r="F66" s="566"/>
      <c r="G66" s="567"/>
      <c r="H66" s="539"/>
      <c r="I66" s="539"/>
      <c r="J66" s="539"/>
      <c r="K66" s="539"/>
    </row>
    <row r="67" spans="1:11" s="540" customFormat="1">
      <c r="A67" s="536"/>
      <c r="B67" s="573"/>
      <c r="C67" s="574"/>
      <c r="D67" s="543"/>
      <c r="E67" s="543"/>
      <c r="F67" s="575"/>
      <c r="G67" s="576"/>
      <c r="H67" s="539"/>
      <c r="I67" s="539"/>
      <c r="J67" s="539"/>
      <c r="K67" s="539"/>
    </row>
    <row r="68" spans="1:11" s="540" customFormat="1">
      <c r="A68" s="536"/>
      <c r="B68" s="564"/>
      <c r="C68" s="565"/>
      <c r="D68" s="538"/>
      <c r="E68" s="538"/>
      <c r="F68" s="566"/>
      <c r="G68" s="567"/>
      <c r="H68" s="539"/>
      <c r="I68" s="539"/>
      <c r="J68" s="539"/>
      <c r="K68" s="539"/>
    </row>
    <row r="69" spans="1:11" s="544" customFormat="1">
      <c r="A69" s="536"/>
      <c r="B69" s="573"/>
      <c r="C69" s="574"/>
      <c r="D69" s="543"/>
      <c r="E69" s="543"/>
      <c r="F69" s="575"/>
      <c r="G69" s="576"/>
      <c r="H69" s="539"/>
      <c r="I69" s="539"/>
      <c r="J69" s="539"/>
      <c r="K69" s="539"/>
    </row>
    <row r="70" spans="1:11" s="544" customFormat="1">
      <c r="A70" s="536"/>
      <c r="B70" s="564"/>
      <c r="C70" s="565"/>
      <c r="D70" s="538"/>
      <c r="E70" s="538"/>
      <c r="F70" s="566"/>
      <c r="G70" s="567"/>
      <c r="H70" s="539"/>
      <c r="I70" s="539"/>
      <c r="J70" s="539"/>
      <c r="K70" s="539"/>
    </row>
    <row r="71" spans="1:11" s="544" customFormat="1">
      <c r="A71" s="536"/>
      <c r="B71" s="573"/>
      <c r="C71" s="574"/>
      <c r="D71" s="543"/>
      <c r="E71" s="543"/>
      <c r="F71" s="575"/>
      <c r="G71" s="576"/>
      <c r="H71" s="539"/>
      <c r="I71" s="539"/>
      <c r="J71" s="539"/>
      <c r="K71" s="539"/>
    </row>
    <row r="72" spans="1:11" s="544" customFormat="1">
      <c r="A72" s="536"/>
      <c r="B72" s="564"/>
      <c r="C72" s="565"/>
      <c r="D72" s="538"/>
      <c r="E72" s="538"/>
      <c r="F72" s="566"/>
      <c r="G72" s="567"/>
      <c r="H72" s="539"/>
      <c r="I72" s="539"/>
      <c r="J72" s="539"/>
      <c r="K72" s="539"/>
    </row>
    <row r="73" spans="1:11" s="544" customFormat="1">
      <c r="A73" s="536"/>
      <c r="B73" s="573"/>
      <c r="C73" s="574"/>
      <c r="D73" s="543"/>
      <c r="E73" s="543"/>
      <c r="F73" s="575"/>
      <c r="G73" s="576"/>
      <c r="H73" s="539"/>
      <c r="I73" s="539"/>
      <c r="J73" s="539"/>
      <c r="K73" s="539"/>
    </row>
    <row r="74" spans="1:11" s="544" customFormat="1">
      <c r="A74" s="536"/>
      <c r="B74" s="564"/>
      <c r="C74" s="565"/>
      <c r="D74" s="538"/>
      <c r="E74" s="538"/>
      <c r="F74" s="566"/>
      <c r="G74" s="567"/>
      <c r="H74" s="539"/>
      <c r="I74" s="539"/>
      <c r="J74" s="539"/>
      <c r="K74" s="539"/>
    </row>
    <row r="75" spans="1:11" s="544" customFormat="1">
      <c r="A75" s="536"/>
      <c r="B75" s="573"/>
      <c r="C75" s="574"/>
      <c r="D75" s="543"/>
      <c r="E75" s="543"/>
      <c r="F75" s="575"/>
      <c r="G75" s="576"/>
      <c r="H75" s="539"/>
      <c r="I75" s="539"/>
      <c r="J75" s="539"/>
      <c r="K75" s="539"/>
    </row>
    <row r="76" spans="1:11" s="544" customFormat="1">
      <c r="A76" s="536"/>
      <c r="B76" s="564"/>
      <c r="C76" s="565"/>
      <c r="D76" s="538"/>
      <c r="E76" s="538"/>
      <c r="F76" s="566"/>
      <c r="G76" s="567"/>
      <c r="H76" s="539"/>
      <c r="I76" s="539"/>
      <c r="J76" s="539"/>
      <c r="K76" s="539"/>
    </row>
    <row r="77" spans="1:11" s="544" customFormat="1">
      <c r="A77" s="536"/>
      <c r="B77" s="573"/>
      <c r="C77" s="574"/>
      <c r="D77" s="543"/>
      <c r="E77" s="543"/>
      <c r="F77" s="575"/>
      <c r="G77" s="576"/>
      <c r="H77" s="539"/>
      <c r="I77" s="539"/>
      <c r="J77" s="539"/>
      <c r="K77" s="539"/>
    </row>
    <row r="78" spans="1:11" s="544" customFormat="1">
      <c r="A78" s="536"/>
      <c r="B78" s="564"/>
      <c r="C78" s="565"/>
      <c r="D78" s="538"/>
      <c r="E78" s="538"/>
      <c r="F78" s="566"/>
      <c r="G78" s="567"/>
      <c r="H78" s="539"/>
      <c r="I78" s="539"/>
      <c r="J78" s="539"/>
      <c r="K78" s="539"/>
    </row>
    <row r="79" spans="1:11" s="544" customFormat="1">
      <c r="A79" s="536"/>
      <c r="B79" s="573"/>
      <c r="C79" s="574"/>
      <c r="D79" s="543"/>
      <c r="E79" s="543"/>
      <c r="F79" s="575"/>
      <c r="G79" s="576"/>
      <c r="H79" s="539"/>
      <c r="I79" s="539"/>
      <c r="J79" s="539"/>
      <c r="K79" s="539"/>
    </row>
    <row r="80" spans="1:11" s="544" customFormat="1">
      <c r="A80" s="536"/>
      <c r="B80" s="564"/>
      <c r="C80" s="565"/>
      <c r="D80" s="538"/>
      <c r="E80" s="538"/>
      <c r="F80" s="566"/>
      <c r="G80" s="567"/>
      <c r="H80" s="539"/>
      <c r="I80" s="539"/>
      <c r="J80" s="539"/>
      <c r="K80" s="539"/>
    </row>
    <row r="81" spans="1:11" s="544" customFormat="1">
      <c r="A81" s="536"/>
      <c r="B81" s="573"/>
      <c r="C81" s="574"/>
      <c r="D81" s="543"/>
      <c r="E81" s="543"/>
      <c r="F81" s="575"/>
      <c r="G81" s="576"/>
      <c r="H81" s="539"/>
      <c r="I81" s="539"/>
      <c r="J81" s="539"/>
      <c r="K81" s="539"/>
    </row>
    <row r="82" spans="1:11" s="544" customFormat="1">
      <c r="A82" s="536"/>
      <c r="B82" s="564"/>
      <c r="C82" s="565"/>
      <c r="D82" s="538"/>
      <c r="E82" s="538"/>
      <c r="F82" s="566"/>
      <c r="G82" s="567"/>
      <c r="H82" s="539"/>
      <c r="I82" s="539"/>
      <c r="J82" s="539"/>
      <c r="K82" s="539"/>
    </row>
    <row r="83" spans="1:11" s="544" customFormat="1">
      <c r="A83" s="536"/>
      <c r="B83" s="564"/>
      <c r="C83" s="565"/>
      <c r="D83" s="538"/>
      <c r="E83" s="538"/>
      <c r="F83" s="566"/>
      <c r="G83" s="567"/>
      <c r="H83" s="539"/>
      <c r="I83" s="539"/>
      <c r="J83" s="539"/>
      <c r="K83" s="539"/>
    </row>
    <row r="84" spans="1:11" s="544" customFormat="1">
      <c r="A84" s="536"/>
      <c r="B84" s="564"/>
      <c r="C84" s="565"/>
      <c r="D84" s="538"/>
      <c r="E84" s="538"/>
      <c r="F84" s="566"/>
      <c r="G84" s="567"/>
      <c r="H84" s="539"/>
      <c r="I84" s="539"/>
      <c r="J84" s="539"/>
      <c r="K84" s="539"/>
    </row>
    <row r="85" spans="1:11" s="544" customFormat="1">
      <c r="A85" s="536"/>
      <c r="B85" s="564"/>
      <c r="C85" s="565"/>
      <c r="D85" s="538"/>
      <c r="E85" s="538"/>
      <c r="F85" s="566"/>
      <c r="G85" s="567"/>
      <c r="H85" s="539"/>
      <c r="I85" s="539"/>
      <c r="J85" s="539"/>
      <c r="K85" s="539"/>
    </row>
    <row r="86" spans="1:11" s="544" customFormat="1">
      <c r="A86" s="536"/>
      <c r="B86" s="564"/>
      <c r="C86" s="565"/>
      <c r="D86" s="538"/>
      <c r="E86" s="538"/>
      <c r="F86" s="566"/>
      <c r="G86" s="567"/>
      <c r="H86" s="539"/>
      <c r="I86" s="539"/>
      <c r="J86" s="539"/>
      <c r="K86" s="539"/>
    </row>
    <row r="87" spans="1:11" s="544" customFormat="1">
      <c r="A87" s="536"/>
      <c r="B87" s="564"/>
      <c r="C87" s="565"/>
      <c r="D87" s="538"/>
      <c r="E87" s="538"/>
      <c r="F87" s="566"/>
      <c r="G87" s="567"/>
      <c r="H87" s="539"/>
      <c r="I87" s="539"/>
      <c r="J87" s="539"/>
      <c r="K87" s="539"/>
    </row>
    <row r="88" spans="1:11" s="544" customFormat="1">
      <c r="A88" s="536"/>
      <c r="B88" s="564"/>
      <c r="C88" s="565"/>
      <c r="D88" s="538"/>
      <c r="E88" s="538"/>
      <c r="F88" s="566"/>
      <c r="G88" s="567"/>
      <c r="H88" s="539"/>
      <c r="I88" s="539"/>
      <c r="J88" s="539"/>
      <c r="K88" s="539"/>
    </row>
    <row r="89" spans="1:11" s="544" customFormat="1">
      <c r="A89" s="536"/>
      <c r="B89" s="564"/>
      <c r="C89" s="565"/>
      <c r="D89" s="538"/>
      <c r="E89" s="538"/>
      <c r="F89" s="566"/>
      <c r="G89" s="567"/>
      <c r="H89" s="539"/>
      <c r="I89" s="539"/>
      <c r="J89" s="539"/>
      <c r="K89" s="539"/>
    </row>
    <row r="90" spans="1:11" s="544" customFormat="1">
      <c r="A90" s="536"/>
      <c r="B90" s="564"/>
      <c r="C90" s="565"/>
      <c r="D90" s="538"/>
      <c r="E90" s="538"/>
      <c r="F90" s="566"/>
      <c r="G90" s="567"/>
      <c r="H90" s="539"/>
      <c r="I90" s="539"/>
      <c r="J90" s="539"/>
      <c r="K90" s="539"/>
    </row>
    <row r="91" spans="1:11" s="544" customFormat="1">
      <c r="A91" s="536"/>
      <c r="B91" s="564"/>
      <c r="C91" s="565"/>
      <c r="D91" s="538"/>
      <c r="E91" s="538"/>
      <c r="F91" s="566"/>
      <c r="G91" s="567"/>
      <c r="H91" s="539"/>
      <c r="I91" s="539"/>
      <c r="J91" s="539"/>
      <c r="K91" s="539"/>
    </row>
    <row r="92" spans="1:11" s="544" customFormat="1">
      <c r="A92" s="536"/>
      <c r="B92" s="564"/>
      <c r="C92" s="565"/>
      <c r="D92" s="538"/>
      <c r="E92" s="538"/>
      <c r="F92" s="566"/>
      <c r="G92" s="567"/>
      <c r="H92" s="539"/>
      <c r="I92" s="539"/>
      <c r="J92" s="539"/>
      <c r="K92" s="539"/>
    </row>
    <row r="93" spans="1:11" s="544" customFormat="1">
      <c r="A93" s="536"/>
      <c r="B93" s="564"/>
      <c r="C93" s="565"/>
      <c r="D93" s="538"/>
      <c r="E93" s="538"/>
      <c r="F93" s="566"/>
      <c r="G93" s="567"/>
      <c r="H93" s="539"/>
      <c r="I93" s="539"/>
      <c r="J93" s="539"/>
      <c r="K93" s="539"/>
    </row>
    <row r="94" spans="1:11" s="544" customFormat="1">
      <c r="A94" s="536"/>
      <c r="B94" s="564"/>
      <c r="C94" s="565"/>
      <c r="D94" s="538"/>
      <c r="E94" s="538"/>
      <c r="F94" s="566"/>
      <c r="G94" s="567"/>
      <c r="H94" s="539"/>
      <c r="I94" s="539"/>
      <c r="J94" s="539"/>
      <c r="K94" s="539"/>
    </row>
    <row r="95" spans="1:11" s="544" customFormat="1">
      <c r="A95" s="536"/>
      <c r="B95" s="573"/>
      <c r="C95" s="574"/>
      <c r="D95" s="543"/>
      <c r="E95" s="543"/>
      <c r="F95" s="575"/>
      <c r="G95" s="576"/>
      <c r="H95" s="539"/>
      <c r="I95" s="539"/>
      <c r="J95" s="539"/>
      <c r="K95" s="539"/>
    </row>
    <row r="96" spans="1:11" s="544" customFormat="1">
      <c r="A96" s="536"/>
      <c r="B96" s="564"/>
      <c r="C96" s="565"/>
      <c r="D96" s="538"/>
      <c r="E96" s="538"/>
      <c r="F96" s="566"/>
      <c r="G96" s="567"/>
      <c r="H96" s="539"/>
      <c r="I96" s="539"/>
      <c r="J96" s="539"/>
      <c r="K96" s="539"/>
    </row>
    <row r="97" spans="1:11" s="544" customFormat="1">
      <c r="A97" s="536"/>
      <c r="B97" s="573"/>
      <c r="C97" s="574"/>
      <c r="D97" s="543"/>
      <c r="E97" s="543"/>
      <c r="F97" s="575"/>
      <c r="G97" s="576"/>
      <c r="H97" s="539"/>
      <c r="I97" s="539"/>
      <c r="J97" s="539"/>
      <c r="K97" s="539"/>
    </row>
    <row r="98" spans="1:11" s="544" customFormat="1">
      <c r="A98" s="536"/>
      <c r="B98" s="564"/>
      <c r="C98" s="565"/>
      <c r="D98" s="538"/>
      <c r="E98" s="538"/>
      <c r="F98" s="566"/>
      <c r="G98" s="567"/>
      <c r="H98" s="539"/>
      <c r="I98" s="539"/>
      <c r="J98" s="539"/>
      <c r="K98" s="539"/>
    </row>
    <row r="99" spans="1:11" s="544" customFormat="1">
      <c r="A99" s="536"/>
      <c r="B99" s="573"/>
      <c r="C99" s="574"/>
      <c r="D99" s="543"/>
      <c r="E99" s="543"/>
      <c r="F99" s="575"/>
      <c r="G99" s="576"/>
      <c r="H99" s="539"/>
      <c r="I99" s="539"/>
      <c r="J99" s="539"/>
      <c r="K99" s="539"/>
    </row>
    <row r="100" spans="1:11" s="544" customFormat="1">
      <c r="A100" s="536"/>
      <c r="B100" s="564"/>
      <c r="C100" s="565"/>
      <c r="D100" s="538"/>
      <c r="E100" s="538"/>
      <c r="F100" s="566"/>
      <c r="G100" s="567"/>
      <c r="H100" s="539"/>
      <c r="I100" s="539"/>
      <c r="J100" s="539"/>
      <c r="K100" s="539"/>
    </row>
    <row r="101" spans="1:11" s="544" customFormat="1">
      <c r="A101" s="536"/>
      <c r="B101" s="573"/>
      <c r="C101" s="574"/>
      <c r="D101" s="543"/>
      <c r="E101" s="543"/>
      <c r="F101" s="575"/>
      <c r="G101" s="576"/>
      <c r="H101" s="539"/>
      <c r="I101" s="539"/>
      <c r="J101" s="539"/>
      <c r="K101" s="539"/>
    </row>
    <row r="102" spans="1:11" s="544" customFormat="1">
      <c r="A102" s="536"/>
      <c r="B102" s="564"/>
      <c r="C102" s="565"/>
      <c r="D102" s="538"/>
      <c r="E102" s="538"/>
      <c r="F102" s="566"/>
      <c r="G102" s="567"/>
      <c r="H102" s="539"/>
      <c r="I102" s="539"/>
      <c r="J102" s="539"/>
      <c r="K102" s="539"/>
    </row>
    <row r="103" spans="1:11" s="544" customFormat="1">
      <c r="A103" s="536"/>
      <c r="B103" s="564"/>
      <c r="C103" s="565"/>
      <c r="D103" s="538"/>
      <c r="E103" s="538"/>
      <c r="F103" s="566"/>
      <c r="G103" s="567"/>
      <c r="H103" s="539"/>
      <c r="I103" s="539"/>
      <c r="J103" s="539"/>
      <c r="K103" s="539"/>
    </row>
    <row r="104" spans="1:11" s="544" customFormat="1">
      <c r="A104" s="536"/>
      <c r="B104" s="573"/>
      <c r="C104" s="574"/>
      <c r="D104" s="543"/>
      <c r="E104" s="543"/>
      <c r="F104" s="575"/>
      <c r="G104" s="576"/>
      <c r="H104" s="539"/>
      <c r="I104" s="539"/>
      <c r="J104" s="539"/>
      <c r="K104" s="539"/>
    </row>
    <row r="105" spans="1:11" s="544" customFormat="1">
      <c r="A105" s="536"/>
      <c r="B105" s="564"/>
      <c r="C105" s="565"/>
      <c r="D105" s="538"/>
      <c r="E105" s="538"/>
      <c r="F105" s="566"/>
      <c r="G105" s="567"/>
      <c r="H105" s="539"/>
      <c r="I105" s="539"/>
      <c r="J105" s="539"/>
      <c r="K105" s="539"/>
    </row>
    <row r="106" spans="1:11" s="544" customFormat="1">
      <c r="A106" s="536"/>
      <c r="B106" s="564"/>
      <c r="C106" s="565"/>
      <c r="D106" s="538"/>
      <c r="E106" s="538"/>
      <c r="F106" s="566"/>
      <c r="G106" s="567"/>
      <c r="H106" s="539"/>
      <c r="I106" s="539"/>
      <c r="J106" s="539"/>
      <c r="K106" s="539"/>
    </row>
    <row r="107" spans="1:11" s="544" customFormat="1">
      <c r="A107" s="536"/>
      <c r="B107" s="564"/>
      <c r="C107" s="565"/>
      <c r="D107" s="538"/>
      <c r="E107" s="538"/>
      <c r="F107" s="566"/>
      <c r="G107" s="567"/>
      <c r="H107" s="539"/>
      <c r="I107" s="539"/>
      <c r="J107" s="539"/>
      <c r="K107" s="539"/>
    </row>
    <row r="108" spans="1:11" s="544" customFormat="1">
      <c r="A108" s="536"/>
      <c r="B108" s="564"/>
      <c r="C108" s="565"/>
      <c r="D108" s="538"/>
      <c r="E108" s="538"/>
      <c r="F108" s="566"/>
      <c r="G108" s="567"/>
      <c r="H108" s="539"/>
      <c r="I108" s="539"/>
      <c r="J108" s="539"/>
      <c r="K108" s="539"/>
    </row>
    <row r="109" spans="1:11" s="544" customFormat="1">
      <c r="A109" s="536"/>
      <c r="B109" s="564"/>
      <c r="C109" s="565"/>
      <c r="D109" s="538"/>
      <c r="E109" s="538"/>
      <c r="F109" s="566"/>
      <c r="G109" s="567"/>
      <c r="H109" s="539"/>
      <c r="I109" s="539"/>
      <c r="J109" s="539"/>
      <c r="K109" s="539"/>
    </row>
    <row r="110" spans="1:11">
      <c r="A110" s="545"/>
      <c r="B110" s="579"/>
      <c r="C110" s="580"/>
      <c r="D110" s="546"/>
      <c r="E110" s="546"/>
      <c r="F110" s="581"/>
      <c r="G110" s="582"/>
      <c r="H110" s="547"/>
      <c r="I110" s="547"/>
      <c r="J110" s="547"/>
      <c r="K110" s="547"/>
    </row>
    <row r="111" spans="1:11">
      <c r="A111" s="548" t="s">
        <v>148</v>
      </c>
      <c r="B111" s="583"/>
      <c r="C111" s="584"/>
      <c r="D111" s="585"/>
      <c r="E111" s="585"/>
      <c r="F111" s="586" t="s">
        <v>231</v>
      </c>
      <c r="G111" s="587"/>
      <c r="H111" s="588" t="s">
        <v>204</v>
      </c>
      <c r="I111" s="549">
        <f>SUM(I57:I110)</f>
        <v>0</v>
      </c>
      <c r="J111" s="588"/>
      <c r="K111" s="549">
        <f>SUM(K57:K110)</f>
        <v>0</v>
      </c>
    </row>
    <row r="112" spans="1:11" ht="16.5" customHeight="1">
      <c r="A112" s="530" t="s">
        <v>143</v>
      </c>
      <c r="B112" s="556" t="s">
        <v>188</v>
      </c>
      <c r="C112" s="819" t="s">
        <v>189</v>
      </c>
      <c r="D112" s="820"/>
      <c r="E112" s="820"/>
      <c r="F112" s="821"/>
      <c r="G112" s="557" t="s">
        <v>190</v>
      </c>
      <c r="H112" s="532" t="s">
        <v>191</v>
      </c>
      <c r="I112" s="532" t="s">
        <v>156</v>
      </c>
      <c r="J112" s="592" t="s">
        <v>265</v>
      </c>
      <c r="K112" s="592" t="s">
        <v>267</v>
      </c>
    </row>
    <row r="113" spans="1:23" s="535" customFormat="1">
      <c r="A113" s="274"/>
      <c r="B113" s="559"/>
      <c r="C113" s="560" t="s">
        <v>175</v>
      </c>
      <c r="D113" s="561" t="s">
        <v>171</v>
      </c>
      <c r="E113" s="561" t="s">
        <v>176</v>
      </c>
      <c r="F113" s="562" t="s">
        <v>177</v>
      </c>
      <c r="G113" s="563"/>
      <c r="H113" s="534" t="s">
        <v>232</v>
      </c>
      <c r="I113" s="534" t="s">
        <v>232</v>
      </c>
      <c r="J113" s="593" t="s">
        <v>266</v>
      </c>
      <c r="K113" s="593" t="s">
        <v>266</v>
      </c>
    </row>
    <row r="114" spans="1:23" s="535" customFormat="1">
      <c r="A114" s="536"/>
      <c r="B114" s="564"/>
      <c r="C114" s="565"/>
      <c r="D114" s="538"/>
      <c r="E114" s="538"/>
      <c r="F114" s="566"/>
      <c r="G114" s="567"/>
      <c r="H114" s="539"/>
      <c r="I114" s="539"/>
      <c r="J114" s="539"/>
      <c r="K114" s="539"/>
      <c r="U114" s="540"/>
      <c r="W114" s="540"/>
    </row>
    <row r="115" spans="1:23" s="540" customFormat="1">
      <c r="A115" s="536"/>
      <c r="B115" s="564"/>
      <c r="C115" s="565"/>
      <c r="D115" s="538"/>
      <c r="E115" s="538"/>
      <c r="F115" s="566"/>
      <c r="G115" s="567"/>
      <c r="H115" s="539"/>
      <c r="I115" s="539"/>
      <c r="J115" s="539"/>
      <c r="K115" s="539"/>
    </row>
    <row r="116" spans="1:23" s="540" customFormat="1">
      <c r="A116" s="536"/>
      <c r="B116" s="569"/>
      <c r="C116" s="570"/>
      <c r="D116" s="571"/>
      <c r="E116" s="571"/>
      <c r="F116" s="572"/>
      <c r="G116" s="567"/>
      <c r="H116" s="539"/>
      <c r="I116" s="539"/>
      <c r="J116" s="539"/>
      <c r="K116" s="539"/>
    </row>
    <row r="117" spans="1:23" s="540" customFormat="1">
      <c r="A117" s="536"/>
      <c r="B117" s="564"/>
      <c r="C117" s="565"/>
      <c r="D117" s="538"/>
      <c r="E117" s="538"/>
      <c r="F117" s="566"/>
      <c r="G117" s="567"/>
      <c r="H117" s="539"/>
      <c r="I117" s="539"/>
      <c r="J117" s="539"/>
      <c r="K117" s="539"/>
    </row>
    <row r="118" spans="1:23" s="540" customFormat="1">
      <c r="A118" s="536"/>
      <c r="B118" s="573"/>
      <c r="C118" s="574"/>
      <c r="D118" s="543"/>
      <c r="E118" s="543"/>
      <c r="F118" s="575"/>
      <c r="G118" s="576"/>
      <c r="H118" s="539"/>
      <c r="I118" s="539"/>
      <c r="J118" s="539"/>
      <c r="K118" s="539"/>
    </row>
    <row r="119" spans="1:23" s="540" customFormat="1">
      <c r="A119" s="536"/>
      <c r="B119" s="564"/>
      <c r="C119" s="565"/>
      <c r="D119" s="538"/>
      <c r="E119" s="538"/>
      <c r="F119" s="566"/>
      <c r="G119" s="567"/>
      <c r="H119" s="539"/>
      <c r="I119" s="539"/>
      <c r="J119" s="539"/>
      <c r="K119" s="539"/>
    </row>
    <row r="120" spans="1:23" s="540" customFormat="1">
      <c r="A120" s="536"/>
      <c r="B120" s="573"/>
      <c r="C120" s="574"/>
      <c r="D120" s="543"/>
      <c r="E120" s="543"/>
      <c r="F120" s="575"/>
      <c r="G120" s="576"/>
      <c r="H120" s="539"/>
      <c r="I120" s="539"/>
      <c r="J120" s="539"/>
      <c r="K120" s="539"/>
    </row>
    <row r="121" spans="1:23" s="540" customFormat="1">
      <c r="A121" s="536"/>
      <c r="B121" s="564"/>
      <c r="C121" s="565"/>
      <c r="D121" s="538"/>
      <c r="E121" s="538"/>
      <c r="F121" s="566"/>
      <c r="G121" s="567"/>
      <c r="H121" s="539"/>
      <c r="I121" s="539"/>
      <c r="J121" s="539"/>
      <c r="K121" s="539"/>
    </row>
    <row r="122" spans="1:23" s="544" customFormat="1">
      <c r="A122" s="536"/>
      <c r="B122" s="573"/>
      <c r="C122" s="574"/>
      <c r="D122" s="543"/>
      <c r="E122" s="543"/>
      <c r="F122" s="575"/>
      <c r="G122" s="576"/>
      <c r="H122" s="539"/>
      <c r="I122" s="539"/>
      <c r="J122" s="539"/>
      <c r="K122" s="539"/>
    </row>
    <row r="123" spans="1:23" s="540" customFormat="1">
      <c r="A123" s="536"/>
      <c r="B123" s="564"/>
      <c r="C123" s="565"/>
      <c r="D123" s="538"/>
      <c r="E123" s="538"/>
      <c r="F123" s="566"/>
      <c r="G123" s="567"/>
      <c r="H123" s="539"/>
      <c r="I123" s="539"/>
      <c r="J123" s="539"/>
      <c r="K123" s="539"/>
    </row>
    <row r="124" spans="1:23" s="540" customFormat="1">
      <c r="A124" s="536"/>
      <c r="B124" s="573"/>
      <c r="C124" s="574"/>
      <c r="D124" s="543"/>
      <c r="E124" s="543"/>
      <c r="F124" s="575"/>
      <c r="G124" s="576"/>
      <c r="H124" s="539"/>
      <c r="I124" s="539"/>
      <c r="J124" s="539"/>
      <c r="K124" s="539"/>
    </row>
    <row r="125" spans="1:23" s="540" customFormat="1">
      <c r="A125" s="536"/>
      <c r="B125" s="564"/>
      <c r="C125" s="565"/>
      <c r="D125" s="538"/>
      <c r="E125" s="538"/>
      <c r="F125" s="566"/>
      <c r="G125" s="567"/>
      <c r="H125" s="539"/>
      <c r="I125" s="539"/>
      <c r="J125" s="539"/>
      <c r="K125" s="539"/>
    </row>
    <row r="126" spans="1:23" s="544" customFormat="1">
      <c r="A126" s="536"/>
      <c r="B126" s="573"/>
      <c r="C126" s="574"/>
      <c r="D126" s="543"/>
      <c r="E126" s="543"/>
      <c r="F126" s="575"/>
      <c r="G126" s="576"/>
      <c r="H126" s="539"/>
      <c r="I126" s="539"/>
      <c r="J126" s="539"/>
      <c r="K126" s="539"/>
    </row>
    <row r="127" spans="1:23" s="544" customFormat="1">
      <c r="A127" s="536"/>
      <c r="B127" s="564"/>
      <c r="C127" s="565"/>
      <c r="D127" s="538"/>
      <c r="E127" s="538"/>
      <c r="F127" s="566"/>
      <c r="G127" s="567"/>
      <c r="H127" s="539"/>
      <c r="I127" s="539"/>
      <c r="J127" s="539"/>
      <c r="K127" s="539"/>
    </row>
    <row r="128" spans="1:23" s="544" customFormat="1">
      <c r="A128" s="536"/>
      <c r="B128" s="573"/>
      <c r="C128" s="574"/>
      <c r="D128" s="543"/>
      <c r="E128" s="543"/>
      <c r="F128" s="575"/>
      <c r="G128" s="576"/>
      <c r="H128" s="539"/>
      <c r="I128" s="539"/>
      <c r="J128" s="539"/>
      <c r="K128" s="539"/>
    </row>
    <row r="129" spans="1:11" s="544" customFormat="1">
      <c r="A129" s="536"/>
      <c r="B129" s="564"/>
      <c r="C129" s="565"/>
      <c r="D129" s="538"/>
      <c r="E129" s="538"/>
      <c r="F129" s="566"/>
      <c r="G129" s="567"/>
      <c r="H129" s="539"/>
      <c r="I129" s="539"/>
      <c r="J129" s="539"/>
      <c r="K129" s="539"/>
    </row>
    <row r="130" spans="1:11" s="544" customFormat="1">
      <c r="A130" s="536"/>
      <c r="B130" s="573"/>
      <c r="C130" s="574"/>
      <c r="D130" s="543"/>
      <c r="E130" s="543"/>
      <c r="F130" s="575"/>
      <c r="G130" s="576"/>
      <c r="H130" s="539"/>
      <c r="I130" s="539"/>
      <c r="J130" s="539"/>
      <c r="K130" s="539"/>
    </row>
    <row r="131" spans="1:11" s="544" customFormat="1">
      <c r="A131" s="536"/>
      <c r="B131" s="564"/>
      <c r="C131" s="565"/>
      <c r="D131" s="538"/>
      <c r="E131" s="538"/>
      <c r="F131" s="566"/>
      <c r="G131" s="567"/>
      <c r="H131" s="539"/>
      <c r="I131" s="539"/>
      <c r="J131" s="539"/>
      <c r="K131" s="539"/>
    </row>
    <row r="132" spans="1:11" s="544" customFormat="1">
      <c r="A132" s="536"/>
      <c r="B132" s="573"/>
      <c r="C132" s="574"/>
      <c r="D132" s="543"/>
      <c r="E132" s="543"/>
      <c r="F132" s="575"/>
      <c r="G132" s="576"/>
      <c r="H132" s="539"/>
      <c r="I132" s="539"/>
      <c r="J132" s="539"/>
      <c r="K132" s="539"/>
    </row>
    <row r="133" spans="1:11" s="544" customFormat="1">
      <c r="A133" s="536"/>
      <c r="B133" s="564"/>
      <c r="C133" s="565"/>
      <c r="D133" s="538"/>
      <c r="E133" s="538"/>
      <c r="F133" s="566"/>
      <c r="G133" s="567"/>
      <c r="H133" s="539"/>
      <c r="I133" s="539"/>
      <c r="J133" s="539"/>
      <c r="K133" s="539"/>
    </row>
    <row r="134" spans="1:11" s="544" customFormat="1">
      <c r="A134" s="536"/>
      <c r="B134" s="573"/>
      <c r="C134" s="574"/>
      <c r="D134" s="543"/>
      <c r="E134" s="543"/>
      <c r="F134" s="575"/>
      <c r="G134" s="576"/>
      <c r="H134" s="539"/>
      <c r="I134" s="539"/>
      <c r="J134" s="539"/>
      <c r="K134" s="539"/>
    </row>
    <row r="135" spans="1:11" s="544" customFormat="1">
      <c r="A135" s="536"/>
      <c r="B135" s="564"/>
      <c r="C135" s="565"/>
      <c r="D135" s="538"/>
      <c r="E135" s="538"/>
      <c r="F135" s="566"/>
      <c r="G135" s="567"/>
      <c r="H135" s="539"/>
      <c r="I135" s="539"/>
      <c r="J135" s="539"/>
      <c r="K135" s="539"/>
    </row>
    <row r="136" spans="1:11" s="544" customFormat="1">
      <c r="A136" s="536"/>
      <c r="B136" s="573"/>
      <c r="C136" s="574"/>
      <c r="D136" s="543"/>
      <c r="E136" s="543"/>
      <c r="F136" s="575"/>
      <c r="G136" s="576"/>
      <c r="H136" s="539"/>
      <c r="I136" s="539"/>
      <c r="J136" s="539"/>
      <c r="K136" s="539"/>
    </row>
    <row r="137" spans="1:11" s="544" customFormat="1">
      <c r="A137" s="536"/>
      <c r="B137" s="564"/>
      <c r="C137" s="565"/>
      <c r="D137" s="538"/>
      <c r="E137" s="538"/>
      <c r="F137" s="566"/>
      <c r="G137" s="567"/>
      <c r="H137" s="539"/>
      <c r="I137" s="539"/>
      <c r="J137" s="539"/>
      <c r="K137" s="539"/>
    </row>
    <row r="138" spans="1:11" s="544" customFormat="1">
      <c r="A138" s="536"/>
      <c r="B138" s="573"/>
      <c r="C138" s="574"/>
      <c r="D138" s="543"/>
      <c r="E138" s="543"/>
      <c r="F138" s="575"/>
      <c r="G138" s="576"/>
      <c r="H138" s="539"/>
      <c r="I138" s="539"/>
      <c r="J138" s="539"/>
      <c r="K138" s="539"/>
    </row>
    <row r="139" spans="1:11" s="544" customFormat="1">
      <c r="A139" s="536"/>
      <c r="B139" s="564"/>
      <c r="C139" s="565"/>
      <c r="D139" s="538"/>
      <c r="E139" s="538"/>
      <c r="F139" s="566"/>
      <c r="G139" s="567"/>
      <c r="H139" s="539"/>
      <c r="I139" s="539"/>
      <c r="J139" s="539"/>
      <c r="K139" s="539"/>
    </row>
    <row r="140" spans="1:11" s="544" customFormat="1">
      <c r="A140" s="536"/>
      <c r="B140" s="564"/>
      <c r="C140" s="565"/>
      <c r="D140" s="538"/>
      <c r="E140" s="538"/>
      <c r="F140" s="566"/>
      <c r="G140" s="567"/>
      <c r="H140" s="539"/>
      <c r="I140" s="539"/>
      <c r="J140" s="539"/>
      <c r="K140" s="539"/>
    </row>
    <row r="141" spans="1:11" s="544" customFormat="1">
      <c r="A141" s="536"/>
      <c r="B141" s="564"/>
      <c r="C141" s="565"/>
      <c r="D141" s="538"/>
      <c r="E141" s="538"/>
      <c r="F141" s="566"/>
      <c r="G141" s="567"/>
      <c r="H141" s="539"/>
      <c r="I141" s="539"/>
      <c r="J141" s="539"/>
      <c r="K141" s="539"/>
    </row>
    <row r="142" spans="1:11" s="544" customFormat="1">
      <c r="A142" s="536"/>
      <c r="B142" s="564"/>
      <c r="C142" s="565"/>
      <c r="D142" s="538"/>
      <c r="E142" s="538"/>
      <c r="F142" s="566"/>
      <c r="G142" s="567"/>
      <c r="H142" s="539"/>
      <c r="I142" s="539"/>
      <c r="J142" s="539"/>
      <c r="K142" s="539"/>
    </row>
    <row r="143" spans="1:11" s="544" customFormat="1">
      <c r="A143" s="536"/>
      <c r="B143" s="564"/>
      <c r="C143" s="565"/>
      <c r="D143" s="538"/>
      <c r="E143" s="538"/>
      <c r="F143" s="566"/>
      <c r="G143" s="567"/>
      <c r="H143" s="539"/>
      <c r="I143" s="539"/>
      <c r="J143" s="539"/>
      <c r="K143" s="539"/>
    </row>
    <row r="144" spans="1:11" s="544" customFormat="1">
      <c r="A144" s="536"/>
      <c r="B144" s="564"/>
      <c r="C144" s="565"/>
      <c r="D144" s="538"/>
      <c r="E144" s="538"/>
      <c r="F144" s="566"/>
      <c r="G144" s="567"/>
      <c r="H144" s="539"/>
      <c r="I144" s="539"/>
      <c r="J144" s="539"/>
      <c r="K144" s="539"/>
    </row>
    <row r="145" spans="1:11" s="544" customFormat="1">
      <c r="A145" s="536"/>
      <c r="B145" s="564"/>
      <c r="C145" s="565"/>
      <c r="D145" s="538"/>
      <c r="E145" s="538"/>
      <c r="F145" s="566"/>
      <c r="G145" s="567"/>
      <c r="H145" s="539"/>
      <c r="I145" s="539"/>
      <c r="J145" s="539"/>
      <c r="K145" s="539"/>
    </row>
    <row r="146" spans="1:11" s="544" customFormat="1">
      <c r="A146" s="536"/>
      <c r="B146" s="564"/>
      <c r="C146" s="565"/>
      <c r="D146" s="538"/>
      <c r="E146" s="538"/>
      <c r="F146" s="566"/>
      <c r="G146" s="567"/>
      <c r="H146" s="539"/>
      <c r="I146" s="539"/>
      <c r="J146" s="539"/>
      <c r="K146" s="539"/>
    </row>
    <row r="147" spans="1:11" s="544" customFormat="1">
      <c r="A147" s="536"/>
      <c r="B147" s="564"/>
      <c r="C147" s="565"/>
      <c r="D147" s="538"/>
      <c r="E147" s="538"/>
      <c r="F147" s="566"/>
      <c r="G147" s="567"/>
      <c r="H147" s="539"/>
      <c r="I147" s="539"/>
      <c r="J147" s="539"/>
      <c r="K147" s="539"/>
    </row>
    <row r="148" spans="1:11" s="544" customFormat="1">
      <c r="A148" s="536"/>
      <c r="B148" s="564"/>
      <c r="C148" s="565"/>
      <c r="D148" s="538"/>
      <c r="E148" s="538"/>
      <c r="F148" s="566"/>
      <c r="G148" s="567"/>
      <c r="H148" s="539"/>
      <c r="I148" s="539"/>
      <c r="J148" s="539"/>
      <c r="K148" s="539"/>
    </row>
    <row r="149" spans="1:11" s="544" customFormat="1">
      <c r="A149" s="536"/>
      <c r="B149" s="564"/>
      <c r="C149" s="565"/>
      <c r="D149" s="538"/>
      <c r="E149" s="538"/>
      <c r="F149" s="566"/>
      <c r="G149" s="567"/>
      <c r="H149" s="539"/>
      <c r="I149" s="539"/>
      <c r="J149" s="539"/>
      <c r="K149" s="539"/>
    </row>
    <row r="150" spans="1:11" s="544" customFormat="1">
      <c r="A150" s="536"/>
      <c r="B150" s="564"/>
      <c r="C150" s="565"/>
      <c r="D150" s="538"/>
      <c r="E150" s="538"/>
      <c r="F150" s="566"/>
      <c r="G150" s="567"/>
      <c r="H150" s="539"/>
      <c r="I150" s="539"/>
      <c r="J150" s="539"/>
      <c r="K150" s="539"/>
    </row>
    <row r="151" spans="1:11" s="544" customFormat="1">
      <c r="A151" s="536"/>
      <c r="B151" s="564"/>
      <c r="C151" s="565"/>
      <c r="D151" s="538"/>
      <c r="E151" s="538"/>
      <c r="F151" s="566"/>
      <c r="G151" s="567"/>
      <c r="H151" s="539"/>
      <c r="I151" s="539"/>
      <c r="J151" s="539"/>
      <c r="K151" s="539"/>
    </row>
    <row r="152" spans="1:11" s="544" customFormat="1">
      <c r="A152" s="536"/>
      <c r="B152" s="573"/>
      <c r="C152" s="574"/>
      <c r="D152" s="543"/>
      <c r="E152" s="543"/>
      <c r="F152" s="575"/>
      <c r="G152" s="576"/>
      <c r="H152" s="539"/>
      <c r="I152" s="539"/>
      <c r="J152" s="539"/>
      <c r="K152" s="539"/>
    </row>
    <row r="153" spans="1:11" s="544" customFormat="1">
      <c r="A153" s="536"/>
      <c r="B153" s="564"/>
      <c r="C153" s="565"/>
      <c r="D153" s="538"/>
      <c r="E153" s="538"/>
      <c r="F153" s="566"/>
      <c r="G153" s="567"/>
      <c r="H153" s="539"/>
      <c r="I153" s="539"/>
      <c r="J153" s="539"/>
      <c r="K153" s="539"/>
    </row>
    <row r="154" spans="1:11" s="544" customFormat="1">
      <c r="A154" s="536"/>
      <c r="B154" s="573"/>
      <c r="C154" s="574"/>
      <c r="D154" s="543"/>
      <c r="E154" s="543"/>
      <c r="F154" s="575"/>
      <c r="G154" s="576"/>
      <c r="H154" s="539"/>
      <c r="I154" s="539"/>
      <c r="J154" s="539"/>
      <c r="K154" s="539"/>
    </row>
    <row r="155" spans="1:11" s="544" customFormat="1">
      <c r="A155" s="536"/>
      <c r="B155" s="564"/>
      <c r="C155" s="565"/>
      <c r="D155" s="538"/>
      <c r="E155" s="538"/>
      <c r="F155" s="566"/>
      <c r="G155" s="567"/>
      <c r="H155" s="539"/>
      <c r="I155" s="539"/>
      <c r="J155" s="539"/>
      <c r="K155" s="539"/>
    </row>
    <row r="156" spans="1:11" s="544" customFormat="1">
      <c r="A156" s="536"/>
      <c r="B156" s="564"/>
      <c r="C156" s="565"/>
      <c r="D156" s="538"/>
      <c r="E156" s="538"/>
      <c r="F156" s="566"/>
      <c r="G156" s="567"/>
      <c r="H156" s="539"/>
      <c r="I156" s="539"/>
      <c r="J156" s="539"/>
      <c r="K156" s="539"/>
    </row>
    <row r="157" spans="1:11" s="544" customFormat="1">
      <c r="A157" s="536"/>
      <c r="B157" s="573"/>
      <c r="C157" s="574"/>
      <c r="D157" s="543"/>
      <c r="E157" s="543"/>
      <c r="F157" s="575"/>
      <c r="G157" s="576"/>
      <c r="H157" s="539"/>
      <c r="I157" s="539"/>
      <c r="J157" s="539"/>
      <c r="K157" s="539"/>
    </row>
    <row r="158" spans="1:11" s="544" customFormat="1">
      <c r="A158" s="536"/>
      <c r="B158" s="564"/>
      <c r="C158" s="565"/>
      <c r="D158" s="538"/>
      <c r="E158" s="538"/>
      <c r="F158" s="566"/>
      <c r="G158" s="567"/>
      <c r="H158" s="539"/>
      <c r="I158" s="539"/>
      <c r="J158" s="539"/>
      <c r="K158" s="539"/>
    </row>
    <row r="159" spans="1:11" s="544" customFormat="1">
      <c r="A159" s="536"/>
      <c r="B159" s="573"/>
      <c r="C159" s="574"/>
      <c r="D159" s="543"/>
      <c r="E159" s="543"/>
      <c r="F159" s="575"/>
      <c r="G159" s="576"/>
      <c r="H159" s="539"/>
      <c r="I159" s="539"/>
      <c r="J159" s="539"/>
      <c r="K159" s="539"/>
    </row>
    <row r="160" spans="1:11" s="544" customFormat="1">
      <c r="A160" s="536"/>
      <c r="B160" s="564"/>
      <c r="C160" s="565"/>
      <c r="D160" s="538"/>
      <c r="E160" s="538"/>
      <c r="F160" s="566"/>
      <c r="G160" s="567"/>
      <c r="H160" s="539"/>
      <c r="I160" s="539"/>
      <c r="J160" s="539"/>
      <c r="K160" s="539"/>
    </row>
    <row r="161" spans="1:23" s="544" customFormat="1">
      <c r="A161" s="536"/>
      <c r="B161" s="573"/>
      <c r="C161" s="574"/>
      <c r="D161" s="543"/>
      <c r="E161" s="543"/>
      <c r="F161" s="575"/>
      <c r="G161" s="576"/>
      <c r="H161" s="539"/>
      <c r="I161" s="539"/>
      <c r="J161" s="539"/>
      <c r="K161" s="539"/>
    </row>
    <row r="162" spans="1:23" s="544" customFormat="1">
      <c r="A162" s="536"/>
      <c r="B162" s="564"/>
      <c r="C162" s="565"/>
      <c r="D162" s="538"/>
      <c r="E162" s="538"/>
      <c r="F162" s="566"/>
      <c r="G162" s="567"/>
      <c r="H162" s="539"/>
      <c r="I162" s="539"/>
      <c r="J162" s="539"/>
      <c r="K162" s="539"/>
    </row>
    <row r="163" spans="1:23" s="544" customFormat="1">
      <c r="A163" s="536"/>
      <c r="B163" s="564"/>
      <c r="C163" s="565"/>
      <c r="D163" s="538"/>
      <c r="E163" s="538"/>
      <c r="F163" s="566"/>
      <c r="G163" s="567"/>
      <c r="H163" s="539"/>
      <c r="I163" s="539"/>
      <c r="J163" s="539"/>
      <c r="K163" s="539"/>
    </row>
    <row r="164" spans="1:23" s="544" customFormat="1">
      <c r="A164" s="536"/>
      <c r="B164" s="564"/>
      <c r="C164" s="565"/>
      <c r="D164" s="538"/>
      <c r="E164" s="538"/>
      <c r="F164" s="566"/>
      <c r="G164" s="567"/>
      <c r="H164" s="539"/>
      <c r="I164" s="539"/>
      <c r="J164" s="539"/>
      <c r="K164" s="539"/>
    </row>
    <row r="165" spans="1:23" s="544" customFormat="1">
      <c r="A165" s="536"/>
      <c r="B165" s="564"/>
      <c r="C165" s="565"/>
      <c r="D165" s="538"/>
      <c r="E165" s="538"/>
      <c r="F165" s="566"/>
      <c r="G165" s="567"/>
      <c r="H165" s="539"/>
      <c r="I165" s="539"/>
      <c r="J165" s="539"/>
      <c r="K165" s="539"/>
    </row>
    <row r="166" spans="1:23" s="544" customFormat="1">
      <c r="A166" s="536"/>
      <c r="B166" s="564"/>
      <c r="C166" s="565"/>
      <c r="D166" s="538"/>
      <c r="E166" s="538"/>
      <c r="F166" s="566"/>
      <c r="G166" s="567"/>
      <c r="H166" s="539"/>
      <c r="I166" s="539"/>
      <c r="J166" s="539"/>
      <c r="K166" s="539"/>
      <c r="U166" s="533"/>
      <c r="W166" s="533"/>
    </row>
    <row r="167" spans="1:23">
      <c r="A167" s="545"/>
      <c r="B167" s="579"/>
      <c r="C167" s="580"/>
      <c r="D167" s="546"/>
      <c r="E167" s="546"/>
      <c r="F167" s="581"/>
      <c r="G167" s="582"/>
      <c r="H167" s="547"/>
      <c r="I167" s="547"/>
      <c r="J167" s="547"/>
      <c r="K167" s="547"/>
    </row>
    <row r="168" spans="1:23">
      <c r="A168" s="548" t="s">
        <v>148</v>
      </c>
      <c r="B168" s="583"/>
      <c r="C168" s="584"/>
      <c r="D168" s="585"/>
      <c r="E168" s="585"/>
      <c r="F168" s="586" t="s">
        <v>231</v>
      </c>
      <c r="G168" s="587"/>
      <c r="H168" s="588" t="s">
        <v>204</v>
      </c>
      <c r="I168" s="549">
        <f>SUM(I114:I167)</f>
        <v>0</v>
      </c>
      <c r="J168" s="588"/>
      <c r="K168" s="549">
        <f>SUM(K114:K167)</f>
        <v>0</v>
      </c>
    </row>
    <row r="169" spans="1:23" ht="16.5" customHeight="1">
      <c r="A169" s="530" t="s">
        <v>143</v>
      </c>
      <c r="B169" s="556" t="s">
        <v>188</v>
      </c>
      <c r="C169" s="819" t="s">
        <v>189</v>
      </c>
      <c r="D169" s="820"/>
      <c r="E169" s="820"/>
      <c r="F169" s="821"/>
      <c r="G169" s="557" t="s">
        <v>190</v>
      </c>
      <c r="H169" s="532" t="s">
        <v>191</v>
      </c>
      <c r="I169" s="532" t="s">
        <v>156</v>
      </c>
      <c r="J169" s="592" t="s">
        <v>265</v>
      </c>
      <c r="K169" s="592" t="s">
        <v>267</v>
      </c>
    </row>
    <row r="170" spans="1:23" s="535" customFormat="1">
      <c r="A170" s="274"/>
      <c r="B170" s="559"/>
      <c r="C170" s="560" t="s">
        <v>175</v>
      </c>
      <c r="D170" s="561" t="s">
        <v>171</v>
      </c>
      <c r="E170" s="561" t="s">
        <v>176</v>
      </c>
      <c r="F170" s="562" t="s">
        <v>177</v>
      </c>
      <c r="G170" s="563"/>
      <c r="H170" s="534" t="s">
        <v>232</v>
      </c>
      <c r="I170" s="534" t="s">
        <v>232</v>
      </c>
      <c r="J170" s="593" t="s">
        <v>266</v>
      </c>
      <c r="K170" s="593" t="s">
        <v>266</v>
      </c>
    </row>
    <row r="171" spans="1:23" s="535" customFormat="1">
      <c r="A171" s="536"/>
      <c r="B171" s="564"/>
      <c r="C171" s="565"/>
      <c r="D171" s="538"/>
      <c r="E171" s="538"/>
      <c r="F171" s="566"/>
      <c r="G171" s="567"/>
      <c r="H171" s="539"/>
      <c r="I171" s="539"/>
      <c r="J171" s="539"/>
      <c r="K171" s="539"/>
      <c r="U171" s="540"/>
      <c r="W171" s="540"/>
    </row>
    <row r="172" spans="1:23" s="540" customFormat="1">
      <c r="A172" s="536"/>
      <c r="B172" s="564"/>
      <c r="C172" s="565"/>
      <c r="D172" s="538"/>
      <c r="E172" s="538"/>
      <c r="F172" s="566"/>
      <c r="G172" s="567"/>
      <c r="H172" s="539"/>
      <c r="I172" s="539"/>
      <c r="J172" s="539"/>
      <c r="K172" s="539"/>
    </row>
    <row r="173" spans="1:23" s="540" customFormat="1">
      <c r="A173" s="536"/>
      <c r="B173" s="569"/>
      <c r="C173" s="570"/>
      <c r="D173" s="571"/>
      <c r="E173" s="571"/>
      <c r="F173" s="572"/>
      <c r="G173" s="567"/>
      <c r="H173" s="539"/>
      <c r="I173" s="539"/>
      <c r="J173" s="539"/>
      <c r="K173" s="539"/>
    </row>
    <row r="174" spans="1:23" s="540" customFormat="1">
      <c r="A174" s="536"/>
      <c r="B174" s="564"/>
      <c r="C174" s="565"/>
      <c r="D174" s="538"/>
      <c r="E174" s="538"/>
      <c r="F174" s="566"/>
      <c r="G174" s="567"/>
      <c r="H174" s="539"/>
      <c r="I174" s="539"/>
      <c r="J174" s="539"/>
      <c r="K174" s="539"/>
    </row>
    <row r="175" spans="1:23" s="540" customFormat="1">
      <c r="A175" s="536"/>
      <c r="B175" s="573"/>
      <c r="C175" s="574"/>
      <c r="D175" s="543"/>
      <c r="E175" s="543"/>
      <c r="F175" s="575"/>
      <c r="G175" s="576"/>
      <c r="H175" s="539"/>
      <c r="I175" s="539"/>
      <c r="J175" s="539"/>
      <c r="K175" s="539"/>
    </row>
    <row r="176" spans="1:23" s="540" customFormat="1">
      <c r="A176" s="536"/>
      <c r="B176" s="564"/>
      <c r="C176" s="565"/>
      <c r="D176" s="538"/>
      <c r="E176" s="538"/>
      <c r="F176" s="566"/>
      <c r="G176" s="567"/>
      <c r="H176" s="539"/>
      <c r="I176" s="539"/>
      <c r="J176" s="539"/>
      <c r="K176" s="539"/>
    </row>
    <row r="177" spans="1:11" s="540" customFormat="1">
      <c r="A177" s="536"/>
      <c r="B177" s="573"/>
      <c r="C177" s="574"/>
      <c r="D177" s="543"/>
      <c r="E177" s="543"/>
      <c r="F177" s="575"/>
      <c r="G177" s="576"/>
      <c r="H177" s="539"/>
      <c r="I177" s="539"/>
      <c r="J177" s="539"/>
      <c r="K177" s="539"/>
    </row>
    <row r="178" spans="1:11" s="540" customFormat="1">
      <c r="A178" s="536"/>
      <c r="B178" s="564"/>
      <c r="C178" s="565"/>
      <c r="D178" s="538"/>
      <c r="E178" s="538"/>
      <c r="F178" s="566"/>
      <c r="G178" s="567"/>
      <c r="H178" s="539"/>
      <c r="I178" s="539"/>
      <c r="J178" s="539"/>
      <c r="K178" s="539"/>
    </row>
    <row r="179" spans="1:11" s="544" customFormat="1">
      <c r="A179" s="536"/>
      <c r="B179" s="573"/>
      <c r="C179" s="574"/>
      <c r="D179" s="543"/>
      <c r="E179" s="543"/>
      <c r="F179" s="575"/>
      <c r="G179" s="576"/>
      <c r="H179" s="539"/>
      <c r="I179" s="539"/>
      <c r="J179" s="539"/>
      <c r="K179" s="539"/>
    </row>
    <row r="180" spans="1:11" s="540" customFormat="1">
      <c r="A180" s="536"/>
      <c r="B180" s="564"/>
      <c r="C180" s="565"/>
      <c r="D180" s="538"/>
      <c r="E180" s="538"/>
      <c r="F180" s="566"/>
      <c r="G180" s="567"/>
      <c r="H180" s="539"/>
      <c r="I180" s="539"/>
      <c r="J180" s="539"/>
      <c r="K180" s="539"/>
    </row>
    <row r="181" spans="1:11" s="540" customFormat="1">
      <c r="A181" s="536"/>
      <c r="B181" s="573"/>
      <c r="C181" s="574"/>
      <c r="D181" s="543"/>
      <c r="E181" s="543"/>
      <c r="F181" s="575"/>
      <c r="G181" s="576"/>
      <c r="H181" s="539"/>
      <c r="I181" s="539"/>
      <c r="J181" s="539"/>
      <c r="K181" s="539"/>
    </row>
    <row r="182" spans="1:11" s="540" customFormat="1">
      <c r="A182" s="536"/>
      <c r="B182" s="564"/>
      <c r="C182" s="565"/>
      <c r="D182" s="538"/>
      <c r="E182" s="538"/>
      <c r="F182" s="566"/>
      <c r="G182" s="567"/>
      <c r="H182" s="539"/>
      <c r="I182" s="539"/>
      <c r="J182" s="539"/>
      <c r="K182" s="539"/>
    </row>
    <row r="183" spans="1:11" s="544" customFormat="1">
      <c r="A183" s="536"/>
      <c r="B183" s="573"/>
      <c r="C183" s="574"/>
      <c r="D183" s="543"/>
      <c r="E183" s="543"/>
      <c r="F183" s="575"/>
      <c r="G183" s="576"/>
      <c r="H183" s="539"/>
      <c r="I183" s="539"/>
      <c r="J183" s="539"/>
      <c r="K183" s="539"/>
    </row>
    <row r="184" spans="1:11" s="544" customFormat="1">
      <c r="A184" s="536"/>
      <c r="B184" s="564"/>
      <c r="C184" s="565"/>
      <c r="D184" s="538"/>
      <c r="E184" s="538"/>
      <c r="F184" s="566"/>
      <c r="G184" s="567"/>
      <c r="H184" s="539"/>
      <c r="I184" s="539"/>
      <c r="J184" s="539"/>
      <c r="K184" s="539"/>
    </row>
    <row r="185" spans="1:11" s="544" customFormat="1">
      <c r="A185" s="536"/>
      <c r="B185" s="573"/>
      <c r="C185" s="574"/>
      <c r="D185" s="543"/>
      <c r="E185" s="543"/>
      <c r="F185" s="575"/>
      <c r="G185" s="576"/>
      <c r="H185" s="539"/>
      <c r="I185" s="539"/>
      <c r="J185" s="539"/>
      <c r="K185" s="539"/>
    </row>
    <row r="186" spans="1:11" s="544" customFormat="1">
      <c r="A186" s="536"/>
      <c r="B186" s="564"/>
      <c r="C186" s="565"/>
      <c r="D186" s="538"/>
      <c r="E186" s="538"/>
      <c r="F186" s="566"/>
      <c r="G186" s="567"/>
      <c r="H186" s="539"/>
      <c r="I186" s="539"/>
      <c r="J186" s="539"/>
      <c r="K186" s="539"/>
    </row>
    <row r="187" spans="1:11" s="544" customFormat="1">
      <c r="A187" s="536"/>
      <c r="B187" s="573"/>
      <c r="C187" s="574"/>
      <c r="D187" s="543"/>
      <c r="E187" s="543"/>
      <c r="F187" s="575"/>
      <c r="G187" s="576"/>
      <c r="H187" s="539"/>
      <c r="I187" s="539"/>
      <c r="J187" s="539"/>
      <c r="K187" s="539"/>
    </row>
    <row r="188" spans="1:11" s="544" customFormat="1">
      <c r="A188" s="536"/>
      <c r="B188" s="564"/>
      <c r="C188" s="565"/>
      <c r="D188" s="538"/>
      <c r="E188" s="538"/>
      <c r="F188" s="566"/>
      <c r="G188" s="567"/>
      <c r="H188" s="539"/>
      <c r="I188" s="539"/>
      <c r="J188" s="539"/>
      <c r="K188" s="539"/>
    </row>
    <row r="189" spans="1:11" s="544" customFormat="1">
      <c r="A189" s="536"/>
      <c r="B189" s="573"/>
      <c r="C189" s="574"/>
      <c r="D189" s="543"/>
      <c r="E189" s="543"/>
      <c r="F189" s="575"/>
      <c r="G189" s="576"/>
      <c r="H189" s="539"/>
      <c r="I189" s="539"/>
      <c r="J189" s="539"/>
      <c r="K189" s="539"/>
    </row>
    <row r="190" spans="1:11" s="544" customFormat="1">
      <c r="A190" s="536"/>
      <c r="B190" s="564"/>
      <c r="C190" s="565"/>
      <c r="D190" s="538"/>
      <c r="E190" s="538"/>
      <c r="F190" s="566"/>
      <c r="G190" s="567"/>
      <c r="H190" s="539"/>
      <c r="I190" s="539"/>
      <c r="J190" s="539"/>
      <c r="K190" s="539"/>
    </row>
    <row r="191" spans="1:11" s="544" customFormat="1">
      <c r="A191" s="536"/>
      <c r="B191" s="573"/>
      <c r="C191" s="574"/>
      <c r="D191" s="543"/>
      <c r="E191" s="543"/>
      <c r="F191" s="575"/>
      <c r="G191" s="576"/>
      <c r="H191" s="539"/>
      <c r="I191" s="539"/>
      <c r="J191" s="539"/>
      <c r="K191" s="539"/>
    </row>
    <row r="192" spans="1:11" s="544" customFormat="1">
      <c r="A192" s="536"/>
      <c r="B192" s="564"/>
      <c r="C192" s="565"/>
      <c r="D192" s="538"/>
      <c r="E192" s="538"/>
      <c r="F192" s="566"/>
      <c r="G192" s="567"/>
      <c r="H192" s="539"/>
      <c r="I192" s="539"/>
      <c r="J192" s="539"/>
      <c r="K192" s="539"/>
    </row>
    <row r="193" spans="1:11" s="544" customFormat="1">
      <c r="A193" s="536"/>
      <c r="B193" s="573"/>
      <c r="C193" s="574"/>
      <c r="D193" s="543"/>
      <c r="E193" s="543"/>
      <c r="F193" s="575"/>
      <c r="G193" s="576"/>
      <c r="H193" s="539"/>
      <c r="I193" s="539"/>
      <c r="J193" s="539"/>
      <c r="K193" s="539"/>
    </row>
    <row r="194" spans="1:11" s="544" customFormat="1">
      <c r="A194" s="536"/>
      <c r="B194" s="564"/>
      <c r="C194" s="565"/>
      <c r="D194" s="538"/>
      <c r="E194" s="538"/>
      <c r="F194" s="566"/>
      <c r="G194" s="567"/>
      <c r="H194" s="539"/>
      <c r="I194" s="539"/>
      <c r="J194" s="539"/>
      <c r="K194" s="539"/>
    </row>
    <row r="195" spans="1:11" s="544" customFormat="1">
      <c r="A195" s="536"/>
      <c r="B195" s="573"/>
      <c r="C195" s="574"/>
      <c r="D195" s="543"/>
      <c r="E195" s="543"/>
      <c r="F195" s="575"/>
      <c r="G195" s="576"/>
      <c r="H195" s="539"/>
      <c r="I195" s="539"/>
      <c r="J195" s="539"/>
      <c r="K195" s="539"/>
    </row>
    <row r="196" spans="1:11" s="544" customFormat="1">
      <c r="A196" s="536"/>
      <c r="B196" s="564"/>
      <c r="C196" s="565"/>
      <c r="D196" s="538"/>
      <c r="E196" s="538"/>
      <c r="F196" s="566"/>
      <c r="G196" s="567"/>
      <c r="H196" s="539"/>
      <c r="I196" s="539"/>
      <c r="J196" s="539"/>
      <c r="K196" s="539"/>
    </row>
    <row r="197" spans="1:11" s="544" customFormat="1">
      <c r="A197" s="536"/>
      <c r="B197" s="564"/>
      <c r="C197" s="565"/>
      <c r="D197" s="538"/>
      <c r="E197" s="538"/>
      <c r="F197" s="566"/>
      <c r="G197" s="567"/>
      <c r="H197" s="539"/>
      <c r="I197" s="539"/>
      <c r="J197" s="539"/>
      <c r="K197" s="539"/>
    </row>
    <row r="198" spans="1:11" s="544" customFormat="1">
      <c r="A198" s="536"/>
      <c r="B198" s="564"/>
      <c r="C198" s="565"/>
      <c r="D198" s="538"/>
      <c r="E198" s="538"/>
      <c r="F198" s="566"/>
      <c r="G198" s="567"/>
      <c r="H198" s="539"/>
      <c r="I198" s="539"/>
      <c r="J198" s="539"/>
      <c r="K198" s="539"/>
    </row>
    <row r="199" spans="1:11" s="544" customFormat="1">
      <c r="A199" s="536"/>
      <c r="B199" s="564"/>
      <c r="C199" s="565"/>
      <c r="D199" s="538"/>
      <c r="E199" s="538"/>
      <c r="F199" s="566"/>
      <c r="G199" s="567"/>
      <c r="H199" s="539"/>
      <c r="I199" s="539"/>
      <c r="J199" s="539"/>
      <c r="K199" s="539"/>
    </row>
    <row r="200" spans="1:11" s="544" customFormat="1">
      <c r="A200" s="536"/>
      <c r="B200" s="564"/>
      <c r="C200" s="565"/>
      <c r="D200" s="538"/>
      <c r="E200" s="538"/>
      <c r="F200" s="566"/>
      <c r="G200" s="567"/>
      <c r="H200" s="539"/>
      <c r="I200" s="539"/>
      <c r="J200" s="539"/>
      <c r="K200" s="539"/>
    </row>
    <row r="201" spans="1:11" s="544" customFormat="1">
      <c r="A201" s="536"/>
      <c r="B201" s="564"/>
      <c r="C201" s="565"/>
      <c r="D201" s="538"/>
      <c r="E201" s="538"/>
      <c r="F201" s="566"/>
      <c r="G201" s="567"/>
      <c r="H201" s="539"/>
      <c r="I201" s="539"/>
      <c r="J201" s="539"/>
      <c r="K201" s="539"/>
    </row>
    <row r="202" spans="1:11" s="544" customFormat="1">
      <c r="A202" s="536"/>
      <c r="B202" s="564"/>
      <c r="C202" s="565"/>
      <c r="D202" s="538"/>
      <c r="E202" s="538"/>
      <c r="F202" s="566"/>
      <c r="G202" s="567"/>
      <c r="H202" s="539"/>
      <c r="I202" s="539"/>
      <c r="J202" s="539"/>
      <c r="K202" s="539"/>
    </row>
    <row r="203" spans="1:11" s="544" customFormat="1">
      <c r="A203" s="536"/>
      <c r="B203" s="564"/>
      <c r="C203" s="565"/>
      <c r="D203" s="538"/>
      <c r="E203" s="538"/>
      <c r="F203" s="566"/>
      <c r="G203" s="567"/>
      <c r="H203" s="539"/>
      <c r="I203" s="539"/>
      <c r="J203" s="539"/>
      <c r="K203" s="539"/>
    </row>
    <row r="204" spans="1:11" s="544" customFormat="1">
      <c r="A204" s="536"/>
      <c r="B204" s="564"/>
      <c r="C204" s="565"/>
      <c r="D204" s="538"/>
      <c r="E204" s="538"/>
      <c r="F204" s="566"/>
      <c r="G204" s="567"/>
      <c r="H204" s="539"/>
      <c r="I204" s="539"/>
      <c r="J204" s="539"/>
      <c r="K204" s="539"/>
    </row>
    <row r="205" spans="1:11" s="544" customFormat="1">
      <c r="A205" s="536"/>
      <c r="B205" s="564"/>
      <c r="C205" s="565"/>
      <c r="D205" s="538"/>
      <c r="E205" s="538"/>
      <c r="F205" s="566"/>
      <c r="G205" s="567"/>
      <c r="H205" s="539"/>
      <c r="I205" s="539"/>
      <c r="J205" s="539"/>
      <c r="K205" s="539"/>
    </row>
    <row r="206" spans="1:11" s="544" customFormat="1">
      <c r="A206" s="536"/>
      <c r="B206" s="564"/>
      <c r="C206" s="565"/>
      <c r="D206" s="538"/>
      <c r="E206" s="538"/>
      <c r="F206" s="566"/>
      <c r="G206" s="567"/>
      <c r="H206" s="539"/>
      <c r="I206" s="539"/>
      <c r="J206" s="539"/>
      <c r="K206" s="539"/>
    </row>
    <row r="207" spans="1:11" s="544" customFormat="1">
      <c r="A207" s="536"/>
      <c r="B207" s="564"/>
      <c r="C207" s="565"/>
      <c r="D207" s="538"/>
      <c r="E207" s="538"/>
      <c r="F207" s="566"/>
      <c r="G207" s="567"/>
      <c r="H207" s="539"/>
      <c r="I207" s="539"/>
      <c r="J207" s="539"/>
      <c r="K207" s="539"/>
    </row>
    <row r="208" spans="1:11" s="544" customFormat="1">
      <c r="A208" s="536"/>
      <c r="B208" s="564"/>
      <c r="C208" s="565"/>
      <c r="D208" s="538"/>
      <c r="E208" s="538"/>
      <c r="F208" s="566"/>
      <c r="G208" s="567"/>
      <c r="H208" s="539"/>
      <c r="I208" s="539"/>
      <c r="J208" s="539"/>
      <c r="K208" s="539"/>
    </row>
    <row r="209" spans="1:23" s="544" customFormat="1">
      <c r="A209" s="536"/>
      <c r="B209" s="564"/>
      <c r="C209" s="565"/>
      <c r="D209" s="538"/>
      <c r="E209" s="538"/>
      <c r="F209" s="566"/>
      <c r="G209" s="567"/>
      <c r="H209" s="539"/>
      <c r="I209" s="539"/>
      <c r="J209" s="539"/>
      <c r="K209" s="539"/>
    </row>
    <row r="210" spans="1:23" s="544" customFormat="1">
      <c r="A210" s="536"/>
      <c r="B210" s="573"/>
      <c r="C210" s="574"/>
      <c r="D210" s="543"/>
      <c r="E210" s="543"/>
      <c r="F210" s="575"/>
      <c r="G210" s="576"/>
      <c r="H210" s="539"/>
      <c r="I210" s="539"/>
      <c r="J210" s="539"/>
      <c r="K210" s="539"/>
    </row>
    <row r="211" spans="1:23" s="544" customFormat="1">
      <c r="A211" s="536"/>
      <c r="B211" s="564"/>
      <c r="C211" s="565"/>
      <c r="D211" s="538"/>
      <c r="E211" s="538"/>
      <c r="F211" s="566"/>
      <c r="G211" s="567"/>
      <c r="H211" s="539"/>
      <c r="I211" s="539"/>
      <c r="J211" s="539"/>
      <c r="K211" s="539"/>
    </row>
    <row r="212" spans="1:23" s="544" customFormat="1">
      <c r="A212" s="536"/>
      <c r="B212" s="573"/>
      <c r="C212" s="574"/>
      <c r="D212" s="543"/>
      <c r="E212" s="543"/>
      <c r="F212" s="575"/>
      <c r="G212" s="576"/>
      <c r="H212" s="539"/>
      <c r="I212" s="539"/>
      <c r="J212" s="539"/>
      <c r="K212" s="539"/>
    </row>
    <row r="213" spans="1:23" s="544" customFormat="1">
      <c r="A213" s="536"/>
      <c r="B213" s="564"/>
      <c r="C213" s="565"/>
      <c r="D213" s="538"/>
      <c r="E213" s="538"/>
      <c r="F213" s="566"/>
      <c r="G213" s="567"/>
      <c r="H213" s="539"/>
      <c r="I213" s="539"/>
      <c r="J213" s="539"/>
      <c r="K213" s="539"/>
    </row>
    <row r="214" spans="1:23" s="544" customFormat="1">
      <c r="A214" s="536"/>
      <c r="B214" s="573"/>
      <c r="C214" s="574"/>
      <c r="D214" s="543"/>
      <c r="E214" s="543"/>
      <c r="F214" s="575"/>
      <c r="G214" s="576"/>
      <c r="H214" s="539"/>
      <c r="I214" s="539"/>
      <c r="J214" s="539"/>
      <c r="K214" s="539"/>
    </row>
    <row r="215" spans="1:23" s="544" customFormat="1">
      <c r="A215" s="536"/>
      <c r="B215" s="564"/>
      <c r="C215" s="565"/>
      <c r="D215" s="538"/>
      <c r="E215" s="538"/>
      <c r="F215" s="566"/>
      <c r="G215" s="567"/>
      <c r="H215" s="539"/>
      <c r="I215" s="539"/>
      <c r="J215" s="539"/>
      <c r="K215" s="539"/>
    </row>
    <row r="216" spans="1:23" s="544" customFormat="1">
      <c r="A216" s="536"/>
      <c r="B216" s="573"/>
      <c r="C216" s="574"/>
      <c r="D216" s="543"/>
      <c r="E216" s="543"/>
      <c r="F216" s="575"/>
      <c r="G216" s="576"/>
      <c r="H216" s="539"/>
      <c r="I216" s="539"/>
      <c r="J216" s="539"/>
      <c r="K216" s="539"/>
    </row>
    <row r="217" spans="1:23" s="544" customFormat="1">
      <c r="A217" s="536"/>
      <c r="B217" s="564"/>
      <c r="C217" s="565"/>
      <c r="D217" s="538"/>
      <c r="E217" s="538"/>
      <c r="F217" s="566"/>
      <c r="G217" s="567"/>
      <c r="H217" s="539"/>
      <c r="I217" s="539"/>
      <c r="J217" s="539"/>
      <c r="K217" s="539"/>
    </row>
    <row r="218" spans="1:23" s="544" customFormat="1">
      <c r="A218" s="536"/>
      <c r="B218" s="573"/>
      <c r="C218" s="574"/>
      <c r="D218" s="543"/>
      <c r="E218" s="543"/>
      <c r="F218" s="575"/>
      <c r="G218" s="576"/>
      <c r="H218" s="539"/>
      <c r="I218" s="539"/>
      <c r="J218" s="539"/>
      <c r="K218" s="539"/>
    </row>
    <row r="219" spans="1:23" s="544" customFormat="1">
      <c r="A219" s="536"/>
      <c r="B219" s="564"/>
      <c r="C219" s="565"/>
      <c r="D219" s="538"/>
      <c r="E219" s="538"/>
      <c r="F219" s="566"/>
      <c r="G219" s="567"/>
      <c r="H219" s="539"/>
      <c r="I219" s="539"/>
      <c r="J219" s="539"/>
      <c r="K219" s="539"/>
    </row>
    <row r="220" spans="1:23" s="544" customFormat="1">
      <c r="A220" s="536"/>
      <c r="B220" s="564"/>
      <c r="C220" s="565"/>
      <c r="D220" s="538"/>
      <c r="E220" s="538"/>
      <c r="F220" s="566"/>
      <c r="G220" s="567"/>
      <c r="H220" s="539"/>
      <c r="I220" s="539"/>
      <c r="J220" s="539"/>
      <c r="K220" s="539"/>
      <c r="U220" s="533"/>
      <c r="W220" s="533"/>
    </row>
    <row r="221" spans="1:23" s="544" customFormat="1">
      <c r="A221" s="536"/>
      <c r="B221" s="564"/>
      <c r="C221" s="565"/>
      <c r="D221" s="538"/>
      <c r="E221" s="538"/>
      <c r="F221" s="566"/>
      <c r="G221" s="567"/>
      <c r="H221" s="539"/>
      <c r="I221" s="539"/>
      <c r="J221" s="539"/>
      <c r="K221" s="539"/>
      <c r="U221" s="533"/>
      <c r="W221" s="533"/>
    </row>
    <row r="222" spans="1:23" s="544" customFormat="1">
      <c r="A222" s="536"/>
      <c r="B222" s="564"/>
      <c r="C222" s="565"/>
      <c r="D222" s="538"/>
      <c r="E222" s="538"/>
      <c r="F222" s="566"/>
      <c r="G222" s="567"/>
      <c r="H222" s="539"/>
      <c r="I222" s="539"/>
      <c r="J222" s="539"/>
      <c r="K222" s="539"/>
      <c r="U222" s="533"/>
      <c r="W222" s="533"/>
    </row>
    <row r="223" spans="1:23" s="544" customFormat="1">
      <c r="A223" s="536"/>
      <c r="B223" s="564"/>
      <c r="C223" s="565"/>
      <c r="D223" s="538"/>
      <c r="E223" s="538"/>
      <c r="F223" s="566"/>
      <c r="G223" s="567"/>
      <c r="H223" s="539"/>
      <c r="I223" s="539"/>
      <c r="J223" s="539"/>
      <c r="K223" s="539"/>
      <c r="U223" s="533"/>
      <c r="W223" s="533"/>
    </row>
    <row r="224" spans="1:23">
      <c r="A224" s="545"/>
      <c r="B224" s="579"/>
      <c r="C224" s="580"/>
      <c r="D224" s="546"/>
      <c r="E224" s="546"/>
      <c r="F224" s="581"/>
      <c r="G224" s="582"/>
      <c r="H224" s="547"/>
      <c r="I224" s="547"/>
      <c r="J224" s="547"/>
      <c r="K224" s="547"/>
    </row>
    <row r="225" spans="1:23">
      <c r="A225" s="548" t="s">
        <v>148</v>
      </c>
      <c r="B225" s="583"/>
      <c r="C225" s="584"/>
      <c r="D225" s="585"/>
      <c r="E225" s="585"/>
      <c r="F225" s="586" t="s">
        <v>231</v>
      </c>
      <c r="G225" s="587"/>
      <c r="H225" s="588" t="s">
        <v>204</v>
      </c>
      <c r="I225" s="549">
        <f>SUM(I171:I224)</f>
        <v>0</v>
      </c>
      <c r="J225" s="588"/>
      <c r="K225" s="549">
        <f>SUM(K171:K224)</f>
        <v>0</v>
      </c>
    </row>
    <row r="226" spans="1:23">
      <c r="A226" s="530" t="s">
        <v>143</v>
      </c>
      <c r="B226" s="556" t="s">
        <v>188</v>
      </c>
      <c r="C226" s="819" t="s">
        <v>189</v>
      </c>
      <c r="D226" s="820"/>
      <c r="E226" s="820"/>
      <c r="F226" s="821"/>
      <c r="G226" s="557" t="s">
        <v>190</v>
      </c>
      <c r="H226" s="532" t="s">
        <v>191</v>
      </c>
      <c r="I226" s="532" t="s">
        <v>156</v>
      </c>
      <c r="J226" s="592" t="s">
        <v>265</v>
      </c>
      <c r="K226" s="592" t="s">
        <v>267</v>
      </c>
    </row>
    <row r="227" spans="1:23">
      <c r="A227" s="274"/>
      <c r="B227" s="559"/>
      <c r="C227" s="560" t="s">
        <v>175</v>
      </c>
      <c r="D227" s="561" t="s">
        <v>171</v>
      </c>
      <c r="E227" s="561" t="s">
        <v>176</v>
      </c>
      <c r="F227" s="562" t="s">
        <v>177</v>
      </c>
      <c r="G227" s="563"/>
      <c r="H227" s="534" t="s">
        <v>232</v>
      </c>
      <c r="I227" s="534" t="s">
        <v>232</v>
      </c>
      <c r="J227" s="593" t="s">
        <v>266</v>
      </c>
      <c r="K227" s="593" t="s">
        <v>266</v>
      </c>
    </row>
    <row r="228" spans="1:23">
      <c r="A228" s="536"/>
      <c r="B228" s="564"/>
      <c r="C228" s="565"/>
      <c r="D228" s="538"/>
      <c r="E228" s="538"/>
      <c r="F228" s="566"/>
      <c r="G228" s="567"/>
      <c r="H228" s="539"/>
      <c r="I228" s="539"/>
      <c r="J228" s="539"/>
      <c r="K228" s="539"/>
    </row>
    <row r="229" spans="1:23">
      <c r="A229" s="536"/>
      <c r="B229" s="564"/>
      <c r="C229" s="565"/>
      <c r="D229" s="538"/>
      <c r="E229" s="538"/>
      <c r="F229" s="566"/>
      <c r="G229" s="567"/>
      <c r="H229" s="539"/>
      <c r="I229" s="539"/>
      <c r="J229" s="539"/>
      <c r="K229" s="539"/>
    </row>
    <row r="230" spans="1:23">
      <c r="A230" s="536"/>
      <c r="B230" s="569"/>
      <c r="C230" s="570"/>
      <c r="D230" s="571"/>
      <c r="E230" s="571"/>
      <c r="F230" s="572"/>
      <c r="G230" s="567"/>
      <c r="H230" s="539"/>
      <c r="I230" s="539"/>
      <c r="J230" s="539"/>
      <c r="K230" s="539"/>
    </row>
    <row r="231" spans="1:23" s="544" customFormat="1">
      <c r="A231" s="536"/>
      <c r="B231" s="564"/>
      <c r="C231" s="565"/>
      <c r="D231" s="538"/>
      <c r="E231" s="538"/>
      <c r="F231" s="566"/>
      <c r="G231" s="567"/>
      <c r="H231" s="539"/>
      <c r="I231" s="539"/>
      <c r="J231" s="539"/>
      <c r="K231" s="539"/>
    </row>
    <row r="232" spans="1:23" s="544" customFormat="1">
      <c r="A232" s="536"/>
      <c r="B232" s="573"/>
      <c r="C232" s="574"/>
      <c r="D232" s="543"/>
      <c r="E232" s="543"/>
      <c r="F232" s="575"/>
      <c r="G232" s="576"/>
      <c r="H232" s="539"/>
      <c r="I232" s="539"/>
      <c r="J232" s="539"/>
      <c r="K232" s="539"/>
    </row>
    <row r="233" spans="1:23" s="544" customFormat="1">
      <c r="A233" s="536"/>
      <c r="B233" s="564"/>
      <c r="C233" s="565"/>
      <c r="D233" s="538"/>
      <c r="E233" s="538"/>
      <c r="F233" s="566"/>
      <c r="G233" s="567"/>
      <c r="H233" s="539"/>
      <c r="I233" s="539"/>
      <c r="J233" s="539"/>
      <c r="K233" s="539"/>
    </row>
    <row r="234" spans="1:23" s="544" customFormat="1">
      <c r="A234" s="536"/>
      <c r="B234" s="573"/>
      <c r="C234" s="574"/>
      <c r="D234" s="543"/>
      <c r="E234" s="543"/>
      <c r="F234" s="575"/>
      <c r="G234" s="576"/>
      <c r="H234" s="539"/>
      <c r="I234" s="539"/>
      <c r="J234" s="539"/>
      <c r="K234" s="539"/>
    </row>
    <row r="235" spans="1:23" s="544" customFormat="1">
      <c r="A235" s="536"/>
      <c r="B235" s="564"/>
      <c r="C235" s="565"/>
      <c r="D235" s="538"/>
      <c r="E235" s="538"/>
      <c r="F235" s="566"/>
      <c r="G235" s="567"/>
      <c r="H235" s="539"/>
      <c r="I235" s="539"/>
      <c r="J235" s="539"/>
      <c r="K235" s="539"/>
    </row>
    <row r="236" spans="1:23" s="544" customFormat="1">
      <c r="A236" s="536"/>
      <c r="B236" s="573"/>
      <c r="C236" s="574"/>
      <c r="D236" s="543"/>
      <c r="E236" s="543"/>
      <c r="F236" s="575"/>
      <c r="G236" s="576"/>
      <c r="H236" s="539"/>
      <c r="I236" s="539"/>
      <c r="J236" s="539"/>
      <c r="K236" s="539"/>
      <c r="U236" s="533"/>
      <c r="W236" s="533"/>
    </row>
    <row r="237" spans="1:23" s="544" customFormat="1">
      <c r="A237" s="536"/>
      <c r="B237" s="564"/>
      <c r="C237" s="565"/>
      <c r="D237" s="538"/>
      <c r="E237" s="538"/>
      <c r="F237" s="566"/>
      <c r="G237" s="567"/>
      <c r="H237" s="539"/>
      <c r="I237" s="539"/>
      <c r="J237" s="539"/>
      <c r="K237" s="539"/>
      <c r="U237" s="533"/>
      <c r="W237" s="533"/>
    </row>
    <row r="238" spans="1:23" s="544" customFormat="1">
      <c r="A238" s="536"/>
      <c r="B238" s="573"/>
      <c r="C238" s="574"/>
      <c r="D238" s="543"/>
      <c r="E238" s="543"/>
      <c r="F238" s="575"/>
      <c r="G238" s="576"/>
      <c r="H238" s="539"/>
      <c r="I238" s="539"/>
      <c r="J238" s="539"/>
      <c r="K238" s="539"/>
      <c r="U238" s="533"/>
      <c r="W238" s="533"/>
    </row>
    <row r="239" spans="1:23" s="544" customFormat="1">
      <c r="A239" s="536"/>
      <c r="B239" s="564"/>
      <c r="C239" s="565"/>
      <c r="D239" s="538"/>
      <c r="E239" s="538"/>
      <c r="F239" s="566"/>
      <c r="G239" s="567"/>
      <c r="H239" s="539"/>
      <c r="I239" s="539"/>
      <c r="J239" s="539"/>
      <c r="K239" s="539"/>
      <c r="U239" s="533"/>
      <c r="W239" s="533"/>
    </row>
    <row r="240" spans="1:23">
      <c r="A240" s="536"/>
      <c r="B240" s="573"/>
      <c r="C240" s="574"/>
      <c r="D240" s="543"/>
      <c r="E240" s="543"/>
      <c r="F240" s="575"/>
      <c r="G240" s="576"/>
      <c r="H240" s="539"/>
      <c r="I240" s="539"/>
      <c r="J240" s="539"/>
      <c r="K240" s="539"/>
    </row>
    <row r="241" spans="1:11">
      <c r="A241" s="536"/>
      <c r="B241" s="564"/>
      <c r="C241" s="565"/>
      <c r="D241" s="538"/>
      <c r="E241" s="538"/>
      <c r="F241" s="566"/>
      <c r="G241" s="567"/>
      <c r="H241" s="539"/>
      <c r="I241" s="539"/>
      <c r="J241" s="539"/>
      <c r="K241" s="539"/>
    </row>
    <row r="242" spans="1:11">
      <c r="A242" s="536"/>
      <c r="B242" s="573"/>
      <c r="C242" s="574"/>
      <c r="D242" s="543"/>
      <c r="E242" s="543"/>
      <c r="F242" s="575"/>
      <c r="G242" s="576"/>
      <c r="H242" s="539"/>
      <c r="I242" s="539"/>
      <c r="J242" s="539"/>
      <c r="K242" s="539"/>
    </row>
    <row r="243" spans="1:11">
      <c r="A243" s="536"/>
      <c r="B243" s="564"/>
      <c r="C243" s="565"/>
      <c r="D243" s="538"/>
      <c r="E243" s="538"/>
      <c r="F243" s="566"/>
      <c r="G243" s="567"/>
      <c r="H243" s="539"/>
      <c r="I243" s="539"/>
      <c r="J243" s="539"/>
      <c r="K243" s="539"/>
    </row>
    <row r="244" spans="1:11">
      <c r="A244" s="536"/>
      <c r="B244" s="573"/>
      <c r="C244" s="574"/>
      <c r="D244" s="543"/>
      <c r="E244" s="543"/>
      <c r="F244" s="575"/>
      <c r="G244" s="576"/>
      <c r="H244" s="539"/>
      <c r="I244" s="539"/>
      <c r="J244" s="539"/>
      <c r="K244" s="539"/>
    </row>
    <row r="245" spans="1:11">
      <c r="A245" s="536"/>
      <c r="B245" s="564"/>
      <c r="C245" s="565"/>
      <c r="D245" s="538"/>
      <c r="E245" s="538"/>
      <c r="F245" s="566"/>
      <c r="G245" s="567"/>
      <c r="H245" s="539"/>
      <c r="I245" s="539"/>
      <c r="J245" s="539"/>
      <c r="K245" s="539"/>
    </row>
    <row r="246" spans="1:11">
      <c r="A246" s="536"/>
      <c r="B246" s="573"/>
      <c r="C246" s="574"/>
      <c r="D246" s="543"/>
      <c r="E246" s="543"/>
      <c r="F246" s="575"/>
      <c r="G246" s="576"/>
      <c r="H246" s="539"/>
      <c r="I246" s="539"/>
      <c r="J246" s="539"/>
      <c r="K246" s="539"/>
    </row>
    <row r="247" spans="1:11">
      <c r="A247" s="536"/>
      <c r="B247" s="564"/>
      <c r="C247" s="565"/>
      <c r="D247" s="538"/>
      <c r="E247" s="538"/>
      <c r="F247" s="566"/>
      <c r="G247" s="567"/>
      <c r="H247" s="539"/>
      <c r="I247" s="539"/>
      <c r="J247" s="539"/>
      <c r="K247" s="539"/>
    </row>
    <row r="248" spans="1:11">
      <c r="A248" s="536"/>
      <c r="B248" s="573"/>
      <c r="C248" s="574"/>
      <c r="D248" s="543"/>
      <c r="E248" s="543"/>
      <c r="F248" s="575"/>
      <c r="G248" s="576"/>
      <c r="H248" s="539"/>
      <c r="I248" s="539"/>
      <c r="J248" s="539"/>
      <c r="K248" s="539"/>
    </row>
    <row r="249" spans="1:11">
      <c r="A249" s="536"/>
      <c r="B249" s="564"/>
      <c r="C249" s="565"/>
      <c r="D249" s="538"/>
      <c r="E249" s="538"/>
      <c r="F249" s="566"/>
      <c r="G249" s="567"/>
      <c r="H249" s="539"/>
      <c r="I249" s="539"/>
      <c r="J249" s="539"/>
      <c r="K249" s="539"/>
    </row>
    <row r="250" spans="1:11">
      <c r="A250" s="536"/>
      <c r="B250" s="573"/>
      <c r="C250" s="574"/>
      <c r="D250" s="543"/>
      <c r="E250" s="543"/>
      <c r="F250" s="575"/>
      <c r="G250" s="576"/>
      <c r="H250" s="539"/>
      <c r="I250" s="539"/>
      <c r="J250" s="539"/>
      <c r="K250" s="539"/>
    </row>
    <row r="251" spans="1:11">
      <c r="A251" s="536"/>
      <c r="B251" s="564"/>
      <c r="C251" s="565"/>
      <c r="D251" s="538"/>
      <c r="E251" s="538"/>
      <c r="F251" s="566"/>
      <c r="G251" s="567"/>
      <c r="H251" s="539"/>
      <c r="I251" s="539"/>
      <c r="J251" s="539"/>
      <c r="K251" s="539"/>
    </row>
    <row r="252" spans="1:11">
      <c r="A252" s="536"/>
      <c r="B252" s="573"/>
      <c r="C252" s="574"/>
      <c r="D252" s="543"/>
      <c r="E252" s="543"/>
      <c r="F252" s="575"/>
      <c r="G252" s="576"/>
      <c r="H252" s="539"/>
      <c r="I252" s="539"/>
      <c r="J252" s="539"/>
      <c r="K252" s="539"/>
    </row>
    <row r="253" spans="1:11">
      <c r="A253" s="536"/>
      <c r="B253" s="564"/>
      <c r="C253" s="565"/>
      <c r="D253" s="538"/>
      <c r="E253" s="538"/>
      <c r="F253" s="566"/>
      <c r="G253" s="567"/>
      <c r="H253" s="539"/>
      <c r="I253" s="539"/>
      <c r="J253" s="539"/>
      <c r="K253" s="539"/>
    </row>
    <row r="254" spans="1:11">
      <c r="A254" s="536"/>
      <c r="B254" s="564"/>
      <c r="C254" s="565"/>
      <c r="D254" s="538"/>
      <c r="E254" s="538"/>
      <c r="F254" s="566"/>
      <c r="G254" s="567"/>
      <c r="H254" s="539"/>
      <c r="I254" s="539"/>
      <c r="J254" s="539"/>
      <c r="K254" s="539"/>
    </row>
    <row r="255" spans="1:11">
      <c r="A255" s="536"/>
      <c r="B255" s="564"/>
      <c r="C255" s="565"/>
      <c r="D255" s="538"/>
      <c r="E255" s="538"/>
      <c r="F255" s="566"/>
      <c r="G255" s="567"/>
      <c r="H255" s="539"/>
      <c r="I255" s="539"/>
      <c r="J255" s="539"/>
      <c r="K255" s="539"/>
    </row>
    <row r="256" spans="1:11">
      <c r="A256" s="536"/>
      <c r="B256" s="564"/>
      <c r="C256" s="565"/>
      <c r="D256" s="538"/>
      <c r="E256" s="538"/>
      <c r="F256" s="566"/>
      <c r="G256" s="567"/>
      <c r="H256" s="539"/>
      <c r="I256" s="539"/>
      <c r="J256" s="539"/>
      <c r="K256" s="539"/>
    </row>
    <row r="257" spans="1:11">
      <c r="A257" s="536"/>
      <c r="B257" s="564"/>
      <c r="C257" s="565"/>
      <c r="D257" s="538"/>
      <c r="E257" s="538"/>
      <c r="F257" s="566"/>
      <c r="G257" s="567"/>
      <c r="H257" s="539"/>
      <c r="I257" s="539"/>
      <c r="J257" s="539"/>
      <c r="K257" s="539"/>
    </row>
    <row r="258" spans="1:11">
      <c r="A258" s="536"/>
      <c r="B258" s="564"/>
      <c r="C258" s="565"/>
      <c r="D258" s="538"/>
      <c r="E258" s="538"/>
      <c r="F258" s="566"/>
      <c r="G258" s="567"/>
      <c r="H258" s="539"/>
      <c r="I258" s="539"/>
      <c r="J258" s="539"/>
      <c r="K258" s="539"/>
    </row>
    <row r="259" spans="1:11">
      <c r="A259" s="536"/>
      <c r="B259" s="564"/>
      <c r="C259" s="565"/>
      <c r="D259" s="538"/>
      <c r="E259" s="538"/>
      <c r="F259" s="566"/>
      <c r="G259" s="567"/>
      <c r="H259" s="539"/>
      <c r="I259" s="539"/>
      <c r="J259" s="539"/>
      <c r="K259" s="539"/>
    </row>
    <row r="260" spans="1:11">
      <c r="A260" s="536"/>
      <c r="B260" s="564"/>
      <c r="C260" s="565"/>
      <c r="D260" s="538"/>
      <c r="E260" s="538"/>
      <c r="F260" s="566"/>
      <c r="G260" s="567"/>
      <c r="H260" s="539"/>
      <c r="I260" s="539"/>
      <c r="J260" s="539"/>
      <c r="K260" s="539"/>
    </row>
    <row r="261" spans="1:11">
      <c r="A261" s="536"/>
      <c r="B261" s="564"/>
      <c r="C261" s="565"/>
      <c r="D261" s="538"/>
      <c r="E261" s="538"/>
      <c r="F261" s="566"/>
      <c r="G261" s="567"/>
      <c r="H261" s="539"/>
      <c r="I261" s="539"/>
      <c r="J261" s="539"/>
      <c r="K261" s="539"/>
    </row>
    <row r="262" spans="1:11">
      <c r="A262" s="536"/>
      <c r="B262" s="564"/>
      <c r="C262" s="565"/>
      <c r="D262" s="538"/>
      <c r="E262" s="538"/>
      <c r="F262" s="566"/>
      <c r="G262" s="567"/>
      <c r="H262" s="539"/>
      <c r="I262" s="539"/>
      <c r="J262" s="539"/>
      <c r="K262" s="539"/>
    </row>
    <row r="263" spans="1:11">
      <c r="A263" s="536"/>
      <c r="B263" s="564"/>
      <c r="C263" s="565"/>
      <c r="D263" s="538"/>
      <c r="E263" s="538"/>
      <c r="F263" s="566"/>
      <c r="G263" s="567"/>
      <c r="H263" s="539"/>
      <c r="I263" s="539"/>
      <c r="J263" s="539"/>
      <c r="K263" s="539"/>
    </row>
    <row r="264" spans="1:11">
      <c r="A264" s="536"/>
      <c r="B264" s="564"/>
      <c r="C264" s="565"/>
      <c r="D264" s="538"/>
      <c r="E264" s="538"/>
      <c r="F264" s="566"/>
      <c r="G264" s="567"/>
      <c r="H264" s="539"/>
      <c r="I264" s="539"/>
      <c r="J264" s="539"/>
      <c r="K264" s="539"/>
    </row>
    <row r="265" spans="1:11">
      <c r="A265" s="536"/>
      <c r="B265" s="564"/>
      <c r="C265" s="565"/>
      <c r="D265" s="538"/>
      <c r="E265" s="538"/>
      <c r="F265" s="566"/>
      <c r="G265" s="567"/>
      <c r="H265" s="539"/>
      <c r="I265" s="539"/>
      <c r="J265" s="539"/>
      <c r="K265" s="539"/>
    </row>
    <row r="266" spans="1:11">
      <c r="A266" s="536"/>
      <c r="B266" s="564"/>
      <c r="C266" s="565"/>
      <c r="D266" s="538"/>
      <c r="E266" s="538"/>
      <c r="F266" s="566"/>
      <c r="G266" s="567"/>
      <c r="H266" s="539"/>
      <c r="I266" s="539"/>
      <c r="J266" s="539"/>
      <c r="K266" s="539"/>
    </row>
    <row r="267" spans="1:11">
      <c r="A267" s="536"/>
      <c r="B267" s="573"/>
      <c r="C267" s="574"/>
      <c r="D267" s="543"/>
      <c r="E267" s="543"/>
      <c r="F267" s="575"/>
      <c r="G267" s="576"/>
      <c r="H267" s="539"/>
      <c r="I267" s="539"/>
      <c r="J267" s="539"/>
      <c r="K267" s="539"/>
    </row>
    <row r="268" spans="1:11">
      <c r="A268" s="536"/>
      <c r="B268" s="564"/>
      <c r="C268" s="565"/>
      <c r="D268" s="538"/>
      <c r="E268" s="538"/>
      <c r="F268" s="566"/>
      <c r="G268" s="567"/>
      <c r="H268" s="539"/>
      <c r="I268" s="539"/>
      <c r="J268" s="539"/>
      <c r="K268" s="539"/>
    </row>
    <row r="269" spans="1:11">
      <c r="A269" s="536"/>
      <c r="B269" s="573"/>
      <c r="C269" s="574"/>
      <c r="D269" s="543"/>
      <c r="E269" s="543"/>
      <c r="F269" s="575"/>
      <c r="G269" s="576"/>
      <c r="H269" s="539"/>
      <c r="I269" s="539"/>
      <c r="J269" s="539"/>
      <c r="K269" s="539"/>
    </row>
    <row r="270" spans="1:11">
      <c r="A270" s="536"/>
      <c r="B270" s="564"/>
      <c r="C270" s="565"/>
      <c r="D270" s="538"/>
      <c r="E270" s="538"/>
      <c r="F270" s="566"/>
      <c r="G270" s="567"/>
      <c r="H270" s="539"/>
      <c r="I270" s="539"/>
      <c r="J270" s="539"/>
      <c r="K270" s="539"/>
    </row>
    <row r="271" spans="1:11">
      <c r="A271" s="536"/>
      <c r="B271" s="573"/>
      <c r="C271" s="574"/>
      <c r="D271" s="543"/>
      <c r="E271" s="543"/>
      <c r="F271" s="575"/>
      <c r="G271" s="576"/>
      <c r="H271" s="539"/>
      <c r="I271" s="539"/>
      <c r="J271" s="539"/>
      <c r="K271" s="539"/>
    </row>
    <row r="272" spans="1:11">
      <c r="A272" s="536"/>
      <c r="B272" s="564"/>
      <c r="C272" s="565"/>
      <c r="D272" s="538"/>
      <c r="E272" s="538"/>
      <c r="F272" s="566"/>
      <c r="G272" s="567"/>
      <c r="H272" s="539"/>
      <c r="I272" s="539"/>
      <c r="J272" s="539"/>
      <c r="K272" s="539"/>
    </row>
    <row r="273" spans="1:11">
      <c r="A273" s="536"/>
      <c r="B273" s="573"/>
      <c r="C273" s="574"/>
      <c r="D273" s="543"/>
      <c r="E273" s="543"/>
      <c r="F273" s="575"/>
      <c r="G273" s="576"/>
      <c r="H273" s="539"/>
      <c r="I273" s="539"/>
      <c r="J273" s="539"/>
      <c r="K273" s="539"/>
    </row>
    <row r="274" spans="1:11">
      <c r="A274" s="536"/>
      <c r="B274" s="564"/>
      <c r="C274" s="565"/>
      <c r="D274" s="538"/>
      <c r="E274" s="538"/>
      <c r="F274" s="566"/>
      <c r="G274" s="567"/>
      <c r="H274" s="539"/>
      <c r="I274" s="539"/>
      <c r="J274" s="539"/>
      <c r="K274" s="539"/>
    </row>
    <row r="275" spans="1:11">
      <c r="A275" s="536"/>
      <c r="B275" s="573"/>
      <c r="C275" s="574"/>
      <c r="D275" s="543"/>
      <c r="E275" s="543"/>
      <c r="F275" s="575"/>
      <c r="G275" s="576"/>
      <c r="H275" s="539"/>
      <c r="I275" s="539"/>
      <c r="J275" s="539"/>
      <c r="K275" s="539"/>
    </row>
    <row r="276" spans="1:11">
      <c r="A276" s="536"/>
      <c r="B276" s="564"/>
      <c r="C276" s="565"/>
      <c r="D276" s="538"/>
      <c r="E276" s="538"/>
      <c r="F276" s="566"/>
      <c r="G276" s="567"/>
      <c r="H276" s="539"/>
      <c r="I276" s="539"/>
      <c r="J276" s="539"/>
      <c r="K276" s="539"/>
    </row>
    <row r="277" spans="1:11">
      <c r="A277" s="536"/>
      <c r="B277" s="564"/>
      <c r="C277" s="565"/>
      <c r="D277" s="538"/>
      <c r="E277" s="538"/>
      <c r="F277" s="566"/>
      <c r="G277" s="567"/>
      <c r="H277" s="539"/>
      <c r="I277" s="539"/>
      <c r="J277" s="539"/>
      <c r="K277" s="539"/>
    </row>
    <row r="278" spans="1:11">
      <c r="A278" s="536"/>
      <c r="B278" s="564"/>
      <c r="C278" s="565"/>
      <c r="D278" s="538"/>
      <c r="E278" s="538"/>
      <c r="F278" s="566"/>
      <c r="G278" s="567"/>
      <c r="H278" s="539"/>
      <c r="I278" s="539"/>
      <c r="J278" s="539"/>
      <c r="K278" s="539"/>
    </row>
    <row r="279" spans="1:11">
      <c r="A279" s="536"/>
      <c r="B279" s="564"/>
      <c r="C279" s="565"/>
      <c r="D279" s="538"/>
      <c r="E279" s="538"/>
      <c r="F279" s="566"/>
      <c r="G279" s="567"/>
      <c r="H279" s="539"/>
      <c r="I279" s="539"/>
      <c r="J279" s="539"/>
      <c r="K279" s="539"/>
    </row>
    <row r="280" spans="1:11">
      <c r="A280" s="536"/>
      <c r="B280" s="564"/>
      <c r="C280" s="565"/>
      <c r="D280" s="538"/>
      <c r="E280" s="538"/>
      <c r="F280" s="566"/>
      <c r="G280" s="567"/>
      <c r="H280" s="539"/>
      <c r="I280" s="539"/>
      <c r="J280" s="539"/>
      <c r="K280" s="539"/>
    </row>
    <row r="281" spans="1:11">
      <c r="A281" s="545"/>
      <c r="B281" s="579"/>
      <c r="C281" s="580"/>
      <c r="D281" s="546"/>
      <c r="E281" s="546"/>
      <c r="F281" s="581"/>
      <c r="G281" s="582"/>
      <c r="H281" s="547"/>
      <c r="I281" s="547"/>
      <c r="J281" s="547"/>
      <c r="K281" s="547"/>
    </row>
    <row r="282" spans="1:11">
      <c r="A282" s="548" t="s">
        <v>148</v>
      </c>
      <c r="B282" s="583"/>
      <c r="C282" s="584"/>
      <c r="D282" s="585"/>
      <c r="E282" s="585"/>
      <c r="F282" s="586" t="s">
        <v>231</v>
      </c>
      <c r="G282" s="587"/>
      <c r="H282" s="588" t="s">
        <v>204</v>
      </c>
      <c r="I282" s="549">
        <f>SUM(I228:I281)</f>
        <v>0</v>
      </c>
      <c r="J282" s="588"/>
      <c r="K282" s="549">
        <f>SUM(K228:K281)</f>
        <v>0</v>
      </c>
    </row>
    <row r="283" spans="1:11">
      <c r="A283" s="530" t="s">
        <v>143</v>
      </c>
      <c r="B283" s="556" t="s">
        <v>188</v>
      </c>
      <c r="C283" s="819" t="s">
        <v>189</v>
      </c>
      <c r="D283" s="820"/>
      <c r="E283" s="820"/>
      <c r="F283" s="821"/>
      <c r="G283" s="557" t="s">
        <v>190</v>
      </c>
      <c r="H283" s="532" t="s">
        <v>191</v>
      </c>
      <c r="I283" s="532" t="s">
        <v>156</v>
      </c>
      <c r="J283" s="592" t="s">
        <v>265</v>
      </c>
      <c r="K283" s="592" t="s">
        <v>267</v>
      </c>
    </row>
    <row r="284" spans="1:11">
      <c r="A284" s="274"/>
      <c r="B284" s="559"/>
      <c r="C284" s="560" t="s">
        <v>175</v>
      </c>
      <c r="D284" s="561" t="s">
        <v>171</v>
      </c>
      <c r="E284" s="561" t="s">
        <v>176</v>
      </c>
      <c r="F284" s="562" t="s">
        <v>177</v>
      </c>
      <c r="G284" s="563"/>
      <c r="H284" s="534" t="s">
        <v>232</v>
      </c>
      <c r="I284" s="534" t="s">
        <v>232</v>
      </c>
      <c r="J284" s="593" t="s">
        <v>266</v>
      </c>
      <c r="K284" s="593" t="s">
        <v>266</v>
      </c>
    </row>
    <row r="285" spans="1:11">
      <c r="A285" s="536"/>
      <c r="B285" s="564"/>
      <c r="C285" s="565"/>
      <c r="D285" s="538"/>
      <c r="E285" s="538"/>
      <c r="F285" s="566"/>
      <c r="G285" s="567"/>
      <c r="H285" s="539"/>
      <c r="I285" s="539"/>
      <c r="J285" s="539"/>
      <c r="K285" s="539"/>
    </row>
    <row r="286" spans="1:11">
      <c r="A286" s="536"/>
      <c r="B286" s="564"/>
      <c r="C286" s="565"/>
      <c r="D286" s="538"/>
      <c r="E286" s="538"/>
      <c r="F286" s="566"/>
      <c r="G286" s="567"/>
      <c r="H286" s="539"/>
      <c r="I286" s="539"/>
      <c r="J286" s="539"/>
      <c r="K286" s="539"/>
    </row>
    <row r="287" spans="1:11">
      <c r="A287" s="536"/>
      <c r="B287" s="569"/>
      <c r="C287" s="570"/>
      <c r="D287" s="571"/>
      <c r="E287" s="571"/>
      <c r="F287" s="572"/>
      <c r="G287" s="567"/>
      <c r="H287" s="539"/>
      <c r="I287" s="539"/>
      <c r="J287" s="539"/>
      <c r="K287" s="539"/>
    </row>
    <row r="288" spans="1:11">
      <c r="A288" s="536"/>
      <c r="B288" s="564"/>
      <c r="C288" s="565"/>
      <c r="D288" s="538"/>
      <c r="E288" s="538"/>
      <c r="F288" s="566"/>
      <c r="G288" s="567"/>
      <c r="H288" s="539"/>
      <c r="I288" s="539"/>
      <c r="J288" s="539"/>
      <c r="K288" s="539"/>
    </row>
    <row r="289" spans="1:11">
      <c r="A289" s="536"/>
      <c r="B289" s="573"/>
      <c r="C289" s="574"/>
      <c r="D289" s="543"/>
      <c r="E289" s="543"/>
      <c r="F289" s="575"/>
      <c r="G289" s="576"/>
      <c r="H289" s="539"/>
      <c r="I289" s="539"/>
      <c r="J289" s="539"/>
      <c r="K289" s="539"/>
    </row>
    <row r="290" spans="1:11">
      <c r="A290" s="536"/>
      <c r="B290" s="564"/>
      <c r="C290" s="565"/>
      <c r="D290" s="538"/>
      <c r="E290" s="538"/>
      <c r="F290" s="566"/>
      <c r="G290" s="567"/>
      <c r="H290" s="539"/>
      <c r="I290" s="539"/>
      <c r="J290" s="539"/>
      <c r="K290" s="539"/>
    </row>
    <row r="291" spans="1:11">
      <c r="A291" s="536"/>
      <c r="B291" s="573"/>
      <c r="C291" s="574"/>
      <c r="D291" s="543"/>
      <c r="E291" s="543"/>
      <c r="F291" s="575"/>
      <c r="G291" s="576"/>
      <c r="H291" s="539"/>
      <c r="I291" s="539"/>
      <c r="J291" s="539"/>
      <c r="K291" s="539"/>
    </row>
    <row r="292" spans="1:11">
      <c r="A292" s="536"/>
      <c r="B292" s="564"/>
      <c r="C292" s="565"/>
      <c r="D292" s="538"/>
      <c r="E292" s="538"/>
      <c r="F292" s="566"/>
      <c r="G292" s="567"/>
      <c r="H292" s="539"/>
      <c r="I292" s="539"/>
      <c r="J292" s="539"/>
      <c r="K292" s="539"/>
    </row>
    <row r="293" spans="1:11">
      <c r="A293" s="536"/>
      <c r="B293" s="573"/>
      <c r="C293" s="574"/>
      <c r="D293" s="543"/>
      <c r="E293" s="543"/>
      <c r="F293" s="575"/>
      <c r="G293" s="576"/>
      <c r="H293" s="539"/>
      <c r="I293" s="539"/>
      <c r="J293" s="539"/>
      <c r="K293" s="539"/>
    </row>
    <row r="294" spans="1:11">
      <c r="A294" s="536"/>
      <c r="B294" s="564"/>
      <c r="C294" s="565"/>
      <c r="D294" s="538"/>
      <c r="E294" s="538"/>
      <c r="F294" s="566"/>
      <c r="G294" s="567"/>
      <c r="H294" s="539"/>
      <c r="I294" s="539"/>
      <c r="J294" s="539"/>
      <c r="K294" s="539"/>
    </row>
    <row r="295" spans="1:11">
      <c r="A295" s="536"/>
      <c r="B295" s="573"/>
      <c r="C295" s="574"/>
      <c r="D295" s="543"/>
      <c r="E295" s="543"/>
      <c r="F295" s="575"/>
      <c r="G295" s="576"/>
      <c r="H295" s="539"/>
      <c r="I295" s="539"/>
      <c r="J295" s="539"/>
      <c r="K295" s="539"/>
    </row>
    <row r="296" spans="1:11">
      <c r="A296" s="536"/>
      <c r="B296" s="564"/>
      <c r="C296" s="565"/>
      <c r="D296" s="538"/>
      <c r="E296" s="538"/>
      <c r="F296" s="566"/>
      <c r="G296" s="567"/>
      <c r="H296" s="539"/>
      <c r="I296" s="539"/>
      <c r="J296" s="539"/>
      <c r="K296" s="539"/>
    </row>
    <row r="297" spans="1:11">
      <c r="A297" s="536"/>
      <c r="B297" s="573"/>
      <c r="C297" s="574"/>
      <c r="D297" s="543"/>
      <c r="E297" s="543"/>
      <c r="F297" s="575"/>
      <c r="G297" s="576"/>
      <c r="H297" s="539"/>
      <c r="I297" s="539"/>
      <c r="J297" s="539"/>
      <c r="K297" s="539"/>
    </row>
    <row r="298" spans="1:11">
      <c r="A298" s="536"/>
      <c r="B298" s="564"/>
      <c r="C298" s="565"/>
      <c r="D298" s="538"/>
      <c r="E298" s="538"/>
      <c r="F298" s="566"/>
      <c r="G298" s="567"/>
      <c r="H298" s="539"/>
      <c r="I298" s="539"/>
      <c r="J298" s="539"/>
      <c r="K298" s="539"/>
    </row>
    <row r="299" spans="1:11">
      <c r="A299" s="536"/>
      <c r="B299" s="573"/>
      <c r="C299" s="574"/>
      <c r="D299" s="543"/>
      <c r="E299" s="543"/>
      <c r="F299" s="575"/>
      <c r="G299" s="576"/>
      <c r="H299" s="539"/>
      <c r="I299" s="539"/>
      <c r="J299" s="539"/>
      <c r="K299" s="539"/>
    </row>
    <row r="300" spans="1:11">
      <c r="A300" s="536"/>
      <c r="B300" s="564"/>
      <c r="C300" s="565"/>
      <c r="D300" s="538"/>
      <c r="E300" s="538"/>
      <c r="F300" s="566"/>
      <c r="G300" s="567"/>
      <c r="H300" s="539"/>
      <c r="I300" s="539"/>
      <c r="J300" s="539"/>
      <c r="K300" s="539"/>
    </row>
    <row r="301" spans="1:11">
      <c r="A301" s="536"/>
      <c r="B301" s="573"/>
      <c r="C301" s="574"/>
      <c r="D301" s="543"/>
      <c r="E301" s="543"/>
      <c r="F301" s="575"/>
      <c r="G301" s="576"/>
      <c r="H301" s="539"/>
      <c r="I301" s="539"/>
      <c r="J301" s="539"/>
      <c r="K301" s="539"/>
    </row>
    <row r="302" spans="1:11">
      <c r="A302" s="536"/>
      <c r="B302" s="564"/>
      <c r="C302" s="565"/>
      <c r="D302" s="538"/>
      <c r="E302" s="538"/>
      <c r="F302" s="566"/>
      <c r="G302" s="567"/>
      <c r="H302" s="539"/>
      <c r="I302" s="539"/>
      <c r="J302" s="539"/>
      <c r="K302" s="539"/>
    </row>
    <row r="303" spans="1:11">
      <c r="A303" s="536"/>
      <c r="B303" s="573"/>
      <c r="C303" s="574"/>
      <c r="D303" s="543"/>
      <c r="E303" s="543"/>
      <c r="F303" s="575"/>
      <c r="G303" s="576"/>
      <c r="H303" s="539"/>
      <c r="I303" s="539"/>
      <c r="J303" s="539"/>
      <c r="K303" s="539"/>
    </row>
    <row r="304" spans="1:11">
      <c r="A304" s="536"/>
      <c r="B304" s="564"/>
      <c r="C304" s="565"/>
      <c r="D304" s="538"/>
      <c r="E304" s="538"/>
      <c r="F304" s="566"/>
      <c r="G304" s="567"/>
      <c r="H304" s="539"/>
      <c r="I304" s="539"/>
      <c r="J304" s="539"/>
      <c r="K304" s="539"/>
    </row>
    <row r="305" spans="1:11">
      <c r="A305" s="536"/>
      <c r="B305" s="573"/>
      <c r="C305" s="574"/>
      <c r="D305" s="543"/>
      <c r="E305" s="543"/>
      <c r="F305" s="575"/>
      <c r="G305" s="576"/>
      <c r="H305" s="539"/>
      <c r="I305" s="539"/>
      <c r="J305" s="539"/>
      <c r="K305" s="539"/>
    </row>
    <row r="306" spans="1:11">
      <c r="A306" s="536"/>
      <c r="B306" s="564"/>
      <c r="C306" s="565"/>
      <c r="D306" s="538"/>
      <c r="E306" s="538"/>
      <c r="F306" s="566"/>
      <c r="G306" s="567"/>
      <c r="H306" s="539"/>
      <c r="I306" s="539"/>
      <c r="J306" s="539"/>
      <c r="K306" s="539"/>
    </row>
    <row r="307" spans="1:11">
      <c r="A307" s="536"/>
      <c r="B307" s="564"/>
      <c r="C307" s="565"/>
      <c r="D307" s="538"/>
      <c r="E307" s="538"/>
      <c r="F307" s="566"/>
      <c r="G307" s="567"/>
      <c r="H307" s="539"/>
      <c r="I307" s="539"/>
      <c r="J307" s="539"/>
      <c r="K307" s="539"/>
    </row>
    <row r="308" spans="1:11">
      <c r="A308" s="536"/>
      <c r="B308" s="564"/>
      <c r="C308" s="565"/>
      <c r="D308" s="538"/>
      <c r="E308" s="538"/>
      <c r="F308" s="566"/>
      <c r="G308" s="567"/>
      <c r="H308" s="539"/>
      <c r="I308" s="539"/>
      <c r="J308" s="539"/>
      <c r="K308" s="539"/>
    </row>
    <row r="309" spans="1:11">
      <c r="A309" s="536"/>
      <c r="B309" s="564"/>
      <c r="C309" s="565"/>
      <c r="D309" s="538"/>
      <c r="E309" s="538"/>
      <c r="F309" s="566"/>
      <c r="G309" s="567"/>
      <c r="H309" s="539"/>
      <c r="I309" s="539"/>
      <c r="J309" s="539"/>
      <c r="K309" s="539"/>
    </row>
    <row r="310" spans="1:11">
      <c r="A310" s="536"/>
      <c r="B310" s="564"/>
      <c r="C310" s="565"/>
      <c r="D310" s="538"/>
      <c r="E310" s="538"/>
      <c r="F310" s="566"/>
      <c r="G310" s="567"/>
      <c r="H310" s="539"/>
      <c r="I310" s="539"/>
      <c r="J310" s="539"/>
      <c r="K310" s="539"/>
    </row>
    <row r="311" spans="1:11">
      <c r="A311" s="536"/>
      <c r="B311" s="564"/>
      <c r="C311" s="565"/>
      <c r="D311" s="538"/>
      <c r="E311" s="538"/>
      <c r="F311" s="566"/>
      <c r="G311" s="567"/>
      <c r="H311" s="539"/>
      <c r="I311" s="539"/>
      <c r="J311" s="539"/>
      <c r="K311" s="539"/>
    </row>
    <row r="312" spans="1:11">
      <c r="A312" s="536"/>
      <c r="B312" s="564"/>
      <c r="C312" s="565"/>
      <c r="D312" s="538"/>
      <c r="E312" s="538"/>
      <c r="F312" s="566"/>
      <c r="G312" s="567"/>
      <c r="H312" s="539"/>
      <c r="I312" s="539"/>
      <c r="J312" s="539"/>
      <c r="K312" s="539"/>
    </row>
    <row r="313" spans="1:11">
      <c r="A313" s="536"/>
      <c r="B313" s="564"/>
      <c r="C313" s="565"/>
      <c r="D313" s="538"/>
      <c r="E313" s="538"/>
      <c r="F313" s="566"/>
      <c r="G313" s="567"/>
      <c r="H313" s="539"/>
      <c r="I313" s="539"/>
      <c r="J313" s="539"/>
      <c r="K313" s="539"/>
    </row>
    <row r="314" spans="1:11">
      <c r="A314" s="536"/>
      <c r="B314" s="564"/>
      <c r="C314" s="565"/>
      <c r="D314" s="538"/>
      <c r="E314" s="538"/>
      <c r="F314" s="566"/>
      <c r="G314" s="567"/>
      <c r="H314" s="539"/>
      <c r="I314" s="539"/>
      <c r="J314" s="539"/>
      <c r="K314" s="539"/>
    </row>
    <row r="315" spans="1:11">
      <c r="A315" s="536"/>
      <c r="B315" s="564"/>
      <c r="C315" s="565"/>
      <c r="D315" s="538"/>
      <c r="E315" s="538"/>
      <c r="F315" s="566"/>
      <c r="G315" s="567"/>
      <c r="H315" s="539"/>
      <c r="I315" s="539"/>
      <c r="J315" s="539"/>
      <c r="K315" s="539"/>
    </row>
    <row r="316" spans="1:11">
      <c r="A316" s="536"/>
      <c r="B316" s="564"/>
      <c r="C316" s="565"/>
      <c r="D316" s="538"/>
      <c r="E316" s="538"/>
      <c r="F316" s="566"/>
      <c r="G316" s="567"/>
      <c r="H316" s="539"/>
      <c r="I316" s="539"/>
      <c r="J316" s="539"/>
      <c r="K316" s="539"/>
    </row>
    <row r="317" spans="1:11">
      <c r="A317" s="536"/>
      <c r="B317" s="564"/>
      <c r="C317" s="565"/>
      <c r="D317" s="538"/>
      <c r="E317" s="538"/>
      <c r="F317" s="566"/>
      <c r="G317" s="567"/>
      <c r="H317" s="539"/>
      <c r="I317" s="539"/>
      <c r="J317" s="539"/>
      <c r="K317" s="539"/>
    </row>
    <row r="318" spans="1:11">
      <c r="A318" s="536"/>
      <c r="B318" s="564"/>
      <c r="C318" s="565"/>
      <c r="D318" s="538"/>
      <c r="E318" s="538"/>
      <c r="F318" s="566"/>
      <c r="G318" s="567"/>
      <c r="H318" s="539"/>
      <c r="I318" s="539"/>
      <c r="J318" s="539"/>
      <c r="K318" s="539"/>
    </row>
    <row r="319" spans="1:11">
      <c r="A319" s="536"/>
      <c r="B319" s="564"/>
      <c r="C319" s="565"/>
      <c r="D319" s="538"/>
      <c r="E319" s="538"/>
      <c r="F319" s="566"/>
      <c r="G319" s="567"/>
      <c r="H319" s="539"/>
      <c r="I319" s="539"/>
      <c r="J319" s="539"/>
      <c r="K319" s="539"/>
    </row>
    <row r="320" spans="1:11">
      <c r="A320" s="536"/>
      <c r="B320" s="573"/>
      <c r="C320" s="574"/>
      <c r="D320" s="543"/>
      <c r="E320" s="543"/>
      <c r="F320" s="575"/>
      <c r="G320" s="576"/>
      <c r="H320" s="539"/>
      <c r="I320" s="539"/>
      <c r="J320" s="539"/>
      <c r="K320" s="539"/>
    </row>
    <row r="321" spans="1:11">
      <c r="A321" s="536"/>
      <c r="B321" s="564"/>
      <c r="C321" s="565"/>
      <c r="D321" s="538"/>
      <c r="E321" s="538"/>
      <c r="F321" s="566"/>
      <c r="G321" s="567"/>
      <c r="H321" s="539"/>
      <c r="I321" s="539"/>
      <c r="J321" s="539"/>
      <c r="K321" s="539"/>
    </row>
    <row r="322" spans="1:11">
      <c r="A322" s="536"/>
      <c r="B322" s="573"/>
      <c r="C322" s="574"/>
      <c r="D322" s="543"/>
      <c r="E322" s="543"/>
      <c r="F322" s="575"/>
      <c r="G322" s="576"/>
      <c r="H322" s="539"/>
      <c r="I322" s="539"/>
      <c r="J322" s="539"/>
      <c r="K322" s="539"/>
    </row>
    <row r="323" spans="1:11">
      <c r="A323" s="536"/>
      <c r="B323" s="564"/>
      <c r="C323" s="565"/>
      <c r="D323" s="538"/>
      <c r="E323" s="538"/>
      <c r="F323" s="566"/>
      <c r="G323" s="567"/>
      <c r="H323" s="539"/>
      <c r="I323" s="539"/>
      <c r="J323" s="539"/>
      <c r="K323" s="539"/>
    </row>
    <row r="324" spans="1:11">
      <c r="A324" s="536"/>
      <c r="B324" s="573"/>
      <c r="C324" s="574"/>
      <c r="D324" s="543"/>
      <c r="E324" s="543"/>
      <c r="F324" s="575"/>
      <c r="G324" s="576"/>
      <c r="H324" s="539"/>
      <c r="I324" s="539"/>
      <c r="J324" s="539"/>
      <c r="K324" s="539"/>
    </row>
    <row r="325" spans="1:11">
      <c r="A325" s="536"/>
      <c r="B325" s="564"/>
      <c r="C325" s="565"/>
      <c r="D325" s="538"/>
      <c r="E325" s="538"/>
      <c r="F325" s="566"/>
      <c r="G325" s="567"/>
      <c r="H325" s="539"/>
      <c r="I325" s="539"/>
      <c r="J325" s="539"/>
      <c r="K325" s="539"/>
    </row>
    <row r="326" spans="1:11">
      <c r="A326" s="536"/>
      <c r="B326" s="573"/>
      <c r="C326" s="574"/>
      <c r="D326" s="543"/>
      <c r="E326" s="543"/>
      <c r="F326" s="575"/>
      <c r="G326" s="576"/>
      <c r="H326" s="539"/>
      <c r="I326" s="539"/>
      <c r="J326" s="539"/>
      <c r="K326" s="539"/>
    </row>
    <row r="327" spans="1:11">
      <c r="A327" s="536"/>
      <c r="B327" s="564"/>
      <c r="C327" s="565"/>
      <c r="D327" s="538"/>
      <c r="E327" s="538"/>
      <c r="F327" s="566"/>
      <c r="G327" s="567"/>
      <c r="H327" s="539"/>
      <c r="I327" s="539"/>
      <c r="J327" s="539"/>
      <c r="K327" s="539"/>
    </row>
    <row r="328" spans="1:11">
      <c r="A328" s="536"/>
      <c r="B328" s="573"/>
      <c r="C328" s="574"/>
      <c r="D328" s="543"/>
      <c r="E328" s="543"/>
      <c r="F328" s="575"/>
      <c r="G328" s="576"/>
      <c r="H328" s="539"/>
      <c r="I328" s="539"/>
      <c r="J328" s="539"/>
      <c r="K328" s="539"/>
    </row>
    <row r="329" spans="1:11">
      <c r="A329" s="536"/>
      <c r="B329" s="564"/>
      <c r="C329" s="565"/>
      <c r="D329" s="538"/>
      <c r="E329" s="538"/>
      <c r="F329" s="566"/>
      <c r="G329" s="567"/>
      <c r="H329" s="539"/>
      <c r="I329" s="539"/>
      <c r="J329" s="539"/>
      <c r="K329" s="539"/>
    </row>
    <row r="330" spans="1:11">
      <c r="A330" s="536"/>
      <c r="B330" s="573"/>
      <c r="C330" s="574"/>
      <c r="D330" s="543"/>
      <c r="E330" s="543"/>
      <c r="F330" s="575"/>
      <c r="G330" s="576"/>
      <c r="H330" s="539"/>
      <c r="I330" s="539"/>
      <c r="J330" s="539"/>
      <c r="K330" s="539"/>
    </row>
    <row r="331" spans="1:11">
      <c r="A331" s="536"/>
      <c r="B331" s="564"/>
      <c r="C331" s="565"/>
      <c r="D331" s="538"/>
      <c r="E331" s="538"/>
      <c r="F331" s="566"/>
      <c r="G331" s="567"/>
      <c r="H331" s="539"/>
      <c r="I331" s="539"/>
      <c r="J331" s="539"/>
      <c r="K331" s="539"/>
    </row>
    <row r="332" spans="1:11">
      <c r="A332" s="536"/>
      <c r="B332" s="573"/>
      <c r="C332" s="574"/>
      <c r="D332" s="543"/>
      <c r="E332" s="543"/>
      <c r="F332" s="575"/>
      <c r="G332" s="576"/>
      <c r="H332" s="539"/>
      <c r="I332" s="539"/>
      <c r="J332" s="539"/>
      <c r="K332" s="539"/>
    </row>
    <row r="333" spans="1:11">
      <c r="A333" s="536"/>
      <c r="B333" s="564"/>
      <c r="C333" s="565"/>
      <c r="D333" s="538"/>
      <c r="E333" s="538"/>
      <c r="F333" s="566"/>
      <c r="G333" s="567"/>
      <c r="H333" s="539"/>
      <c r="I333" s="539"/>
      <c r="J333" s="539"/>
      <c r="K333" s="539"/>
    </row>
    <row r="334" spans="1:11">
      <c r="A334" s="536"/>
      <c r="B334" s="564"/>
      <c r="C334" s="565"/>
      <c r="D334" s="538"/>
      <c r="E334" s="538"/>
      <c r="F334" s="566"/>
      <c r="G334" s="567"/>
      <c r="H334" s="539"/>
      <c r="I334" s="539"/>
      <c r="J334" s="539"/>
      <c r="K334" s="539"/>
    </row>
    <row r="335" spans="1:11">
      <c r="A335" s="536"/>
      <c r="B335" s="564"/>
      <c r="C335" s="565"/>
      <c r="D335" s="538"/>
      <c r="E335" s="538"/>
      <c r="F335" s="566"/>
      <c r="G335" s="567"/>
      <c r="H335" s="539"/>
      <c r="I335" s="539"/>
      <c r="J335" s="539"/>
      <c r="K335" s="539"/>
    </row>
    <row r="336" spans="1:11">
      <c r="A336" s="536"/>
      <c r="B336" s="564"/>
      <c r="C336" s="565"/>
      <c r="D336" s="538"/>
      <c r="E336" s="538"/>
      <c r="F336" s="566"/>
      <c r="G336" s="567"/>
      <c r="H336" s="539"/>
      <c r="I336" s="539"/>
      <c r="J336" s="539"/>
      <c r="K336" s="539"/>
    </row>
    <row r="337" spans="1:11">
      <c r="A337" s="536"/>
      <c r="B337" s="564"/>
      <c r="C337" s="565"/>
      <c r="D337" s="538"/>
      <c r="E337" s="538"/>
      <c r="F337" s="566"/>
      <c r="G337" s="567"/>
      <c r="H337" s="539"/>
      <c r="I337" s="539"/>
      <c r="J337" s="539"/>
      <c r="K337" s="539"/>
    </row>
    <row r="338" spans="1:11">
      <c r="A338" s="545"/>
      <c r="B338" s="579"/>
      <c r="C338" s="580"/>
      <c r="D338" s="546"/>
      <c r="E338" s="546"/>
      <c r="F338" s="581"/>
      <c r="G338" s="582"/>
      <c r="H338" s="547"/>
      <c r="I338" s="547"/>
      <c r="J338" s="547"/>
      <c r="K338" s="547"/>
    </row>
    <row r="339" spans="1:11">
      <c r="A339" s="548" t="s">
        <v>148</v>
      </c>
      <c r="B339" s="583"/>
      <c r="C339" s="584"/>
      <c r="D339" s="585"/>
      <c r="E339" s="585"/>
      <c r="F339" s="586" t="s">
        <v>231</v>
      </c>
      <c r="G339" s="587"/>
      <c r="H339" s="588" t="s">
        <v>204</v>
      </c>
      <c r="I339" s="549">
        <f>SUM(I285:I338)</f>
        <v>0</v>
      </c>
      <c r="J339" s="588"/>
      <c r="K339" s="549">
        <f>SUM(K285:K338)</f>
        <v>0</v>
      </c>
    </row>
    <row r="340" spans="1:11">
      <c r="A340" s="530" t="s">
        <v>143</v>
      </c>
      <c r="B340" s="556" t="s">
        <v>188</v>
      </c>
      <c r="C340" s="819" t="s">
        <v>189</v>
      </c>
      <c r="D340" s="820"/>
      <c r="E340" s="820"/>
      <c r="F340" s="821"/>
      <c r="G340" s="557" t="s">
        <v>190</v>
      </c>
      <c r="H340" s="532" t="s">
        <v>191</v>
      </c>
      <c r="I340" s="532" t="s">
        <v>156</v>
      </c>
      <c r="J340" s="592" t="s">
        <v>265</v>
      </c>
      <c r="K340" s="592" t="s">
        <v>267</v>
      </c>
    </row>
    <row r="341" spans="1:11">
      <c r="A341" s="274"/>
      <c r="B341" s="559"/>
      <c r="C341" s="560" t="s">
        <v>175</v>
      </c>
      <c r="D341" s="561" t="s">
        <v>171</v>
      </c>
      <c r="E341" s="561" t="s">
        <v>176</v>
      </c>
      <c r="F341" s="562" t="s">
        <v>177</v>
      </c>
      <c r="G341" s="563"/>
      <c r="H341" s="534" t="s">
        <v>232</v>
      </c>
      <c r="I341" s="534" t="s">
        <v>232</v>
      </c>
      <c r="J341" s="593" t="s">
        <v>266</v>
      </c>
      <c r="K341" s="593" t="s">
        <v>266</v>
      </c>
    </row>
    <row r="342" spans="1:11">
      <c r="A342" s="536"/>
      <c r="B342" s="564"/>
      <c r="C342" s="565"/>
      <c r="D342" s="538"/>
      <c r="E342" s="538"/>
      <c r="F342" s="566"/>
      <c r="G342" s="567"/>
      <c r="H342" s="539"/>
      <c r="I342" s="539"/>
      <c r="J342" s="539"/>
      <c r="K342" s="539"/>
    </row>
    <row r="343" spans="1:11">
      <c r="A343" s="536"/>
      <c r="B343" s="564"/>
      <c r="C343" s="565"/>
      <c r="D343" s="538"/>
      <c r="E343" s="538"/>
      <c r="F343" s="566"/>
      <c r="G343" s="567"/>
      <c r="H343" s="539"/>
      <c r="I343" s="539"/>
      <c r="J343" s="539"/>
      <c r="K343" s="539"/>
    </row>
    <row r="344" spans="1:11">
      <c r="A344" s="536"/>
      <c r="B344" s="569"/>
      <c r="C344" s="570"/>
      <c r="D344" s="571"/>
      <c r="E344" s="571"/>
      <c r="F344" s="572"/>
      <c r="G344" s="567"/>
      <c r="H344" s="539"/>
      <c r="I344" s="539"/>
      <c r="J344" s="539"/>
      <c r="K344" s="539"/>
    </row>
    <row r="345" spans="1:11">
      <c r="A345" s="536"/>
      <c r="B345" s="564"/>
      <c r="C345" s="565"/>
      <c r="D345" s="538"/>
      <c r="E345" s="538"/>
      <c r="F345" s="566"/>
      <c r="G345" s="567"/>
      <c r="H345" s="539"/>
      <c r="I345" s="539"/>
      <c r="J345" s="539"/>
      <c r="K345" s="539"/>
    </row>
    <row r="346" spans="1:11">
      <c r="A346" s="536"/>
      <c r="B346" s="573"/>
      <c r="C346" s="574"/>
      <c r="D346" s="543"/>
      <c r="E346" s="543"/>
      <c r="F346" s="575"/>
      <c r="G346" s="576"/>
      <c r="H346" s="539"/>
      <c r="I346" s="539"/>
      <c r="J346" s="539"/>
      <c r="K346" s="539"/>
    </row>
    <row r="347" spans="1:11">
      <c r="A347" s="536"/>
      <c r="B347" s="564"/>
      <c r="C347" s="565"/>
      <c r="D347" s="538"/>
      <c r="E347" s="538"/>
      <c r="F347" s="566"/>
      <c r="G347" s="567"/>
      <c r="H347" s="539"/>
      <c r="I347" s="539"/>
      <c r="J347" s="539"/>
      <c r="K347" s="539"/>
    </row>
    <row r="348" spans="1:11">
      <c r="A348" s="536"/>
      <c r="B348" s="573"/>
      <c r="C348" s="574"/>
      <c r="D348" s="543"/>
      <c r="E348" s="543"/>
      <c r="F348" s="575"/>
      <c r="G348" s="576"/>
      <c r="H348" s="539"/>
      <c r="I348" s="539"/>
      <c r="J348" s="539"/>
      <c r="K348" s="539"/>
    </row>
    <row r="349" spans="1:11">
      <c r="A349" s="536"/>
      <c r="B349" s="564"/>
      <c r="C349" s="565"/>
      <c r="D349" s="538"/>
      <c r="E349" s="538"/>
      <c r="F349" s="566"/>
      <c r="G349" s="567"/>
      <c r="H349" s="539"/>
      <c r="I349" s="539"/>
      <c r="J349" s="539"/>
      <c r="K349" s="539"/>
    </row>
    <row r="350" spans="1:11">
      <c r="A350" s="536"/>
      <c r="B350" s="573"/>
      <c r="C350" s="574"/>
      <c r="D350" s="543"/>
      <c r="E350" s="543"/>
      <c r="F350" s="575"/>
      <c r="G350" s="576"/>
      <c r="H350" s="539"/>
      <c r="I350" s="539"/>
      <c r="J350" s="539"/>
      <c r="K350" s="539"/>
    </row>
    <row r="351" spans="1:11">
      <c r="A351" s="536"/>
      <c r="B351" s="564"/>
      <c r="C351" s="565"/>
      <c r="D351" s="538"/>
      <c r="E351" s="538"/>
      <c r="F351" s="566"/>
      <c r="G351" s="567"/>
      <c r="H351" s="539"/>
      <c r="I351" s="539"/>
      <c r="J351" s="539"/>
      <c r="K351" s="539"/>
    </row>
    <row r="352" spans="1:11">
      <c r="A352" s="536"/>
      <c r="B352" s="573"/>
      <c r="C352" s="574"/>
      <c r="D352" s="543"/>
      <c r="E352" s="543"/>
      <c r="F352" s="575"/>
      <c r="G352" s="576"/>
      <c r="H352" s="539"/>
      <c r="I352" s="539"/>
      <c r="J352" s="539"/>
      <c r="K352" s="539"/>
    </row>
    <row r="353" spans="1:11">
      <c r="A353" s="536"/>
      <c r="B353" s="564"/>
      <c r="C353" s="565"/>
      <c r="D353" s="538"/>
      <c r="E353" s="538"/>
      <c r="F353" s="566"/>
      <c r="G353" s="567"/>
      <c r="H353" s="539"/>
      <c r="I353" s="539"/>
      <c r="J353" s="539"/>
      <c r="K353" s="539"/>
    </row>
    <row r="354" spans="1:11">
      <c r="A354" s="536"/>
      <c r="B354" s="573"/>
      <c r="C354" s="574"/>
      <c r="D354" s="543"/>
      <c r="E354" s="543"/>
      <c r="F354" s="575"/>
      <c r="G354" s="576"/>
      <c r="H354" s="539"/>
      <c r="I354" s="539"/>
      <c r="J354" s="539"/>
      <c r="K354" s="539"/>
    </row>
    <row r="355" spans="1:11">
      <c r="A355" s="536"/>
      <c r="B355" s="564"/>
      <c r="C355" s="565"/>
      <c r="D355" s="538"/>
      <c r="E355" s="538"/>
      <c r="F355" s="566"/>
      <c r="G355" s="567"/>
      <c r="H355" s="539"/>
      <c r="I355" s="539"/>
      <c r="J355" s="539"/>
      <c r="K355" s="539"/>
    </row>
    <row r="356" spans="1:11">
      <c r="A356" s="536"/>
      <c r="B356" s="573"/>
      <c r="C356" s="574"/>
      <c r="D356" s="543"/>
      <c r="E356" s="543"/>
      <c r="F356" s="575"/>
      <c r="G356" s="576"/>
      <c r="H356" s="539"/>
      <c r="I356" s="539"/>
      <c r="J356" s="539"/>
      <c r="K356" s="539"/>
    </row>
    <row r="357" spans="1:11">
      <c r="A357" s="536"/>
      <c r="B357" s="564"/>
      <c r="C357" s="565"/>
      <c r="D357" s="538"/>
      <c r="E357" s="538"/>
      <c r="F357" s="566"/>
      <c r="G357" s="567"/>
      <c r="H357" s="539"/>
      <c r="I357" s="539"/>
      <c r="J357" s="539"/>
      <c r="K357" s="539"/>
    </row>
    <row r="358" spans="1:11">
      <c r="A358" s="536"/>
      <c r="B358" s="573"/>
      <c r="C358" s="574"/>
      <c r="D358" s="543"/>
      <c r="E358" s="543"/>
      <c r="F358" s="575"/>
      <c r="G358" s="576"/>
      <c r="H358" s="539"/>
      <c r="I358" s="539"/>
      <c r="J358" s="539"/>
      <c r="K358" s="539"/>
    </row>
    <row r="359" spans="1:11">
      <c r="A359" s="536"/>
      <c r="B359" s="564"/>
      <c r="C359" s="565"/>
      <c r="D359" s="538"/>
      <c r="E359" s="538"/>
      <c r="F359" s="566"/>
      <c r="G359" s="567"/>
      <c r="H359" s="539"/>
      <c r="I359" s="539"/>
      <c r="J359" s="539"/>
      <c r="K359" s="539"/>
    </row>
    <row r="360" spans="1:11">
      <c r="A360" s="536"/>
      <c r="B360" s="573"/>
      <c r="C360" s="574"/>
      <c r="D360" s="543"/>
      <c r="E360" s="543"/>
      <c r="F360" s="575"/>
      <c r="G360" s="576"/>
      <c r="H360" s="539"/>
      <c r="I360" s="539"/>
      <c r="J360" s="539"/>
      <c r="K360" s="539"/>
    </row>
    <row r="361" spans="1:11">
      <c r="A361" s="536"/>
      <c r="B361" s="564"/>
      <c r="C361" s="565"/>
      <c r="D361" s="538"/>
      <c r="E361" s="538"/>
      <c r="F361" s="566"/>
      <c r="G361" s="567"/>
      <c r="H361" s="539"/>
      <c r="I361" s="539"/>
      <c r="J361" s="539"/>
      <c r="K361" s="539"/>
    </row>
    <row r="362" spans="1:11">
      <c r="A362" s="536"/>
      <c r="B362" s="573"/>
      <c r="C362" s="574"/>
      <c r="D362" s="543"/>
      <c r="E362" s="543"/>
      <c r="F362" s="575"/>
      <c r="G362" s="576"/>
      <c r="H362" s="539"/>
      <c r="I362" s="539"/>
      <c r="J362" s="539"/>
      <c r="K362" s="539"/>
    </row>
    <row r="363" spans="1:11">
      <c r="A363" s="536"/>
      <c r="B363" s="564"/>
      <c r="C363" s="565"/>
      <c r="D363" s="538"/>
      <c r="E363" s="538"/>
      <c r="F363" s="566"/>
      <c r="G363" s="567"/>
      <c r="H363" s="539"/>
      <c r="I363" s="539"/>
      <c r="J363" s="539"/>
      <c r="K363" s="539"/>
    </row>
    <row r="364" spans="1:11">
      <c r="A364" s="536"/>
      <c r="B364" s="573"/>
      <c r="C364" s="574"/>
      <c r="D364" s="543"/>
      <c r="E364" s="543"/>
      <c r="F364" s="575"/>
      <c r="G364" s="576"/>
      <c r="H364" s="539"/>
      <c r="I364" s="539"/>
      <c r="J364" s="539"/>
      <c r="K364" s="539"/>
    </row>
    <row r="365" spans="1:11">
      <c r="A365" s="536"/>
      <c r="B365" s="564"/>
      <c r="C365" s="565"/>
      <c r="D365" s="538"/>
      <c r="E365" s="538"/>
      <c r="F365" s="566"/>
      <c r="G365" s="567"/>
      <c r="H365" s="539"/>
      <c r="I365" s="539"/>
      <c r="J365" s="539"/>
      <c r="K365" s="539"/>
    </row>
    <row r="366" spans="1:11">
      <c r="A366" s="536"/>
      <c r="B366" s="573"/>
      <c r="C366" s="574"/>
      <c r="D366" s="543"/>
      <c r="E366" s="543"/>
      <c r="F366" s="575"/>
      <c r="G366" s="576"/>
      <c r="H366" s="539"/>
      <c r="I366" s="539"/>
      <c r="J366" s="539"/>
      <c r="K366" s="539"/>
    </row>
    <row r="367" spans="1:11">
      <c r="A367" s="536"/>
      <c r="B367" s="573"/>
      <c r="C367" s="574"/>
      <c r="D367" s="543"/>
      <c r="E367" s="543"/>
      <c r="F367" s="575"/>
      <c r="G367" s="576"/>
      <c r="H367" s="539"/>
      <c r="I367" s="539"/>
      <c r="J367" s="539"/>
      <c r="K367" s="539"/>
    </row>
    <row r="368" spans="1:11">
      <c r="A368" s="536"/>
      <c r="B368" s="573"/>
      <c r="C368" s="574"/>
      <c r="D368" s="543"/>
      <c r="E368" s="543"/>
      <c r="F368" s="575"/>
      <c r="G368" s="576"/>
      <c r="H368" s="539"/>
      <c r="I368" s="539"/>
      <c r="J368" s="539"/>
      <c r="K368" s="539"/>
    </row>
    <row r="369" spans="1:11">
      <c r="A369" s="536"/>
      <c r="B369" s="573"/>
      <c r="C369" s="574"/>
      <c r="D369" s="543"/>
      <c r="E369" s="543"/>
      <c r="F369" s="575"/>
      <c r="G369" s="576"/>
      <c r="H369" s="539"/>
      <c r="I369" s="539"/>
      <c r="J369" s="539"/>
      <c r="K369" s="539"/>
    </row>
    <row r="370" spans="1:11">
      <c r="A370" s="536"/>
      <c r="B370" s="573"/>
      <c r="C370" s="574"/>
      <c r="D370" s="543"/>
      <c r="E370" s="543"/>
      <c r="F370" s="575"/>
      <c r="G370" s="576"/>
      <c r="H370" s="539"/>
      <c r="I370" s="539"/>
      <c r="J370" s="539"/>
      <c r="K370" s="539"/>
    </row>
    <row r="371" spans="1:11">
      <c r="A371" s="536"/>
      <c r="B371" s="573"/>
      <c r="C371" s="574"/>
      <c r="D371" s="543"/>
      <c r="E371" s="543"/>
      <c r="F371" s="575"/>
      <c r="G371" s="576"/>
      <c r="H371" s="539"/>
      <c r="I371" s="539"/>
      <c r="J371" s="539"/>
      <c r="K371" s="539"/>
    </row>
    <row r="372" spans="1:11">
      <c r="A372" s="536"/>
      <c r="B372" s="573"/>
      <c r="C372" s="574"/>
      <c r="D372" s="543"/>
      <c r="E372" s="543"/>
      <c r="F372" s="575"/>
      <c r="G372" s="576"/>
      <c r="H372" s="539"/>
      <c r="I372" s="539"/>
      <c r="J372" s="539"/>
      <c r="K372" s="539"/>
    </row>
    <row r="373" spans="1:11">
      <c r="A373" s="536"/>
      <c r="B373" s="573"/>
      <c r="C373" s="574"/>
      <c r="D373" s="543"/>
      <c r="E373" s="543"/>
      <c r="F373" s="575"/>
      <c r="G373" s="576"/>
      <c r="H373" s="539"/>
      <c r="I373" s="539"/>
      <c r="J373" s="539"/>
      <c r="K373" s="539"/>
    </row>
    <row r="374" spans="1:11">
      <c r="A374" s="536"/>
      <c r="B374" s="573"/>
      <c r="C374" s="574"/>
      <c r="D374" s="543"/>
      <c r="E374" s="543"/>
      <c r="F374" s="575"/>
      <c r="G374" s="576"/>
      <c r="H374" s="539"/>
      <c r="I374" s="539"/>
      <c r="J374" s="539"/>
      <c r="K374" s="539"/>
    </row>
    <row r="375" spans="1:11">
      <c r="A375" s="536"/>
      <c r="B375" s="573"/>
      <c r="C375" s="574"/>
      <c r="D375" s="543"/>
      <c r="E375" s="543"/>
      <c r="F375" s="575"/>
      <c r="G375" s="576"/>
      <c r="H375" s="539"/>
      <c r="I375" s="539"/>
      <c r="J375" s="539"/>
      <c r="K375" s="539"/>
    </row>
    <row r="376" spans="1:11">
      <c r="A376" s="536"/>
      <c r="B376" s="573"/>
      <c r="C376" s="574"/>
      <c r="D376" s="543"/>
      <c r="E376" s="543"/>
      <c r="F376" s="575"/>
      <c r="G376" s="576"/>
      <c r="H376" s="539"/>
      <c r="I376" s="539"/>
      <c r="J376" s="539"/>
      <c r="K376" s="539"/>
    </row>
    <row r="377" spans="1:11">
      <c r="A377" s="536"/>
      <c r="B377" s="573"/>
      <c r="C377" s="574"/>
      <c r="D377" s="543"/>
      <c r="E377" s="543"/>
      <c r="F377" s="575"/>
      <c r="G377" s="576"/>
      <c r="H377" s="539"/>
      <c r="I377" s="539"/>
      <c r="J377" s="539"/>
      <c r="K377" s="539"/>
    </row>
    <row r="378" spans="1:11">
      <c r="A378" s="536"/>
      <c r="B378" s="573"/>
      <c r="C378" s="574"/>
      <c r="D378" s="543"/>
      <c r="E378" s="543"/>
      <c r="F378" s="575"/>
      <c r="G378" s="576"/>
      <c r="H378" s="539"/>
      <c r="I378" s="539"/>
      <c r="J378" s="539"/>
      <c r="K378" s="539"/>
    </row>
    <row r="379" spans="1:11">
      <c r="A379" s="536"/>
      <c r="B379" s="573"/>
      <c r="C379" s="574"/>
      <c r="D379" s="543"/>
      <c r="E379" s="543"/>
      <c r="F379" s="575"/>
      <c r="G379" s="576"/>
      <c r="H379" s="539"/>
      <c r="I379" s="539"/>
      <c r="J379" s="539"/>
      <c r="K379" s="539"/>
    </row>
    <row r="380" spans="1:11">
      <c r="A380" s="536"/>
      <c r="B380" s="573"/>
      <c r="C380" s="574"/>
      <c r="D380" s="543"/>
      <c r="E380" s="543"/>
      <c r="F380" s="575"/>
      <c r="G380" s="576"/>
      <c r="H380" s="539"/>
      <c r="I380" s="539"/>
      <c r="J380" s="539"/>
      <c r="K380" s="539"/>
    </row>
    <row r="381" spans="1:11">
      <c r="A381" s="536"/>
      <c r="B381" s="564"/>
      <c r="C381" s="565"/>
      <c r="D381" s="538"/>
      <c r="E381" s="538"/>
      <c r="F381" s="566"/>
      <c r="G381" s="567"/>
      <c r="H381" s="539"/>
      <c r="I381" s="539"/>
      <c r="J381" s="539"/>
      <c r="K381" s="539"/>
    </row>
    <row r="382" spans="1:11">
      <c r="A382" s="536"/>
      <c r="B382" s="573"/>
      <c r="C382" s="574"/>
      <c r="D382" s="543"/>
      <c r="E382" s="543"/>
      <c r="F382" s="575"/>
      <c r="G382" s="576"/>
      <c r="H382" s="539"/>
      <c r="I382" s="539"/>
      <c r="J382" s="539"/>
      <c r="K382" s="539"/>
    </row>
    <row r="383" spans="1:11">
      <c r="A383" s="536"/>
      <c r="B383" s="564"/>
      <c r="C383" s="565"/>
      <c r="D383" s="538"/>
      <c r="E383" s="538"/>
      <c r="F383" s="566"/>
      <c r="G383" s="567"/>
      <c r="H383" s="539"/>
      <c r="I383" s="539"/>
      <c r="J383" s="539"/>
      <c r="K383" s="539"/>
    </row>
    <row r="384" spans="1:11">
      <c r="A384" s="536"/>
      <c r="B384" s="573"/>
      <c r="C384" s="574"/>
      <c r="D384" s="543"/>
      <c r="E384" s="543"/>
      <c r="F384" s="575"/>
      <c r="G384" s="576"/>
      <c r="H384" s="539"/>
      <c r="I384" s="539"/>
      <c r="J384" s="539"/>
      <c r="K384" s="539"/>
    </row>
    <row r="385" spans="1:11">
      <c r="A385" s="536"/>
      <c r="B385" s="564"/>
      <c r="C385" s="565"/>
      <c r="D385" s="538"/>
      <c r="E385" s="538"/>
      <c r="F385" s="566"/>
      <c r="G385" s="567"/>
      <c r="H385" s="539"/>
      <c r="I385" s="539"/>
      <c r="J385" s="539"/>
      <c r="K385" s="539"/>
    </row>
    <row r="386" spans="1:11">
      <c r="A386" s="536"/>
      <c r="B386" s="573"/>
      <c r="C386" s="574"/>
      <c r="D386" s="543"/>
      <c r="E386" s="543"/>
      <c r="F386" s="575"/>
      <c r="G386" s="576"/>
      <c r="H386" s="539"/>
      <c r="I386" s="539"/>
      <c r="J386" s="539"/>
      <c r="K386" s="539"/>
    </row>
    <row r="387" spans="1:11">
      <c r="A387" s="536"/>
      <c r="B387" s="564"/>
      <c r="C387" s="565"/>
      <c r="D387" s="538"/>
      <c r="E387" s="538"/>
      <c r="F387" s="566"/>
      <c r="G387" s="567"/>
      <c r="H387" s="539"/>
      <c r="I387" s="539"/>
      <c r="J387" s="539"/>
      <c r="K387" s="539"/>
    </row>
    <row r="388" spans="1:11">
      <c r="A388" s="536"/>
      <c r="B388" s="573"/>
      <c r="C388" s="574"/>
      <c r="D388" s="543"/>
      <c r="E388" s="543"/>
      <c r="F388" s="575"/>
      <c r="G388" s="576"/>
      <c r="H388" s="539"/>
      <c r="I388" s="539"/>
      <c r="J388" s="539"/>
      <c r="K388" s="539"/>
    </row>
    <row r="389" spans="1:11">
      <c r="A389" s="536"/>
      <c r="B389" s="564"/>
      <c r="C389" s="565"/>
      <c r="D389" s="538"/>
      <c r="E389" s="538"/>
      <c r="F389" s="566"/>
      <c r="G389" s="567"/>
      <c r="H389" s="539"/>
      <c r="I389" s="539"/>
      <c r="J389" s="539"/>
      <c r="K389" s="539"/>
    </row>
    <row r="390" spans="1:11">
      <c r="A390" s="536"/>
      <c r="B390" s="573"/>
      <c r="C390" s="574"/>
      <c r="D390" s="543"/>
      <c r="E390" s="543"/>
      <c r="F390" s="575"/>
      <c r="G390" s="576"/>
      <c r="H390" s="539"/>
      <c r="I390" s="539"/>
      <c r="J390" s="539"/>
      <c r="K390" s="539"/>
    </row>
    <row r="391" spans="1:11">
      <c r="A391" s="536"/>
      <c r="B391" s="564"/>
      <c r="C391" s="565"/>
      <c r="D391" s="538"/>
      <c r="E391" s="538"/>
      <c r="F391" s="566"/>
      <c r="G391" s="567"/>
      <c r="H391" s="539"/>
      <c r="I391" s="539"/>
      <c r="J391" s="539"/>
      <c r="K391" s="539"/>
    </row>
    <row r="392" spans="1:11">
      <c r="A392" s="536"/>
      <c r="B392" s="564"/>
      <c r="C392" s="565"/>
      <c r="D392" s="538"/>
      <c r="E392" s="538"/>
      <c r="F392" s="566"/>
      <c r="G392" s="567"/>
      <c r="H392" s="539"/>
      <c r="I392" s="539"/>
      <c r="J392" s="539"/>
      <c r="K392" s="539"/>
    </row>
    <row r="393" spans="1:11">
      <c r="A393" s="536"/>
      <c r="B393" s="564"/>
      <c r="C393" s="565"/>
      <c r="D393" s="538"/>
      <c r="E393" s="538"/>
      <c r="F393" s="566"/>
      <c r="G393" s="567"/>
      <c r="H393" s="539"/>
      <c r="I393" s="539"/>
      <c r="J393" s="539"/>
      <c r="K393" s="539"/>
    </row>
    <row r="394" spans="1:11">
      <c r="A394" s="536"/>
      <c r="B394" s="564"/>
      <c r="C394" s="565"/>
      <c r="D394" s="538"/>
      <c r="E394" s="538"/>
      <c r="F394" s="566"/>
      <c r="G394" s="567"/>
      <c r="H394" s="539"/>
      <c r="I394" s="539"/>
      <c r="J394" s="539"/>
      <c r="K394" s="539"/>
    </row>
    <row r="395" spans="1:11">
      <c r="A395" s="545"/>
      <c r="B395" s="579"/>
      <c r="C395" s="580"/>
      <c r="D395" s="546"/>
      <c r="E395" s="546"/>
      <c r="F395" s="581"/>
      <c r="G395" s="582"/>
      <c r="H395" s="547"/>
      <c r="I395" s="547"/>
      <c r="J395" s="547"/>
      <c r="K395" s="547"/>
    </row>
    <row r="396" spans="1:11">
      <c r="A396" s="548" t="s">
        <v>148</v>
      </c>
      <c r="B396" s="583"/>
      <c r="C396" s="584"/>
      <c r="D396" s="585"/>
      <c r="E396" s="585"/>
      <c r="F396" s="586" t="s">
        <v>231</v>
      </c>
      <c r="G396" s="587"/>
      <c r="H396" s="588" t="s">
        <v>204</v>
      </c>
      <c r="I396" s="549">
        <f>SUM(I342:I395)</f>
        <v>0</v>
      </c>
      <c r="J396" s="588"/>
      <c r="K396" s="549">
        <f>SUM(K342:K395)</f>
        <v>0</v>
      </c>
    </row>
    <row r="397" spans="1:11">
      <c r="A397" s="530" t="s">
        <v>143</v>
      </c>
      <c r="B397" s="556" t="s">
        <v>188</v>
      </c>
      <c r="C397" s="819" t="s">
        <v>189</v>
      </c>
      <c r="D397" s="820"/>
      <c r="E397" s="820"/>
      <c r="F397" s="821"/>
      <c r="G397" s="557" t="s">
        <v>190</v>
      </c>
      <c r="H397" s="532" t="s">
        <v>191</v>
      </c>
      <c r="I397" s="532" t="s">
        <v>156</v>
      </c>
      <c r="J397" s="592" t="s">
        <v>265</v>
      </c>
      <c r="K397" s="592" t="s">
        <v>267</v>
      </c>
    </row>
    <row r="398" spans="1:11">
      <c r="A398" s="274"/>
      <c r="B398" s="559"/>
      <c r="C398" s="560" t="s">
        <v>175</v>
      </c>
      <c r="D398" s="561" t="s">
        <v>171</v>
      </c>
      <c r="E398" s="561" t="s">
        <v>176</v>
      </c>
      <c r="F398" s="562" t="s">
        <v>177</v>
      </c>
      <c r="G398" s="563"/>
      <c r="H398" s="534" t="s">
        <v>232</v>
      </c>
      <c r="I398" s="534" t="s">
        <v>232</v>
      </c>
      <c r="J398" s="593" t="s">
        <v>266</v>
      </c>
      <c r="K398" s="593" t="s">
        <v>266</v>
      </c>
    </row>
    <row r="399" spans="1:11">
      <c r="A399" s="536"/>
      <c r="B399" s="564"/>
      <c r="C399" s="565"/>
      <c r="D399" s="538"/>
      <c r="E399" s="538"/>
      <c r="F399" s="566"/>
      <c r="G399" s="567"/>
      <c r="H399" s="539"/>
      <c r="I399" s="539"/>
      <c r="J399" s="539"/>
      <c r="K399" s="539"/>
    </row>
    <row r="400" spans="1:11">
      <c r="A400" s="536"/>
      <c r="B400" s="564"/>
      <c r="C400" s="565"/>
      <c r="D400" s="538"/>
      <c r="E400" s="538"/>
      <c r="F400" s="566"/>
      <c r="G400" s="567"/>
      <c r="H400" s="539"/>
      <c r="I400" s="539"/>
      <c r="J400" s="539"/>
      <c r="K400" s="539"/>
    </row>
    <row r="401" spans="1:11">
      <c r="A401" s="536"/>
      <c r="B401" s="569"/>
      <c r="C401" s="570"/>
      <c r="D401" s="571"/>
      <c r="E401" s="571"/>
      <c r="F401" s="572"/>
      <c r="G401" s="567"/>
      <c r="H401" s="539"/>
      <c r="I401" s="539"/>
      <c r="J401" s="539"/>
      <c r="K401" s="539"/>
    </row>
    <row r="402" spans="1:11">
      <c r="A402" s="536"/>
      <c r="B402" s="564"/>
      <c r="C402" s="565"/>
      <c r="D402" s="538"/>
      <c r="E402" s="538"/>
      <c r="F402" s="566"/>
      <c r="G402" s="567"/>
      <c r="H402" s="539"/>
      <c r="I402" s="539"/>
      <c r="J402" s="539"/>
      <c r="K402" s="539"/>
    </row>
    <row r="403" spans="1:11">
      <c r="A403" s="536"/>
      <c r="B403" s="573"/>
      <c r="C403" s="574"/>
      <c r="D403" s="543"/>
      <c r="E403" s="543"/>
      <c r="F403" s="575"/>
      <c r="G403" s="576"/>
      <c r="H403" s="539"/>
      <c r="I403" s="539"/>
      <c r="J403" s="539"/>
      <c r="K403" s="539"/>
    </row>
    <row r="404" spans="1:11">
      <c r="A404" s="536"/>
      <c r="B404" s="564"/>
      <c r="C404" s="565"/>
      <c r="D404" s="538"/>
      <c r="E404" s="538"/>
      <c r="F404" s="566"/>
      <c r="G404" s="567"/>
      <c r="H404" s="539"/>
      <c r="I404" s="539"/>
      <c r="J404" s="539"/>
      <c r="K404" s="539"/>
    </row>
    <row r="405" spans="1:11">
      <c r="A405" s="536"/>
      <c r="B405" s="573"/>
      <c r="C405" s="574"/>
      <c r="D405" s="543"/>
      <c r="E405" s="543"/>
      <c r="F405" s="575"/>
      <c r="G405" s="576"/>
      <c r="H405" s="539"/>
      <c r="I405" s="539"/>
      <c r="J405" s="539"/>
      <c r="K405" s="539"/>
    </row>
    <row r="406" spans="1:11">
      <c r="A406" s="536"/>
      <c r="B406" s="564"/>
      <c r="C406" s="565"/>
      <c r="D406" s="538"/>
      <c r="E406" s="538"/>
      <c r="F406" s="566"/>
      <c r="G406" s="567"/>
      <c r="H406" s="539"/>
      <c r="I406" s="539"/>
      <c r="J406" s="539"/>
      <c r="K406" s="539"/>
    </row>
    <row r="407" spans="1:11">
      <c r="A407" s="536"/>
      <c r="B407" s="573"/>
      <c r="C407" s="574"/>
      <c r="D407" s="543"/>
      <c r="E407" s="543"/>
      <c r="F407" s="575"/>
      <c r="G407" s="576"/>
      <c r="H407" s="539"/>
      <c r="I407" s="539"/>
      <c r="J407" s="539"/>
      <c r="K407" s="539"/>
    </row>
    <row r="408" spans="1:11">
      <c r="A408" s="536"/>
      <c r="B408" s="564"/>
      <c r="C408" s="565"/>
      <c r="D408" s="538"/>
      <c r="E408" s="538"/>
      <c r="F408" s="566"/>
      <c r="G408" s="567"/>
      <c r="H408" s="539"/>
      <c r="I408" s="539"/>
      <c r="J408" s="539"/>
      <c r="K408" s="539"/>
    </row>
    <row r="409" spans="1:11">
      <c r="A409" s="536"/>
      <c r="B409" s="573"/>
      <c r="C409" s="574"/>
      <c r="D409" s="543"/>
      <c r="E409" s="543"/>
      <c r="F409" s="575"/>
      <c r="G409" s="576"/>
      <c r="H409" s="539"/>
      <c r="I409" s="539"/>
      <c r="J409" s="539"/>
      <c r="K409" s="539"/>
    </row>
    <row r="410" spans="1:11">
      <c r="A410" s="536"/>
      <c r="B410" s="564"/>
      <c r="C410" s="565"/>
      <c r="D410" s="538"/>
      <c r="E410" s="538"/>
      <c r="F410" s="566"/>
      <c r="G410" s="567"/>
      <c r="H410" s="539"/>
      <c r="I410" s="539"/>
      <c r="J410" s="539"/>
      <c r="K410" s="539"/>
    </row>
    <row r="411" spans="1:11">
      <c r="A411" s="536"/>
      <c r="B411" s="573"/>
      <c r="C411" s="574"/>
      <c r="D411" s="543"/>
      <c r="E411" s="543"/>
      <c r="F411" s="575"/>
      <c r="G411" s="576"/>
      <c r="H411" s="539"/>
      <c r="I411" s="539"/>
      <c r="J411" s="539"/>
      <c r="K411" s="539"/>
    </row>
    <row r="412" spans="1:11">
      <c r="A412" s="536"/>
      <c r="B412" s="564"/>
      <c r="C412" s="565"/>
      <c r="D412" s="538"/>
      <c r="E412" s="538"/>
      <c r="F412" s="566"/>
      <c r="G412" s="567"/>
      <c r="H412" s="539"/>
      <c r="I412" s="539"/>
      <c r="J412" s="539"/>
      <c r="K412" s="539"/>
    </row>
    <row r="413" spans="1:11">
      <c r="A413" s="536"/>
      <c r="B413" s="573"/>
      <c r="C413" s="574"/>
      <c r="D413" s="543"/>
      <c r="E413" s="543"/>
      <c r="F413" s="575"/>
      <c r="G413" s="576"/>
      <c r="H413" s="539"/>
      <c r="I413" s="539"/>
      <c r="J413" s="539"/>
      <c r="K413" s="539"/>
    </row>
    <row r="414" spans="1:11">
      <c r="A414" s="536"/>
      <c r="B414" s="564"/>
      <c r="C414" s="565"/>
      <c r="D414" s="538"/>
      <c r="E414" s="538"/>
      <c r="F414" s="566"/>
      <c r="G414" s="567"/>
      <c r="H414" s="539"/>
      <c r="I414" s="539"/>
      <c r="J414" s="539"/>
      <c r="K414" s="539"/>
    </row>
    <row r="415" spans="1:11">
      <c r="A415" s="536"/>
      <c r="B415" s="573"/>
      <c r="C415" s="574"/>
      <c r="D415" s="543"/>
      <c r="E415" s="543"/>
      <c r="F415" s="575"/>
      <c r="G415" s="576"/>
      <c r="H415" s="539"/>
      <c r="I415" s="539"/>
      <c r="J415" s="539"/>
      <c r="K415" s="539"/>
    </row>
    <row r="416" spans="1:11">
      <c r="A416" s="536"/>
      <c r="B416" s="564"/>
      <c r="C416" s="565"/>
      <c r="D416" s="538"/>
      <c r="E416" s="538"/>
      <c r="F416" s="566"/>
      <c r="G416" s="567"/>
      <c r="H416" s="539"/>
      <c r="I416" s="539"/>
      <c r="J416" s="539"/>
      <c r="K416" s="539"/>
    </row>
    <row r="417" spans="1:11">
      <c r="A417" s="536"/>
      <c r="B417" s="573"/>
      <c r="C417" s="574"/>
      <c r="D417" s="543"/>
      <c r="E417" s="543"/>
      <c r="F417" s="575"/>
      <c r="G417" s="576"/>
      <c r="H417" s="539"/>
      <c r="I417" s="539"/>
      <c r="J417" s="539"/>
      <c r="K417" s="539"/>
    </row>
    <row r="418" spans="1:11">
      <c r="A418" s="536"/>
      <c r="B418" s="564"/>
      <c r="C418" s="565"/>
      <c r="D418" s="538"/>
      <c r="E418" s="538"/>
      <c r="F418" s="566"/>
      <c r="G418" s="567"/>
      <c r="H418" s="539"/>
      <c r="I418" s="539"/>
      <c r="J418" s="539"/>
      <c r="K418" s="539"/>
    </row>
    <row r="419" spans="1:11">
      <c r="A419" s="536"/>
      <c r="B419" s="573"/>
      <c r="C419" s="574"/>
      <c r="D419" s="543"/>
      <c r="E419" s="543"/>
      <c r="F419" s="575"/>
      <c r="G419" s="576"/>
      <c r="H419" s="539"/>
      <c r="I419" s="539"/>
      <c r="J419" s="539"/>
      <c r="K419" s="539"/>
    </row>
    <row r="420" spans="1:11">
      <c r="A420" s="536"/>
      <c r="B420" s="564"/>
      <c r="C420" s="565"/>
      <c r="D420" s="538"/>
      <c r="E420" s="538"/>
      <c r="F420" s="566"/>
      <c r="G420" s="567"/>
      <c r="H420" s="539"/>
      <c r="I420" s="539"/>
      <c r="J420" s="539"/>
      <c r="K420" s="539"/>
    </row>
    <row r="421" spans="1:11">
      <c r="A421" s="536"/>
      <c r="B421" s="573"/>
      <c r="C421" s="574"/>
      <c r="D421" s="543"/>
      <c r="E421" s="543"/>
      <c r="F421" s="575"/>
      <c r="G421" s="576"/>
      <c r="H421" s="539"/>
      <c r="I421" s="539"/>
      <c r="J421" s="539"/>
      <c r="K421" s="539"/>
    </row>
    <row r="422" spans="1:11">
      <c r="A422" s="536"/>
      <c r="B422" s="564"/>
      <c r="C422" s="565"/>
      <c r="D422" s="538"/>
      <c r="E422" s="538"/>
      <c r="F422" s="566"/>
      <c r="G422" s="567"/>
      <c r="H422" s="539"/>
      <c r="I422" s="539"/>
      <c r="J422" s="539"/>
      <c r="K422" s="539"/>
    </row>
    <row r="423" spans="1:11">
      <c r="A423" s="536"/>
      <c r="B423" s="573"/>
      <c r="C423" s="574"/>
      <c r="D423" s="543"/>
      <c r="E423" s="543"/>
      <c r="F423" s="575"/>
      <c r="G423" s="576"/>
      <c r="H423" s="539"/>
      <c r="I423" s="539"/>
      <c r="J423" s="539"/>
      <c r="K423" s="539"/>
    </row>
    <row r="424" spans="1:11">
      <c r="A424" s="536"/>
      <c r="B424" s="573"/>
      <c r="C424" s="574"/>
      <c r="D424" s="543"/>
      <c r="E424" s="543"/>
      <c r="F424" s="575"/>
      <c r="G424" s="576"/>
      <c r="H424" s="539"/>
      <c r="I424" s="539"/>
      <c r="J424" s="539"/>
      <c r="K424" s="539"/>
    </row>
    <row r="425" spans="1:11">
      <c r="A425" s="536"/>
      <c r="B425" s="573"/>
      <c r="C425" s="574"/>
      <c r="D425" s="543"/>
      <c r="E425" s="543"/>
      <c r="F425" s="575"/>
      <c r="G425" s="576"/>
      <c r="H425" s="539"/>
      <c r="I425" s="539"/>
      <c r="J425" s="539"/>
      <c r="K425" s="539"/>
    </row>
    <row r="426" spans="1:11">
      <c r="A426" s="536"/>
      <c r="B426" s="573"/>
      <c r="C426" s="574"/>
      <c r="D426" s="543"/>
      <c r="E426" s="543"/>
      <c r="F426" s="575"/>
      <c r="G426" s="576"/>
      <c r="H426" s="539"/>
      <c r="I426" s="539"/>
      <c r="J426" s="539"/>
      <c r="K426" s="539"/>
    </row>
    <row r="427" spans="1:11">
      <c r="A427" s="536"/>
      <c r="B427" s="573"/>
      <c r="C427" s="574"/>
      <c r="D427" s="543"/>
      <c r="E427" s="543"/>
      <c r="F427" s="575"/>
      <c r="G427" s="576"/>
      <c r="H427" s="539"/>
      <c r="I427" s="539"/>
      <c r="J427" s="539"/>
      <c r="K427" s="539"/>
    </row>
    <row r="428" spans="1:11">
      <c r="A428" s="536"/>
      <c r="B428" s="573"/>
      <c r="C428" s="574"/>
      <c r="D428" s="543"/>
      <c r="E428" s="543"/>
      <c r="F428" s="575"/>
      <c r="G428" s="576"/>
      <c r="H428" s="539"/>
      <c r="I428" s="539"/>
      <c r="J428" s="539"/>
      <c r="K428" s="539"/>
    </row>
    <row r="429" spans="1:11">
      <c r="A429" s="536"/>
      <c r="B429" s="573"/>
      <c r="C429" s="574"/>
      <c r="D429" s="543"/>
      <c r="E429" s="543"/>
      <c r="F429" s="575"/>
      <c r="G429" s="576"/>
      <c r="H429" s="539"/>
      <c r="I429" s="539"/>
      <c r="J429" s="539"/>
      <c r="K429" s="539"/>
    </row>
    <row r="430" spans="1:11">
      <c r="A430" s="536"/>
      <c r="B430" s="573"/>
      <c r="C430" s="574"/>
      <c r="D430" s="543"/>
      <c r="E430" s="543"/>
      <c r="F430" s="575"/>
      <c r="G430" s="576"/>
      <c r="H430" s="539"/>
      <c r="I430" s="539"/>
      <c r="J430" s="539"/>
      <c r="K430" s="539"/>
    </row>
    <row r="431" spans="1:11">
      <c r="A431" s="536"/>
      <c r="B431" s="573"/>
      <c r="C431" s="574"/>
      <c r="D431" s="543"/>
      <c r="E431" s="543"/>
      <c r="F431" s="575"/>
      <c r="G431" s="576"/>
      <c r="H431" s="539"/>
      <c r="I431" s="539"/>
      <c r="J431" s="539"/>
      <c r="K431" s="539"/>
    </row>
    <row r="432" spans="1:11">
      <c r="A432" s="536"/>
      <c r="B432" s="573"/>
      <c r="C432" s="574"/>
      <c r="D432" s="543"/>
      <c r="E432" s="543"/>
      <c r="F432" s="575"/>
      <c r="G432" s="576"/>
      <c r="H432" s="539"/>
      <c r="I432" s="539"/>
      <c r="J432" s="539"/>
      <c r="K432" s="539"/>
    </row>
    <row r="433" spans="1:11">
      <c r="A433" s="536"/>
      <c r="B433" s="573"/>
      <c r="C433" s="574"/>
      <c r="D433" s="543"/>
      <c r="E433" s="543"/>
      <c r="F433" s="575"/>
      <c r="G433" s="576"/>
      <c r="H433" s="539"/>
      <c r="I433" s="539"/>
      <c r="J433" s="539"/>
      <c r="K433" s="539"/>
    </row>
    <row r="434" spans="1:11">
      <c r="A434" s="536"/>
      <c r="B434" s="573"/>
      <c r="C434" s="574"/>
      <c r="D434" s="543"/>
      <c r="E434" s="543"/>
      <c r="F434" s="575"/>
      <c r="G434" s="576"/>
      <c r="H434" s="539"/>
      <c r="I434" s="539"/>
      <c r="J434" s="539"/>
      <c r="K434" s="539"/>
    </row>
    <row r="435" spans="1:11">
      <c r="A435" s="536"/>
      <c r="B435" s="573"/>
      <c r="C435" s="574"/>
      <c r="D435" s="543"/>
      <c r="E435" s="543"/>
      <c r="F435" s="575"/>
      <c r="G435" s="576"/>
      <c r="H435" s="539"/>
      <c r="I435" s="539"/>
      <c r="J435" s="539"/>
      <c r="K435" s="539"/>
    </row>
    <row r="436" spans="1:11">
      <c r="A436" s="536"/>
      <c r="B436" s="573"/>
      <c r="C436" s="574"/>
      <c r="D436" s="543"/>
      <c r="E436" s="543"/>
      <c r="F436" s="575"/>
      <c r="G436" s="576"/>
      <c r="H436" s="539"/>
      <c r="I436" s="539"/>
      <c r="J436" s="539"/>
      <c r="K436" s="539"/>
    </row>
    <row r="437" spans="1:11">
      <c r="A437" s="536"/>
      <c r="B437" s="564"/>
      <c r="C437" s="565"/>
      <c r="D437" s="538"/>
      <c r="E437" s="538"/>
      <c r="F437" s="566"/>
      <c r="G437" s="567"/>
      <c r="H437" s="539"/>
      <c r="I437" s="539"/>
      <c r="J437" s="539"/>
      <c r="K437" s="539"/>
    </row>
    <row r="438" spans="1:11">
      <c r="A438" s="536"/>
      <c r="B438" s="573"/>
      <c r="C438" s="574"/>
      <c r="D438" s="543"/>
      <c r="E438" s="543"/>
      <c r="F438" s="575"/>
      <c r="G438" s="576"/>
      <c r="H438" s="539"/>
      <c r="I438" s="539"/>
      <c r="J438" s="539"/>
      <c r="K438" s="539"/>
    </row>
    <row r="439" spans="1:11">
      <c r="A439" s="536"/>
      <c r="B439" s="564"/>
      <c r="C439" s="565"/>
      <c r="D439" s="538"/>
      <c r="E439" s="538"/>
      <c r="F439" s="566"/>
      <c r="G439" s="567"/>
      <c r="H439" s="539"/>
      <c r="I439" s="539"/>
      <c r="J439" s="539"/>
      <c r="K439" s="539"/>
    </row>
    <row r="440" spans="1:11">
      <c r="A440" s="536"/>
      <c r="B440" s="573"/>
      <c r="C440" s="574"/>
      <c r="D440" s="543"/>
      <c r="E440" s="543"/>
      <c r="F440" s="575"/>
      <c r="G440" s="576"/>
      <c r="H440" s="539"/>
      <c r="I440" s="539"/>
      <c r="J440" s="539"/>
      <c r="K440" s="539"/>
    </row>
    <row r="441" spans="1:11">
      <c r="A441" s="536"/>
      <c r="B441" s="564"/>
      <c r="C441" s="565"/>
      <c r="D441" s="538"/>
      <c r="E441" s="538"/>
      <c r="F441" s="566"/>
      <c r="G441" s="567"/>
      <c r="H441" s="539"/>
      <c r="I441" s="539"/>
      <c r="J441" s="539"/>
      <c r="K441" s="539"/>
    </row>
    <row r="442" spans="1:11">
      <c r="A442" s="536"/>
      <c r="B442" s="573"/>
      <c r="C442" s="574"/>
      <c r="D442" s="543"/>
      <c r="E442" s="543"/>
      <c r="F442" s="575"/>
      <c r="G442" s="576"/>
      <c r="H442" s="539"/>
      <c r="I442" s="539"/>
      <c r="J442" s="539"/>
      <c r="K442" s="539"/>
    </row>
    <row r="443" spans="1:11">
      <c r="A443" s="536"/>
      <c r="B443" s="564"/>
      <c r="C443" s="565"/>
      <c r="D443" s="538"/>
      <c r="E443" s="538"/>
      <c r="F443" s="566"/>
      <c r="G443" s="567"/>
      <c r="H443" s="539"/>
      <c r="I443" s="539"/>
      <c r="J443" s="539"/>
      <c r="K443" s="539"/>
    </row>
    <row r="444" spans="1:11">
      <c r="A444" s="536"/>
      <c r="B444" s="573"/>
      <c r="C444" s="574"/>
      <c r="D444" s="543"/>
      <c r="E444" s="543"/>
      <c r="F444" s="575"/>
      <c r="G444" s="576"/>
      <c r="H444" s="539"/>
      <c r="I444" s="539"/>
      <c r="J444" s="539"/>
      <c r="K444" s="539"/>
    </row>
    <row r="445" spans="1:11">
      <c r="A445" s="536"/>
      <c r="B445" s="564"/>
      <c r="C445" s="565"/>
      <c r="D445" s="538"/>
      <c r="E445" s="538"/>
      <c r="F445" s="566"/>
      <c r="G445" s="567"/>
      <c r="H445" s="539"/>
      <c r="I445" s="539"/>
      <c r="J445" s="539"/>
      <c r="K445" s="539"/>
    </row>
    <row r="446" spans="1:11">
      <c r="A446" s="536"/>
      <c r="B446" s="573"/>
      <c r="C446" s="574"/>
      <c r="D446" s="543"/>
      <c r="E446" s="543"/>
      <c r="F446" s="575"/>
      <c r="G446" s="576"/>
      <c r="H446" s="539"/>
      <c r="I446" s="539"/>
      <c r="J446" s="539"/>
      <c r="K446" s="539"/>
    </row>
    <row r="447" spans="1:11">
      <c r="A447" s="536"/>
      <c r="B447" s="564"/>
      <c r="C447" s="565"/>
      <c r="D447" s="538"/>
      <c r="E447" s="538"/>
      <c r="F447" s="566"/>
      <c r="G447" s="567"/>
      <c r="H447" s="539"/>
      <c r="I447" s="539"/>
      <c r="J447" s="539"/>
      <c r="K447" s="539"/>
    </row>
    <row r="448" spans="1:11">
      <c r="A448" s="536"/>
      <c r="B448" s="564"/>
      <c r="C448" s="565"/>
      <c r="D448" s="538"/>
      <c r="E448" s="538"/>
      <c r="F448" s="566"/>
      <c r="G448" s="567"/>
      <c r="H448" s="539"/>
      <c r="I448" s="539"/>
      <c r="J448" s="539"/>
      <c r="K448" s="539"/>
    </row>
    <row r="449" spans="1:11">
      <c r="A449" s="536"/>
      <c r="B449" s="564"/>
      <c r="C449" s="565"/>
      <c r="D449" s="538"/>
      <c r="E449" s="538"/>
      <c r="F449" s="566"/>
      <c r="G449" s="567"/>
      <c r="H449" s="539"/>
      <c r="I449" s="539"/>
      <c r="J449" s="539"/>
      <c r="K449" s="539"/>
    </row>
    <row r="450" spans="1:11">
      <c r="A450" s="536"/>
      <c r="B450" s="564"/>
      <c r="C450" s="565"/>
      <c r="D450" s="538"/>
      <c r="E450" s="538"/>
      <c r="F450" s="566"/>
      <c r="G450" s="567"/>
      <c r="H450" s="539"/>
      <c r="I450" s="539"/>
      <c r="J450" s="539"/>
      <c r="K450" s="539"/>
    </row>
    <row r="451" spans="1:11">
      <c r="A451" s="536"/>
      <c r="B451" s="564"/>
      <c r="C451" s="565"/>
      <c r="D451" s="538"/>
      <c r="E451" s="538"/>
      <c r="F451" s="566"/>
      <c r="G451" s="567"/>
      <c r="H451" s="539"/>
      <c r="I451" s="539"/>
      <c r="J451" s="539"/>
      <c r="K451" s="539"/>
    </row>
    <row r="452" spans="1:11">
      <c r="A452" s="545"/>
      <c r="B452" s="579"/>
      <c r="C452" s="580"/>
      <c r="D452" s="546"/>
      <c r="E452" s="546"/>
      <c r="F452" s="581"/>
      <c r="G452" s="582"/>
      <c r="H452" s="547"/>
      <c r="I452" s="547"/>
      <c r="J452" s="547"/>
      <c r="K452" s="547"/>
    </row>
    <row r="453" spans="1:11">
      <c r="A453" s="548" t="s">
        <v>148</v>
      </c>
      <c r="B453" s="583"/>
      <c r="C453" s="584"/>
      <c r="D453" s="585"/>
      <c r="E453" s="585"/>
      <c r="F453" s="586" t="s">
        <v>231</v>
      </c>
      <c r="G453" s="587"/>
      <c r="H453" s="588" t="s">
        <v>204</v>
      </c>
      <c r="I453" s="549">
        <f>SUM(I399:I452)</f>
        <v>0</v>
      </c>
      <c r="J453" s="588"/>
      <c r="K453" s="549">
        <f>SUM(K399:K452)</f>
        <v>0</v>
      </c>
    </row>
    <row r="454" spans="1:11">
      <c r="A454" s="530" t="s">
        <v>143</v>
      </c>
      <c r="B454" s="556" t="s">
        <v>188</v>
      </c>
      <c r="C454" s="819" t="s">
        <v>189</v>
      </c>
      <c r="D454" s="820"/>
      <c r="E454" s="820"/>
      <c r="F454" s="821"/>
      <c r="G454" s="557" t="s">
        <v>190</v>
      </c>
      <c r="H454" s="532" t="s">
        <v>191</v>
      </c>
      <c r="I454" s="532" t="s">
        <v>156</v>
      </c>
      <c r="J454" s="592" t="s">
        <v>265</v>
      </c>
      <c r="K454" s="592" t="s">
        <v>267</v>
      </c>
    </row>
    <row r="455" spans="1:11">
      <c r="A455" s="274"/>
      <c r="B455" s="559"/>
      <c r="C455" s="560" t="s">
        <v>175</v>
      </c>
      <c r="D455" s="561" t="s">
        <v>171</v>
      </c>
      <c r="E455" s="561" t="s">
        <v>176</v>
      </c>
      <c r="F455" s="562" t="s">
        <v>177</v>
      </c>
      <c r="G455" s="563"/>
      <c r="H455" s="534" t="s">
        <v>232</v>
      </c>
      <c r="I455" s="534" t="s">
        <v>232</v>
      </c>
      <c r="J455" s="593" t="s">
        <v>266</v>
      </c>
      <c r="K455" s="593" t="s">
        <v>266</v>
      </c>
    </row>
    <row r="456" spans="1:11">
      <c r="A456" s="536"/>
      <c r="B456" s="564"/>
      <c r="C456" s="565"/>
      <c r="D456" s="538"/>
      <c r="E456" s="538"/>
      <c r="F456" s="566"/>
      <c r="G456" s="567"/>
      <c r="H456" s="539"/>
      <c r="I456" s="539"/>
      <c r="J456" s="539"/>
      <c r="K456" s="539"/>
    </row>
    <row r="457" spans="1:11">
      <c r="A457" s="536"/>
      <c r="B457" s="564"/>
      <c r="C457" s="565"/>
      <c r="D457" s="538"/>
      <c r="E457" s="538"/>
      <c r="F457" s="566"/>
      <c r="G457" s="567"/>
      <c r="H457" s="539"/>
      <c r="I457" s="539"/>
      <c r="J457" s="539"/>
      <c r="K457" s="539"/>
    </row>
    <row r="458" spans="1:11">
      <c r="A458" s="536"/>
      <c r="B458" s="569"/>
      <c r="C458" s="570"/>
      <c r="D458" s="571"/>
      <c r="E458" s="571"/>
      <c r="F458" s="572"/>
      <c r="G458" s="567"/>
      <c r="H458" s="539"/>
      <c r="I458" s="539"/>
      <c r="J458" s="539"/>
      <c r="K458" s="539"/>
    </row>
    <row r="459" spans="1:11">
      <c r="A459" s="536"/>
      <c r="B459" s="564"/>
      <c r="C459" s="565"/>
      <c r="D459" s="538"/>
      <c r="E459" s="538"/>
      <c r="F459" s="566"/>
      <c r="G459" s="567"/>
      <c r="H459" s="539"/>
      <c r="I459" s="539"/>
      <c r="J459" s="539"/>
      <c r="K459" s="539"/>
    </row>
    <row r="460" spans="1:11">
      <c r="A460" s="536"/>
      <c r="B460" s="573"/>
      <c r="C460" s="574"/>
      <c r="D460" s="543"/>
      <c r="E460" s="543"/>
      <c r="F460" s="575"/>
      <c r="G460" s="576"/>
      <c r="H460" s="539"/>
      <c r="I460" s="539"/>
      <c r="J460" s="539"/>
      <c r="K460" s="539"/>
    </row>
    <row r="461" spans="1:11">
      <c r="A461" s="536"/>
      <c r="B461" s="564"/>
      <c r="C461" s="565"/>
      <c r="D461" s="538"/>
      <c r="E461" s="538"/>
      <c r="F461" s="566"/>
      <c r="G461" s="567"/>
      <c r="H461" s="539"/>
      <c r="I461" s="539"/>
      <c r="J461" s="539"/>
      <c r="K461" s="539"/>
    </row>
    <row r="462" spans="1:11">
      <c r="A462" s="536"/>
      <c r="B462" s="573"/>
      <c r="C462" s="574"/>
      <c r="D462" s="543"/>
      <c r="E462" s="543"/>
      <c r="F462" s="575"/>
      <c r="G462" s="576"/>
      <c r="H462" s="539"/>
      <c r="I462" s="539"/>
      <c r="J462" s="539"/>
      <c r="K462" s="539"/>
    </row>
    <row r="463" spans="1:11">
      <c r="A463" s="536"/>
      <c r="B463" s="564"/>
      <c r="C463" s="565"/>
      <c r="D463" s="538"/>
      <c r="E463" s="538"/>
      <c r="F463" s="566"/>
      <c r="G463" s="567"/>
      <c r="H463" s="539"/>
      <c r="I463" s="539"/>
      <c r="J463" s="539"/>
      <c r="K463" s="539"/>
    </row>
    <row r="464" spans="1:11">
      <c r="A464" s="536"/>
      <c r="B464" s="573"/>
      <c r="C464" s="574"/>
      <c r="D464" s="543"/>
      <c r="E464" s="543"/>
      <c r="F464" s="575"/>
      <c r="G464" s="576"/>
      <c r="H464" s="539"/>
      <c r="I464" s="539"/>
      <c r="J464" s="539"/>
      <c r="K464" s="539"/>
    </row>
    <row r="465" spans="1:11">
      <c r="A465" s="536"/>
      <c r="B465" s="564"/>
      <c r="C465" s="565"/>
      <c r="D465" s="538"/>
      <c r="E465" s="538"/>
      <c r="F465" s="566"/>
      <c r="G465" s="567"/>
      <c r="H465" s="539"/>
      <c r="I465" s="539"/>
      <c r="J465" s="539"/>
      <c r="K465" s="539"/>
    </row>
    <row r="466" spans="1:11">
      <c r="A466" s="536"/>
      <c r="B466" s="573"/>
      <c r="C466" s="574"/>
      <c r="D466" s="543"/>
      <c r="E466" s="543"/>
      <c r="F466" s="575"/>
      <c r="G466" s="576"/>
      <c r="H466" s="539"/>
      <c r="I466" s="539"/>
      <c r="J466" s="539"/>
      <c r="K466" s="539"/>
    </row>
    <row r="467" spans="1:11">
      <c r="A467" s="536"/>
      <c r="B467" s="564"/>
      <c r="C467" s="565"/>
      <c r="D467" s="538"/>
      <c r="E467" s="538"/>
      <c r="F467" s="566"/>
      <c r="G467" s="567"/>
      <c r="H467" s="539"/>
      <c r="I467" s="539"/>
      <c r="J467" s="539"/>
      <c r="K467" s="539"/>
    </row>
    <row r="468" spans="1:11">
      <c r="A468" s="536"/>
      <c r="B468" s="573"/>
      <c r="C468" s="574"/>
      <c r="D468" s="543"/>
      <c r="E468" s="543"/>
      <c r="F468" s="575"/>
      <c r="G468" s="576"/>
      <c r="H468" s="539"/>
      <c r="I468" s="539"/>
      <c r="J468" s="539"/>
      <c r="K468" s="539"/>
    </row>
    <row r="469" spans="1:11">
      <c r="A469" s="536"/>
      <c r="B469" s="564"/>
      <c r="C469" s="565"/>
      <c r="D469" s="538"/>
      <c r="E469" s="538"/>
      <c r="F469" s="566"/>
      <c r="G469" s="567"/>
      <c r="H469" s="539"/>
      <c r="I469" s="539"/>
      <c r="J469" s="539"/>
      <c r="K469" s="539"/>
    </row>
    <row r="470" spans="1:11">
      <c r="A470" s="536"/>
      <c r="B470" s="573"/>
      <c r="C470" s="574"/>
      <c r="D470" s="543"/>
      <c r="E470" s="543"/>
      <c r="F470" s="575"/>
      <c r="G470" s="576"/>
      <c r="H470" s="539"/>
      <c r="I470" s="539"/>
      <c r="J470" s="539"/>
      <c r="K470" s="539"/>
    </row>
    <row r="471" spans="1:11">
      <c r="A471" s="536"/>
      <c r="B471" s="564"/>
      <c r="C471" s="565"/>
      <c r="D471" s="538"/>
      <c r="E471" s="538"/>
      <c r="F471" s="566"/>
      <c r="G471" s="567"/>
      <c r="H471" s="539"/>
      <c r="I471" s="539"/>
      <c r="J471" s="539"/>
      <c r="K471" s="539"/>
    </row>
    <row r="472" spans="1:11">
      <c r="A472" s="536"/>
      <c r="B472" s="573"/>
      <c r="C472" s="574"/>
      <c r="D472" s="543"/>
      <c r="E472" s="543"/>
      <c r="F472" s="575"/>
      <c r="G472" s="576"/>
      <c r="H472" s="539"/>
      <c r="I472" s="539"/>
      <c r="J472" s="539"/>
      <c r="K472" s="539"/>
    </row>
    <row r="473" spans="1:11">
      <c r="A473" s="536"/>
      <c r="B473" s="564"/>
      <c r="C473" s="565"/>
      <c r="D473" s="538"/>
      <c r="E473" s="538"/>
      <c r="F473" s="566"/>
      <c r="G473" s="567"/>
      <c r="H473" s="539"/>
      <c r="I473" s="539"/>
      <c r="J473" s="539"/>
      <c r="K473" s="539"/>
    </row>
    <row r="474" spans="1:11">
      <c r="A474" s="536"/>
      <c r="B474" s="573"/>
      <c r="C474" s="574"/>
      <c r="D474" s="543"/>
      <c r="E474" s="543"/>
      <c r="F474" s="575"/>
      <c r="G474" s="576"/>
      <c r="H474" s="539"/>
      <c r="I474" s="539"/>
      <c r="J474" s="539"/>
      <c r="K474" s="539"/>
    </row>
    <row r="475" spans="1:11">
      <c r="A475" s="536"/>
      <c r="B475" s="564"/>
      <c r="C475" s="565"/>
      <c r="D475" s="538"/>
      <c r="E475" s="538"/>
      <c r="F475" s="566"/>
      <c r="G475" s="567"/>
      <c r="H475" s="539"/>
      <c r="I475" s="539"/>
      <c r="J475" s="539"/>
      <c r="K475" s="539"/>
    </row>
    <row r="476" spans="1:11">
      <c r="A476" s="536"/>
      <c r="B476" s="573"/>
      <c r="C476" s="574"/>
      <c r="D476" s="543"/>
      <c r="E476" s="543"/>
      <c r="F476" s="575"/>
      <c r="G476" s="576"/>
      <c r="H476" s="539"/>
      <c r="I476" s="539"/>
      <c r="J476" s="539"/>
      <c r="K476" s="539"/>
    </row>
    <row r="477" spans="1:11">
      <c r="A477" s="536"/>
      <c r="B477" s="564"/>
      <c r="C477" s="565"/>
      <c r="D477" s="538"/>
      <c r="E477" s="538"/>
      <c r="F477" s="566"/>
      <c r="G477" s="567"/>
      <c r="H477" s="539"/>
      <c r="I477" s="539"/>
      <c r="J477" s="539"/>
      <c r="K477" s="539"/>
    </row>
    <row r="478" spans="1:11">
      <c r="A478" s="536"/>
      <c r="B478" s="573"/>
      <c r="C478" s="574"/>
      <c r="D478" s="543"/>
      <c r="E478" s="543"/>
      <c r="F478" s="575"/>
      <c r="G478" s="576"/>
      <c r="H478" s="539"/>
      <c r="I478" s="539"/>
      <c r="J478" s="539"/>
      <c r="K478" s="539"/>
    </row>
    <row r="479" spans="1:11">
      <c r="A479" s="536"/>
      <c r="B479" s="564"/>
      <c r="C479" s="565"/>
      <c r="D479" s="538"/>
      <c r="E479" s="538"/>
      <c r="F479" s="566"/>
      <c r="G479" s="567"/>
      <c r="H479" s="539"/>
      <c r="I479" s="539"/>
      <c r="J479" s="539"/>
      <c r="K479" s="539"/>
    </row>
    <row r="480" spans="1:11">
      <c r="A480" s="536"/>
      <c r="B480" s="573"/>
      <c r="C480" s="574"/>
      <c r="D480" s="543"/>
      <c r="E480" s="543"/>
      <c r="F480" s="575"/>
      <c r="G480" s="576"/>
      <c r="H480" s="539"/>
      <c r="I480" s="539"/>
      <c r="J480" s="539"/>
      <c r="K480" s="539"/>
    </row>
    <row r="481" spans="1:11">
      <c r="A481" s="536"/>
      <c r="B481" s="564"/>
      <c r="C481" s="565"/>
      <c r="D481" s="538"/>
      <c r="E481" s="538"/>
      <c r="F481" s="566"/>
      <c r="G481" s="567"/>
      <c r="H481" s="539"/>
      <c r="I481" s="539"/>
      <c r="J481" s="539"/>
      <c r="K481" s="539"/>
    </row>
    <row r="482" spans="1:11">
      <c r="A482" s="536"/>
      <c r="B482" s="564"/>
      <c r="C482" s="565"/>
      <c r="D482" s="538"/>
      <c r="E482" s="538"/>
      <c r="F482" s="566"/>
      <c r="G482" s="567"/>
      <c r="H482" s="539"/>
      <c r="I482" s="539"/>
      <c r="J482" s="539"/>
      <c r="K482" s="539"/>
    </row>
    <row r="483" spans="1:11">
      <c r="A483" s="536"/>
      <c r="B483" s="564"/>
      <c r="C483" s="565"/>
      <c r="D483" s="538"/>
      <c r="E483" s="538"/>
      <c r="F483" s="566"/>
      <c r="G483" s="567"/>
      <c r="H483" s="539"/>
      <c r="I483" s="539"/>
      <c r="J483" s="539"/>
      <c r="K483" s="539"/>
    </row>
    <row r="484" spans="1:11">
      <c r="A484" s="536"/>
      <c r="B484" s="564"/>
      <c r="C484" s="565"/>
      <c r="D484" s="538"/>
      <c r="E484" s="538"/>
      <c r="F484" s="566"/>
      <c r="G484" s="567"/>
      <c r="H484" s="539"/>
      <c r="I484" s="539"/>
      <c r="J484" s="539"/>
      <c r="K484" s="539"/>
    </row>
    <row r="485" spans="1:11">
      <c r="A485" s="536"/>
      <c r="B485" s="564"/>
      <c r="C485" s="565"/>
      <c r="D485" s="538"/>
      <c r="E485" s="538"/>
      <c r="F485" s="566"/>
      <c r="G485" s="567"/>
      <c r="H485" s="539"/>
      <c r="I485" s="539"/>
      <c r="J485" s="539"/>
      <c r="K485" s="539"/>
    </row>
    <row r="486" spans="1:11">
      <c r="A486" s="536"/>
      <c r="B486" s="564"/>
      <c r="C486" s="565"/>
      <c r="D486" s="538"/>
      <c r="E486" s="538"/>
      <c r="F486" s="566"/>
      <c r="G486" s="567"/>
      <c r="H486" s="539"/>
      <c r="I486" s="539"/>
      <c r="J486" s="539"/>
      <c r="K486" s="539"/>
    </row>
    <row r="487" spans="1:11">
      <c r="A487" s="536"/>
      <c r="B487" s="564"/>
      <c r="C487" s="565"/>
      <c r="D487" s="538"/>
      <c r="E487" s="538"/>
      <c r="F487" s="566"/>
      <c r="G487" s="567"/>
      <c r="H487" s="539"/>
      <c r="I487" s="539"/>
      <c r="J487" s="539"/>
      <c r="K487" s="539"/>
    </row>
    <row r="488" spans="1:11">
      <c r="A488" s="536"/>
      <c r="B488" s="564"/>
      <c r="C488" s="565"/>
      <c r="D488" s="538"/>
      <c r="E488" s="538"/>
      <c r="F488" s="566"/>
      <c r="G488" s="567"/>
      <c r="H488" s="539"/>
      <c r="I488" s="539"/>
      <c r="J488" s="539"/>
      <c r="K488" s="539"/>
    </row>
    <row r="489" spans="1:11">
      <c r="A489" s="536"/>
      <c r="B489" s="564"/>
      <c r="C489" s="565"/>
      <c r="D489" s="538"/>
      <c r="E489" s="538"/>
      <c r="F489" s="566"/>
      <c r="G489" s="567"/>
      <c r="H489" s="539"/>
      <c r="I489" s="539"/>
      <c r="J489" s="539"/>
      <c r="K489" s="539"/>
    </row>
    <row r="490" spans="1:11">
      <c r="A490" s="536"/>
      <c r="B490" s="564"/>
      <c r="C490" s="565"/>
      <c r="D490" s="538"/>
      <c r="E490" s="538"/>
      <c r="F490" s="566"/>
      <c r="G490" s="567"/>
      <c r="H490" s="539"/>
      <c r="I490" s="539"/>
      <c r="J490" s="539"/>
      <c r="K490" s="539"/>
    </row>
    <row r="491" spans="1:11">
      <c r="A491" s="536"/>
      <c r="B491" s="564"/>
      <c r="C491" s="565"/>
      <c r="D491" s="538"/>
      <c r="E491" s="538"/>
      <c r="F491" s="566"/>
      <c r="G491" s="567"/>
      <c r="H491" s="539"/>
      <c r="I491" s="539"/>
      <c r="J491" s="539"/>
      <c r="K491" s="539"/>
    </row>
    <row r="492" spans="1:11">
      <c r="A492" s="536"/>
      <c r="B492" s="564"/>
      <c r="C492" s="565"/>
      <c r="D492" s="538"/>
      <c r="E492" s="538"/>
      <c r="F492" s="566"/>
      <c r="G492" s="567"/>
      <c r="H492" s="539"/>
      <c r="I492" s="539"/>
      <c r="J492" s="539"/>
      <c r="K492" s="539"/>
    </row>
    <row r="493" spans="1:11">
      <c r="A493" s="536"/>
      <c r="B493" s="564"/>
      <c r="C493" s="565"/>
      <c r="D493" s="538"/>
      <c r="E493" s="538"/>
      <c r="F493" s="566"/>
      <c r="G493" s="567"/>
      <c r="H493" s="539"/>
      <c r="I493" s="539"/>
      <c r="J493" s="539"/>
      <c r="K493" s="539"/>
    </row>
    <row r="494" spans="1:11">
      <c r="A494" s="536"/>
      <c r="B494" s="564"/>
      <c r="C494" s="565"/>
      <c r="D494" s="538"/>
      <c r="E494" s="538"/>
      <c r="F494" s="566"/>
      <c r="G494" s="567"/>
      <c r="H494" s="539"/>
      <c r="I494" s="539"/>
      <c r="J494" s="539"/>
      <c r="K494" s="539"/>
    </row>
    <row r="495" spans="1:11">
      <c r="A495" s="536"/>
      <c r="B495" s="573"/>
      <c r="C495" s="574"/>
      <c r="D495" s="543"/>
      <c r="E495" s="543"/>
      <c r="F495" s="575"/>
      <c r="G495" s="576"/>
      <c r="H495" s="539"/>
      <c r="I495" s="539"/>
      <c r="J495" s="539"/>
      <c r="K495" s="539"/>
    </row>
    <row r="496" spans="1:11">
      <c r="A496" s="536"/>
      <c r="B496" s="564"/>
      <c r="C496" s="565"/>
      <c r="D496" s="538"/>
      <c r="E496" s="538"/>
      <c r="F496" s="566"/>
      <c r="G496" s="567"/>
      <c r="H496" s="539"/>
      <c r="I496" s="539"/>
      <c r="J496" s="539"/>
      <c r="K496" s="539"/>
    </row>
    <row r="497" spans="1:11">
      <c r="A497" s="536"/>
      <c r="B497" s="573"/>
      <c r="C497" s="574"/>
      <c r="D497" s="543"/>
      <c r="E497" s="543"/>
      <c r="F497" s="575"/>
      <c r="G497" s="576"/>
      <c r="H497" s="539"/>
      <c r="I497" s="539"/>
      <c r="J497" s="539"/>
      <c r="K497" s="539"/>
    </row>
    <row r="498" spans="1:11">
      <c r="A498" s="536"/>
      <c r="B498" s="564"/>
      <c r="C498" s="565"/>
      <c r="D498" s="538"/>
      <c r="E498" s="538"/>
      <c r="F498" s="566"/>
      <c r="G498" s="567"/>
      <c r="H498" s="539"/>
      <c r="I498" s="539"/>
      <c r="J498" s="539"/>
      <c r="K498" s="539"/>
    </row>
    <row r="499" spans="1:11">
      <c r="A499" s="536"/>
      <c r="B499" s="573"/>
      <c r="C499" s="574"/>
      <c r="D499" s="543"/>
      <c r="E499" s="543"/>
      <c r="F499" s="575"/>
      <c r="G499" s="576"/>
      <c r="H499" s="539"/>
      <c r="I499" s="539"/>
      <c r="J499" s="539"/>
      <c r="K499" s="539"/>
    </row>
    <row r="500" spans="1:11">
      <c r="A500" s="536"/>
      <c r="B500" s="564"/>
      <c r="C500" s="565"/>
      <c r="D500" s="538"/>
      <c r="E500" s="538"/>
      <c r="F500" s="566"/>
      <c r="G500" s="567"/>
      <c r="H500" s="539"/>
      <c r="I500" s="539"/>
      <c r="J500" s="539"/>
      <c r="K500" s="539"/>
    </row>
    <row r="501" spans="1:11">
      <c r="A501" s="536"/>
      <c r="B501" s="573"/>
      <c r="C501" s="574"/>
      <c r="D501" s="543"/>
      <c r="E501" s="543"/>
      <c r="F501" s="575"/>
      <c r="G501" s="576"/>
      <c r="H501" s="539"/>
      <c r="I501" s="539"/>
      <c r="J501" s="539"/>
      <c r="K501" s="539"/>
    </row>
    <row r="502" spans="1:11">
      <c r="A502" s="536"/>
      <c r="B502" s="564"/>
      <c r="C502" s="565"/>
      <c r="D502" s="538"/>
      <c r="E502" s="538"/>
      <c r="F502" s="566"/>
      <c r="G502" s="567"/>
      <c r="H502" s="539"/>
      <c r="I502" s="539"/>
      <c r="J502" s="539"/>
      <c r="K502" s="539"/>
    </row>
    <row r="503" spans="1:11">
      <c r="A503" s="536"/>
      <c r="B503" s="573"/>
      <c r="C503" s="574"/>
      <c r="D503" s="543"/>
      <c r="E503" s="543"/>
      <c r="F503" s="575"/>
      <c r="G503" s="576"/>
      <c r="H503" s="539"/>
      <c r="I503" s="539"/>
      <c r="J503" s="539"/>
      <c r="K503" s="539"/>
    </row>
    <row r="504" spans="1:11">
      <c r="A504" s="536"/>
      <c r="B504" s="564"/>
      <c r="C504" s="565"/>
      <c r="D504" s="538"/>
      <c r="E504" s="538"/>
      <c r="F504" s="566"/>
      <c r="G504" s="567"/>
      <c r="H504" s="539"/>
      <c r="I504" s="539"/>
      <c r="J504" s="539"/>
      <c r="K504" s="539"/>
    </row>
    <row r="505" spans="1:11">
      <c r="A505" s="536"/>
      <c r="B505" s="564"/>
      <c r="C505" s="565"/>
      <c r="D505" s="538"/>
      <c r="E505" s="538"/>
      <c r="F505" s="566"/>
      <c r="G505" s="567"/>
      <c r="H505" s="539"/>
      <c r="I505" s="539"/>
      <c r="J505" s="539"/>
      <c r="K505" s="539"/>
    </row>
    <row r="506" spans="1:11">
      <c r="A506" s="536"/>
      <c r="B506" s="564"/>
      <c r="C506" s="565"/>
      <c r="D506" s="538"/>
      <c r="E506" s="538"/>
      <c r="F506" s="566"/>
      <c r="G506" s="567"/>
      <c r="H506" s="539"/>
      <c r="I506" s="539"/>
      <c r="J506" s="539"/>
      <c r="K506" s="539"/>
    </row>
    <row r="507" spans="1:11">
      <c r="A507" s="536"/>
      <c r="B507" s="564"/>
      <c r="C507" s="565"/>
      <c r="D507" s="538"/>
      <c r="E507" s="538"/>
      <c r="F507" s="566"/>
      <c r="G507" s="567"/>
      <c r="H507" s="539"/>
      <c r="I507" s="539"/>
      <c r="J507" s="539"/>
      <c r="K507" s="539"/>
    </row>
    <row r="508" spans="1:11">
      <c r="A508" s="536"/>
      <c r="B508" s="564"/>
      <c r="C508" s="565"/>
      <c r="D508" s="538"/>
      <c r="E508" s="538"/>
      <c r="F508" s="566"/>
      <c r="G508" s="567"/>
      <c r="H508" s="539"/>
      <c r="I508" s="539"/>
      <c r="J508" s="539"/>
      <c r="K508" s="539"/>
    </row>
    <row r="509" spans="1:11">
      <c r="A509" s="545"/>
      <c r="B509" s="579"/>
      <c r="C509" s="580"/>
      <c r="D509" s="546"/>
      <c r="E509" s="546"/>
      <c r="F509" s="581"/>
      <c r="G509" s="582"/>
      <c r="H509" s="547"/>
      <c r="I509" s="547"/>
      <c r="J509" s="547"/>
      <c r="K509" s="547"/>
    </row>
    <row r="510" spans="1:11">
      <c r="A510" s="548" t="s">
        <v>148</v>
      </c>
      <c r="B510" s="583"/>
      <c r="C510" s="584"/>
      <c r="D510" s="585"/>
      <c r="E510" s="585"/>
      <c r="F510" s="586" t="s">
        <v>231</v>
      </c>
      <c r="G510" s="587"/>
      <c r="H510" s="588" t="s">
        <v>204</v>
      </c>
      <c r="I510" s="549">
        <f>SUM(I456:I509)</f>
        <v>0</v>
      </c>
      <c r="J510" s="588"/>
      <c r="K510" s="549">
        <f>SUM(K456:K509)</f>
        <v>0</v>
      </c>
    </row>
    <row r="511" spans="1:11">
      <c r="A511" s="530" t="s">
        <v>143</v>
      </c>
      <c r="B511" s="556" t="s">
        <v>188</v>
      </c>
      <c r="C511" s="819" t="s">
        <v>189</v>
      </c>
      <c r="D511" s="820"/>
      <c r="E511" s="820"/>
      <c r="F511" s="821"/>
      <c r="G511" s="557" t="s">
        <v>190</v>
      </c>
      <c r="H511" s="532" t="s">
        <v>191</v>
      </c>
      <c r="I511" s="532" t="s">
        <v>156</v>
      </c>
      <c r="J511" s="592" t="s">
        <v>265</v>
      </c>
      <c r="K511" s="592" t="s">
        <v>267</v>
      </c>
    </row>
    <row r="512" spans="1:11">
      <c r="A512" s="274"/>
      <c r="B512" s="559"/>
      <c r="C512" s="560" t="s">
        <v>175</v>
      </c>
      <c r="D512" s="561" t="s">
        <v>171</v>
      </c>
      <c r="E512" s="561" t="s">
        <v>176</v>
      </c>
      <c r="F512" s="562" t="s">
        <v>177</v>
      </c>
      <c r="G512" s="563"/>
      <c r="H512" s="534" t="s">
        <v>232</v>
      </c>
      <c r="I512" s="534" t="s">
        <v>232</v>
      </c>
      <c r="J512" s="593" t="s">
        <v>266</v>
      </c>
      <c r="K512" s="593" t="s">
        <v>266</v>
      </c>
    </row>
    <row r="513" spans="1:11">
      <c r="A513" s="536"/>
      <c r="B513" s="564"/>
      <c r="C513" s="565"/>
      <c r="D513" s="538"/>
      <c r="E513" s="538"/>
      <c r="F513" s="566"/>
      <c r="G513" s="567"/>
      <c r="H513" s="539"/>
      <c r="I513" s="539"/>
      <c r="J513" s="539"/>
      <c r="K513" s="539"/>
    </row>
    <row r="514" spans="1:11">
      <c r="A514" s="536"/>
      <c r="B514" s="564"/>
      <c r="C514" s="565"/>
      <c r="D514" s="538"/>
      <c r="E514" s="538"/>
      <c r="F514" s="566"/>
      <c r="G514" s="567"/>
      <c r="H514" s="539"/>
      <c r="I514" s="539"/>
      <c r="J514" s="539"/>
      <c r="K514" s="539"/>
    </row>
    <row r="515" spans="1:11">
      <c r="A515" s="536"/>
      <c r="B515" s="569"/>
      <c r="C515" s="570"/>
      <c r="D515" s="571"/>
      <c r="E515" s="571"/>
      <c r="F515" s="572"/>
      <c r="G515" s="567"/>
      <c r="H515" s="539"/>
      <c r="I515" s="539"/>
      <c r="J515" s="539"/>
      <c r="K515" s="539"/>
    </row>
    <row r="516" spans="1:11">
      <c r="A516" s="536"/>
      <c r="B516" s="564"/>
      <c r="C516" s="565"/>
      <c r="D516" s="538"/>
      <c r="E516" s="538"/>
      <c r="F516" s="566"/>
      <c r="G516" s="567"/>
      <c r="H516" s="539"/>
      <c r="I516" s="539"/>
      <c r="J516" s="539"/>
      <c r="K516" s="539"/>
    </row>
    <row r="517" spans="1:11">
      <c r="A517" s="536"/>
      <c r="B517" s="573"/>
      <c r="C517" s="574"/>
      <c r="D517" s="543"/>
      <c r="E517" s="543"/>
      <c r="F517" s="575"/>
      <c r="G517" s="576"/>
      <c r="H517" s="539"/>
      <c r="I517" s="539"/>
      <c r="J517" s="539"/>
      <c r="K517" s="539"/>
    </row>
    <row r="518" spans="1:11">
      <c r="A518" s="536"/>
      <c r="B518" s="564"/>
      <c r="C518" s="565"/>
      <c r="D518" s="538"/>
      <c r="E518" s="538"/>
      <c r="F518" s="566"/>
      <c r="G518" s="567"/>
      <c r="H518" s="539"/>
      <c r="I518" s="539"/>
      <c r="J518" s="539"/>
      <c r="K518" s="539"/>
    </row>
    <row r="519" spans="1:11">
      <c r="A519" s="536"/>
      <c r="B519" s="573"/>
      <c r="C519" s="574"/>
      <c r="D519" s="543"/>
      <c r="E519" s="543"/>
      <c r="F519" s="575"/>
      <c r="G519" s="576"/>
      <c r="H519" s="539"/>
      <c r="I519" s="539"/>
      <c r="J519" s="539"/>
      <c r="K519" s="539"/>
    </row>
    <row r="520" spans="1:11">
      <c r="A520" s="536"/>
      <c r="B520" s="564"/>
      <c r="C520" s="565"/>
      <c r="D520" s="538"/>
      <c r="E520" s="538"/>
      <c r="F520" s="566"/>
      <c r="G520" s="567"/>
      <c r="H520" s="539"/>
      <c r="I520" s="539"/>
      <c r="J520" s="539"/>
      <c r="K520" s="539"/>
    </row>
    <row r="521" spans="1:11">
      <c r="A521" s="536"/>
      <c r="B521" s="573"/>
      <c r="C521" s="574"/>
      <c r="D521" s="543"/>
      <c r="E521" s="543"/>
      <c r="F521" s="575"/>
      <c r="G521" s="576"/>
      <c r="H521" s="539"/>
      <c r="I521" s="539"/>
      <c r="J521" s="539"/>
      <c r="K521" s="539"/>
    </row>
    <row r="522" spans="1:11">
      <c r="A522" s="536"/>
      <c r="B522" s="564"/>
      <c r="C522" s="565"/>
      <c r="D522" s="538"/>
      <c r="E522" s="538"/>
      <c r="F522" s="566"/>
      <c r="G522" s="567"/>
      <c r="H522" s="539"/>
      <c r="I522" s="539"/>
      <c r="J522" s="539"/>
      <c r="K522" s="539"/>
    </row>
    <row r="523" spans="1:11">
      <c r="A523" s="536"/>
      <c r="B523" s="573"/>
      <c r="C523" s="574"/>
      <c r="D523" s="543"/>
      <c r="E523" s="543"/>
      <c r="F523" s="575"/>
      <c r="G523" s="576"/>
      <c r="H523" s="539"/>
      <c r="I523" s="539"/>
      <c r="J523" s="539"/>
      <c r="K523" s="539"/>
    </row>
    <row r="524" spans="1:11">
      <c r="A524" s="536"/>
      <c r="B524" s="564"/>
      <c r="C524" s="565"/>
      <c r="D524" s="538"/>
      <c r="E524" s="538"/>
      <c r="F524" s="566"/>
      <c r="G524" s="567"/>
      <c r="H524" s="539"/>
      <c r="I524" s="539"/>
      <c r="J524" s="539"/>
      <c r="K524" s="539"/>
    </row>
    <row r="525" spans="1:11">
      <c r="A525" s="536"/>
      <c r="B525" s="573"/>
      <c r="C525" s="574"/>
      <c r="D525" s="543"/>
      <c r="E525" s="543"/>
      <c r="F525" s="575"/>
      <c r="G525" s="576"/>
      <c r="H525" s="539"/>
      <c r="I525" s="539"/>
      <c r="J525" s="539"/>
      <c r="K525" s="539"/>
    </row>
    <row r="526" spans="1:11">
      <c r="A526" s="536"/>
      <c r="B526" s="564"/>
      <c r="C526" s="565"/>
      <c r="D526" s="538"/>
      <c r="E526" s="538"/>
      <c r="F526" s="566"/>
      <c r="G526" s="567"/>
      <c r="H526" s="539"/>
      <c r="I526" s="539"/>
      <c r="J526" s="539"/>
      <c r="K526" s="539"/>
    </row>
    <row r="527" spans="1:11">
      <c r="A527" s="536"/>
      <c r="B527" s="573"/>
      <c r="C527" s="574"/>
      <c r="D527" s="543"/>
      <c r="E527" s="543"/>
      <c r="F527" s="575"/>
      <c r="G527" s="576"/>
      <c r="H527" s="539"/>
      <c r="I527" s="539"/>
      <c r="J527" s="539"/>
      <c r="K527" s="539"/>
    </row>
    <row r="528" spans="1:11">
      <c r="A528" s="536"/>
      <c r="B528" s="564"/>
      <c r="C528" s="565"/>
      <c r="D528" s="538"/>
      <c r="E528" s="538"/>
      <c r="F528" s="566"/>
      <c r="G528" s="567"/>
      <c r="H528" s="539"/>
      <c r="I528" s="539"/>
      <c r="J528" s="539"/>
      <c r="K528" s="539"/>
    </row>
    <row r="529" spans="1:11">
      <c r="A529" s="536"/>
      <c r="B529" s="573"/>
      <c r="C529" s="574"/>
      <c r="D529" s="543"/>
      <c r="E529" s="543"/>
      <c r="F529" s="575"/>
      <c r="G529" s="576"/>
      <c r="H529" s="539"/>
      <c r="I529" s="539"/>
      <c r="J529" s="539"/>
      <c r="K529" s="539"/>
    </row>
    <row r="530" spans="1:11">
      <c r="A530" s="536"/>
      <c r="B530" s="564"/>
      <c r="C530" s="565"/>
      <c r="D530" s="538"/>
      <c r="E530" s="538"/>
      <c r="F530" s="566"/>
      <c r="G530" s="567"/>
      <c r="H530" s="539"/>
      <c r="I530" s="539"/>
      <c r="J530" s="539"/>
      <c r="K530" s="539"/>
    </row>
    <row r="531" spans="1:11">
      <c r="A531" s="536"/>
      <c r="B531" s="564"/>
      <c r="C531" s="565"/>
      <c r="D531" s="538"/>
      <c r="E531" s="538"/>
      <c r="F531" s="566"/>
      <c r="G531" s="567"/>
      <c r="H531" s="539"/>
      <c r="I531" s="539"/>
      <c r="J531" s="539"/>
      <c r="K531" s="539"/>
    </row>
    <row r="532" spans="1:11">
      <c r="A532" s="536"/>
      <c r="B532" s="564"/>
      <c r="C532" s="565"/>
      <c r="D532" s="538"/>
      <c r="E532" s="538"/>
      <c r="F532" s="566"/>
      <c r="G532" s="567"/>
      <c r="H532" s="539"/>
      <c r="I532" s="539"/>
      <c r="J532" s="539"/>
      <c r="K532" s="539"/>
    </row>
    <row r="533" spans="1:11">
      <c r="A533" s="536"/>
      <c r="B533" s="564"/>
      <c r="C533" s="565"/>
      <c r="D533" s="538"/>
      <c r="E533" s="538"/>
      <c r="F533" s="566"/>
      <c r="G533" s="567"/>
      <c r="H533" s="539"/>
      <c r="I533" s="539"/>
      <c r="J533" s="539"/>
      <c r="K533" s="539"/>
    </row>
    <row r="534" spans="1:11">
      <c r="A534" s="536"/>
      <c r="B534" s="564"/>
      <c r="C534" s="565"/>
      <c r="D534" s="538"/>
      <c r="E534" s="538"/>
      <c r="F534" s="566"/>
      <c r="G534" s="567"/>
      <c r="H534" s="539"/>
      <c r="I534" s="539"/>
      <c r="J534" s="539"/>
      <c r="K534" s="539"/>
    </row>
    <row r="535" spans="1:11">
      <c r="A535" s="536"/>
      <c r="B535" s="564"/>
      <c r="C535" s="565"/>
      <c r="D535" s="538"/>
      <c r="E535" s="538"/>
      <c r="F535" s="566"/>
      <c r="G535" s="567"/>
      <c r="H535" s="539"/>
      <c r="I535" s="539"/>
      <c r="J535" s="539"/>
      <c r="K535" s="539"/>
    </row>
    <row r="536" spans="1:11">
      <c r="A536" s="536"/>
      <c r="B536" s="564"/>
      <c r="C536" s="565"/>
      <c r="D536" s="538"/>
      <c r="E536" s="538"/>
      <c r="F536" s="566"/>
      <c r="G536" s="567"/>
      <c r="H536" s="539"/>
      <c r="I536" s="539"/>
      <c r="J536" s="539"/>
      <c r="K536" s="539"/>
    </row>
    <row r="537" spans="1:11">
      <c r="A537" s="536"/>
      <c r="B537" s="564"/>
      <c r="C537" s="565"/>
      <c r="D537" s="538"/>
      <c r="E537" s="538"/>
      <c r="F537" s="566"/>
      <c r="G537" s="567"/>
      <c r="H537" s="539"/>
      <c r="I537" s="539"/>
      <c r="J537" s="539"/>
      <c r="K537" s="539"/>
    </row>
    <row r="538" spans="1:11">
      <c r="A538" s="536"/>
      <c r="B538" s="564"/>
      <c r="C538" s="565"/>
      <c r="D538" s="538"/>
      <c r="E538" s="538"/>
      <c r="F538" s="566"/>
      <c r="G538" s="567"/>
      <c r="H538" s="539"/>
      <c r="I538" s="539"/>
      <c r="J538" s="539"/>
      <c r="K538" s="539"/>
    </row>
    <row r="539" spans="1:11">
      <c r="A539" s="536"/>
      <c r="B539" s="564"/>
      <c r="C539" s="565"/>
      <c r="D539" s="538"/>
      <c r="E539" s="538"/>
      <c r="F539" s="566"/>
      <c r="G539" s="567"/>
      <c r="H539" s="539"/>
      <c r="I539" s="539"/>
      <c r="J539" s="539"/>
      <c r="K539" s="539"/>
    </row>
    <row r="540" spans="1:11">
      <c r="A540" s="536"/>
      <c r="B540" s="564"/>
      <c r="C540" s="565"/>
      <c r="D540" s="538"/>
      <c r="E540" s="538"/>
      <c r="F540" s="566"/>
      <c r="G540" s="567"/>
      <c r="H540" s="539"/>
      <c r="I540" s="539"/>
      <c r="J540" s="539"/>
      <c r="K540" s="539"/>
    </row>
    <row r="541" spans="1:11">
      <c r="A541" s="536"/>
      <c r="B541" s="564"/>
      <c r="C541" s="565"/>
      <c r="D541" s="538"/>
      <c r="E541" s="538"/>
      <c r="F541" s="566"/>
      <c r="G541" s="567"/>
      <c r="H541" s="539"/>
      <c r="I541" s="539"/>
      <c r="J541" s="539"/>
      <c r="K541" s="539"/>
    </row>
    <row r="542" spans="1:11">
      <c r="A542" s="536"/>
      <c r="B542" s="564"/>
      <c r="C542" s="565"/>
      <c r="D542" s="538"/>
      <c r="E542" s="538"/>
      <c r="F542" s="566"/>
      <c r="G542" s="567"/>
      <c r="H542" s="539"/>
      <c r="I542" s="539"/>
      <c r="J542" s="539"/>
      <c r="K542" s="539"/>
    </row>
    <row r="543" spans="1:11">
      <c r="A543" s="536"/>
      <c r="B543" s="564"/>
      <c r="C543" s="565"/>
      <c r="D543" s="538"/>
      <c r="E543" s="538"/>
      <c r="F543" s="566"/>
      <c r="G543" s="567"/>
      <c r="H543" s="539"/>
      <c r="I543" s="539"/>
      <c r="J543" s="539"/>
      <c r="K543" s="539"/>
    </row>
    <row r="544" spans="1:11">
      <c r="A544" s="536"/>
      <c r="B544" s="573"/>
      <c r="C544" s="574"/>
      <c r="D544" s="543"/>
      <c r="E544" s="543"/>
      <c r="F544" s="575"/>
      <c r="G544" s="576"/>
      <c r="H544" s="539"/>
      <c r="I544" s="539"/>
      <c r="J544" s="539"/>
      <c r="K544" s="539"/>
    </row>
    <row r="545" spans="1:11">
      <c r="A545" s="536"/>
      <c r="B545" s="564"/>
      <c r="C545" s="565"/>
      <c r="D545" s="538"/>
      <c r="E545" s="538"/>
      <c r="F545" s="566"/>
      <c r="G545" s="567"/>
      <c r="H545" s="539"/>
      <c r="I545" s="539"/>
      <c r="J545" s="539"/>
      <c r="K545" s="539"/>
    </row>
    <row r="546" spans="1:11">
      <c r="A546" s="536"/>
      <c r="B546" s="573"/>
      <c r="C546" s="574"/>
      <c r="D546" s="543"/>
      <c r="E546" s="543"/>
      <c r="F546" s="575"/>
      <c r="G546" s="576"/>
      <c r="H546" s="539"/>
      <c r="I546" s="539"/>
      <c r="J546" s="539"/>
      <c r="K546" s="539"/>
    </row>
    <row r="547" spans="1:11">
      <c r="A547" s="536"/>
      <c r="B547" s="564"/>
      <c r="C547" s="565"/>
      <c r="D547" s="538"/>
      <c r="E547" s="538"/>
      <c r="F547" s="566"/>
      <c r="G547" s="567"/>
      <c r="H547" s="539"/>
      <c r="I547" s="539"/>
      <c r="J547" s="539"/>
      <c r="K547" s="539"/>
    </row>
    <row r="548" spans="1:11">
      <c r="A548" s="536"/>
      <c r="B548" s="573"/>
      <c r="C548" s="574"/>
      <c r="D548" s="543"/>
      <c r="E548" s="543"/>
      <c r="F548" s="575"/>
      <c r="G548" s="576"/>
      <c r="H548" s="539"/>
      <c r="I548" s="539"/>
      <c r="J548" s="539"/>
      <c r="K548" s="539"/>
    </row>
    <row r="549" spans="1:11">
      <c r="A549" s="536"/>
      <c r="B549" s="564"/>
      <c r="C549" s="565"/>
      <c r="D549" s="538"/>
      <c r="E549" s="538"/>
      <c r="F549" s="566"/>
      <c r="G549" s="567"/>
      <c r="H549" s="539"/>
      <c r="I549" s="539"/>
      <c r="J549" s="539"/>
      <c r="K549" s="539"/>
    </row>
    <row r="550" spans="1:11">
      <c r="A550" s="536"/>
      <c r="B550" s="573"/>
      <c r="C550" s="574"/>
      <c r="D550" s="543"/>
      <c r="E550" s="543"/>
      <c r="F550" s="575"/>
      <c r="G550" s="576"/>
      <c r="H550" s="539"/>
      <c r="I550" s="539"/>
      <c r="J550" s="539"/>
      <c r="K550" s="539"/>
    </row>
    <row r="551" spans="1:11">
      <c r="A551" s="536"/>
      <c r="B551" s="564"/>
      <c r="C551" s="565"/>
      <c r="D551" s="538"/>
      <c r="E551" s="538"/>
      <c r="F551" s="566"/>
      <c r="G551" s="567"/>
      <c r="H551" s="539"/>
      <c r="I551" s="539"/>
      <c r="J551" s="539"/>
      <c r="K551" s="539"/>
    </row>
    <row r="552" spans="1:11">
      <c r="A552" s="536"/>
      <c r="B552" s="573"/>
      <c r="C552" s="574"/>
      <c r="D552" s="543"/>
      <c r="E552" s="543"/>
      <c r="F552" s="575"/>
      <c r="G552" s="576"/>
      <c r="H552" s="539"/>
      <c r="I552" s="539"/>
      <c r="J552" s="539"/>
      <c r="K552" s="539"/>
    </row>
    <row r="553" spans="1:11">
      <c r="A553" s="536"/>
      <c r="B553" s="564"/>
      <c r="C553" s="565"/>
      <c r="D553" s="538"/>
      <c r="E553" s="538"/>
      <c r="F553" s="566"/>
      <c r="G553" s="567"/>
      <c r="H553" s="539"/>
      <c r="I553" s="539"/>
      <c r="J553" s="539"/>
      <c r="K553" s="539"/>
    </row>
    <row r="554" spans="1:11">
      <c r="A554" s="536"/>
      <c r="B554" s="573"/>
      <c r="C554" s="574"/>
      <c r="D554" s="543"/>
      <c r="E554" s="543"/>
      <c r="F554" s="575"/>
      <c r="G554" s="576"/>
      <c r="H554" s="539"/>
      <c r="I554" s="539"/>
      <c r="J554" s="539"/>
      <c r="K554" s="539"/>
    </row>
    <row r="555" spans="1:11">
      <c r="A555" s="536"/>
      <c r="B555" s="564"/>
      <c r="C555" s="565"/>
      <c r="D555" s="538"/>
      <c r="E555" s="538"/>
      <c r="F555" s="566"/>
      <c r="G555" s="567"/>
      <c r="H555" s="539"/>
      <c r="I555" s="539"/>
      <c r="J555" s="539"/>
      <c r="K555" s="539"/>
    </row>
    <row r="556" spans="1:11">
      <c r="A556" s="536"/>
      <c r="B556" s="573"/>
      <c r="C556" s="574"/>
      <c r="D556" s="543"/>
      <c r="E556" s="543"/>
      <c r="F556" s="575"/>
      <c r="G556" s="576"/>
      <c r="H556" s="539"/>
      <c r="I556" s="539"/>
      <c r="J556" s="539"/>
      <c r="K556" s="539"/>
    </row>
    <row r="557" spans="1:11">
      <c r="A557" s="536"/>
      <c r="B557" s="564"/>
      <c r="C557" s="565"/>
      <c r="D557" s="538"/>
      <c r="E557" s="538"/>
      <c r="F557" s="566"/>
      <c r="G557" s="567"/>
      <c r="H557" s="539"/>
      <c r="I557" s="539"/>
      <c r="J557" s="539"/>
      <c r="K557" s="539"/>
    </row>
    <row r="558" spans="1:11">
      <c r="A558" s="536"/>
      <c r="B558" s="573"/>
      <c r="C558" s="574"/>
      <c r="D558" s="543"/>
      <c r="E558" s="543"/>
      <c r="F558" s="575"/>
      <c r="G558" s="576"/>
      <c r="H558" s="539"/>
      <c r="I558" s="539"/>
      <c r="J558" s="539"/>
      <c r="K558" s="539"/>
    </row>
    <row r="559" spans="1:11">
      <c r="A559" s="536"/>
      <c r="B559" s="564"/>
      <c r="C559" s="565"/>
      <c r="D559" s="538"/>
      <c r="E559" s="538"/>
      <c r="F559" s="566"/>
      <c r="G559" s="567"/>
      <c r="H559" s="539"/>
      <c r="I559" s="539"/>
      <c r="J559" s="539"/>
      <c r="K559" s="539"/>
    </row>
    <row r="560" spans="1:11">
      <c r="A560" s="536"/>
      <c r="B560" s="573"/>
      <c r="C560" s="574"/>
      <c r="D560" s="543"/>
      <c r="E560" s="543"/>
      <c r="F560" s="575"/>
      <c r="G560" s="576"/>
      <c r="H560" s="539"/>
      <c r="I560" s="539"/>
      <c r="J560" s="539"/>
      <c r="K560" s="539"/>
    </row>
    <row r="561" spans="1:11">
      <c r="A561" s="536"/>
      <c r="B561" s="564"/>
      <c r="C561" s="565"/>
      <c r="D561" s="538"/>
      <c r="E561" s="538"/>
      <c r="F561" s="566"/>
      <c r="G561" s="567"/>
      <c r="H561" s="539"/>
      <c r="I561" s="539"/>
      <c r="J561" s="539"/>
      <c r="K561" s="539"/>
    </row>
    <row r="562" spans="1:11">
      <c r="A562" s="536"/>
      <c r="B562" s="564"/>
      <c r="C562" s="565"/>
      <c r="D562" s="538"/>
      <c r="E562" s="538"/>
      <c r="F562" s="566"/>
      <c r="G562" s="567"/>
      <c r="H562" s="539"/>
      <c r="I562" s="539"/>
      <c r="J562" s="539"/>
      <c r="K562" s="539"/>
    </row>
    <row r="563" spans="1:11">
      <c r="A563" s="536"/>
      <c r="B563" s="564"/>
      <c r="C563" s="565"/>
      <c r="D563" s="538"/>
      <c r="E563" s="538"/>
      <c r="F563" s="566"/>
      <c r="G563" s="567"/>
      <c r="H563" s="539"/>
      <c r="I563" s="539"/>
      <c r="J563" s="539"/>
      <c r="K563" s="539"/>
    </row>
    <row r="564" spans="1:11">
      <c r="A564" s="536"/>
      <c r="B564" s="564"/>
      <c r="C564" s="565"/>
      <c r="D564" s="538"/>
      <c r="E564" s="538"/>
      <c r="F564" s="566"/>
      <c r="G564" s="567"/>
      <c r="H564" s="539"/>
      <c r="I564" s="539"/>
      <c r="J564" s="539"/>
      <c r="K564" s="539"/>
    </row>
    <row r="565" spans="1:11">
      <c r="A565" s="536"/>
      <c r="B565" s="564"/>
      <c r="C565" s="565"/>
      <c r="D565" s="538"/>
      <c r="E565" s="538"/>
      <c r="F565" s="566"/>
      <c r="G565" s="567"/>
      <c r="H565" s="539"/>
      <c r="I565" s="539"/>
      <c r="J565" s="539"/>
      <c r="K565" s="539"/>
    </row>
    <row r="566" spans="1:11">
      <c r="A566" s="545"/>
      <c r="B566" s="579"/>
      <c r="C566" s="580"/>
      <c r="D566" s="546"/>
      <c r="E566" s="546"/>
      <c r="F566" s="581"/>
      <c r="G566" s="582"/>
      <c r="H566" s="547"/>
      <c r="I566" s="547"/>
      <c r="J566" s="547"/>
      <c r="K566" s="547"/>
    </row>
    <row r="567" spans="1:11">
      <c r="A567" s="548" t="s">
        <v>148</v>
      </c>
      <c r="B567" s="583"/>
      <c r="C567" s="584"/>
      <c r="D567" s="585"/>
      <c r="E567" s="585"/>
      <c r="F567" s="586" t="s">
        <v>231</v>
      </c>
      <c r="G567" s="587"/>
      <c r="H567" s="588" t="s">
        <v>204</v>
      </c>
      <c r="I567" s="549">
        <f>SUM(I513:I566)</f>
        <v>0</v>
      </c>
      <c r="J567" s="588"/>
      <c r="K567" s="549">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Notes</vt:lpstr>
      <vt:lpstr>ML_Sum</vt:lpstr>
      <vt:lpstr>Quote</vt:lpstr>
      <vt:lpstr>Elec_Rates</vt:lpstr>
      <vt:lpstr>Elec_Est</vt:lpstr>
      <vt:lpstr>E_BOQ</vt:lpstr>
      <vt:lpstr>E_DBOQ</vt:lpstr>
      <vt:lpstr>AREAS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2025-09-05T11:49:16Z</cp:lastPrinted>
  <dcterms:created xsi:type="dcterms:W3CDTF">2004-05-27T15:45:27Z</dcterms:created>
  <dcterms:modified xsi:type="dcterms:W3CDTF">2026-04-06T09:21:16Z</dcterms:modified>
  <cp:contentStatus/>
</cp:coreProperties>
</file>