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backupFile="1" codeName="ThisWorkbook"/>
  <mc:AlternateContent xmlns:mc="http://schemas.openxmlformats.org/markup-compatibility/2006">
    <mc:Choice Requires="x15">
      <x15ac:absPath xmlns:x15ac="http://schemas.microsoft.com/office/spreadsheetml/2010/11/ac" url="K:\est\Sunny Coast Hotel\Estimates\"/>
    </mc:Choice>
  </mc:AlternateContent>
  <xr:revisionPtr revIDLastSave="0" documentId="13_ncr:1_{E3AAB965-BD10-4C16-A48C-DA046E804B18}" xr6:coauthVersionLast="47" xr6:coauthVersionMax="47" xr10:uidLastSave="{00000000-0000-0000-0000-000000000000}"/>
  <bookViews>
    <workbookView xWindow="-108" yWindow="-108" windowWidth="23256" windowHeight="12456" tabRatio="811" activeTab="1" xr2:uid="{00000000-000D-0000-FFFF-FFFF00000000}"/>
  </bookViews>
  <sheets>
    <sheet name="Notes" sheetId="10" r:id="rId1"/>
    <sheet name="Material_List" sheetId="24" r:id="rId2"/>
    <sheet name="LSZH_Conduit" sheetId="22" r:id="rId3"/>
    <sheet name="Takeoffs_PVC" sheetId="23" r:id="rId4"/>
    <sheet name="Elec_Rates" sheetId="11" r:id="rId5"/>
    <sheet name="Elec_Est" sheetId="8" r:id="rId6"/>
    <sheet name="ML_Sum" sheetId="1" r:id="rId7"/>
    <sheet name="Quote" sheetId="18" r:id="rId8"/>
    <sheet name="MUR MEP BOQ" sheetId="21" r:id="rId9"/>
  </sheets>
  <externalReferences>
    <externalReference r:id="rId10"/>
    <externalReference r:id="rId11"/>
    <externalReference r:id="rId12"/>
    <externalReference r:id="rId13"/>
    <externalReference r:id="rId14"/>
    <externalReference r:id="rId15"/>
  </externalReferences>
  <definedNames>
    <definedName name="_xlnm._FilterDatabase" localSheetId="5" hidden="1">Elec_Est!$H$1:$H$898</definedName>
    <definedName name="_xlnm._FilterDatabase" localSheetId="4" hidden="1">Elec_Rates!$L$1:$L$115</definedName>
    <definedName name="_Key1" localSheetId="3" hidden="1">#REF!</definedName>
    <definedName name="_Key1" hidden="1">#REF!</definedName>
    <definedName name="_N" localSheetId="3">#REF!</definedName>
    <definedName name="_N">#REF!</definedName>
    <definedName name="_Order1" hidden="1">255</definedName>
    <definedName name="_Sort" localSheetId="3" hidden="1">'[1]Estimate Sheet.'!#REF!</definedName>
    <definedName name="_Sort" hidden="1">'[1]Estimate Sheet.'!#REF!</definedName>
    <definedName name="A" localSheetId="3">#REF!</definedName>
    <definedName name="A">#REF!</definedName>
    <definedName name="Access_BMS">[2]BMS_Estimate!#REF!</definedName>
    <definedName name="Access_Control">[3]Elec_Est!#REF!</definedName>
    <definedName name="Access_Supply">[2]BMS_Estimate!#REF!</definedName>
    <definedName name="Access_Wiring">[2]BMS_Estimate!#REF!</definedName>
    <definedName name="ANS">#REF!</definedName>
    <definedName name="AREAS" localSheetId="2">[4]ML_Sum!$X$1:$AD$16</definedName>
    <definedName name="AREAS" localSheetId="7">[3]ML_Sum!$X$1:$AD$16</definedName>
    <definedName name="AREAS" localSheetId="3">#REF!</definedName>
    <definedName name="AREAS">ML_Sum!$X$1:$AD$16</definedName>
    <definedName name="C_" localSheetId="3">#REF!</definedName>
    <definedName name="C_">#REF!</definedName>
    <definedName name="CCTV">[3]Elec_Est!#REF!</definedName>
    <definedName name="Data">[3]Elec_Est!#REF!</definedName>
    <definedName name="DATA_SYSTEM" localSheetId="3">#REF!</definedName>
    <definedName name="DATA_SYSTEM">#REF!</definedName>
    <definedName name="DD_Head_Foot">[5]!T_HeadFoot[Head-Foot]</definedName>
    <definedName name="Electrical">Elec_Est!$D$16</definedName>
    <definedName name="FIRE_ALARM" localSheetId="3">#REF!</definedName>
    <definedName name="Fire_Alarm">[3]Elec_Est!#REF!</definedName>
    <definedName name="FireAlarm">Elec_Est!$D$750</definedName>
    <definedName name="FO">[3]Elec_Est!#REF!</definedName>
    <definedName name="Guard">[3]Elec_Est!#REF!</definedName>
    <definedName name="Intercom">[3]Elec_Est!#REF!</definedName>
    <definedName name="Intruder_Alarm">[3]Elec_Est!#REF!</definedName>
    <definedName name="LIGHTNING_PROTECTION" localSheetId="3">#REF!</definedName>
    <definedName name="LIGHTNING_PROTECTION">#REF!</definedName>
    <definedName name="Persons" localSheetId="3">[6]Estimate!#REF!</definedName>
    <definedName name="Persons">[6]Estimate!#REF!</definedName>
    <definedName name="_xlnm.Print_Area" localSheetId="5">Elec_Est!$A$1:$T$13</definedName>
    <definedName name="_xlnm.Print_Area" localSheetId="8">'MUR MEP BOQ'!$A$1:$F$417</definedName>
    <definedName name="RAMON" localSheetId="3">#REF!</definedName>
    <definedName name="RAMON">#REF!</definedName>
    <definedName name="RMS">Elec_Est!$D$478</definedName>
    <definedName name="T" localSheetId="3">#REF!</definedName>
    <definedName name="T">#REF!</definedName>
    <definedName name="Telephone">Elec_Est!$D$368</definedName>
    <definedName name="Traffic_Barriers">[2]BMS_Estimate!#REF!</definedName>
    <definedName name="Z" localSheetId="3">#REF!</definedName>
    <definedName name="Z">#REF!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0" i="24" l="1"/>
  <c r="A118" i="24"/>
  <c r="A116" i="24"/>
  <c r="A114" i="24"/>
  <c r="A112" i="24"/>
  <c r="A110" i="24"/>
  <c r="A108" i="24"/>
  <c r="A106" i="24"/>
  <c r="A103" i="24"/>
  <c r="A101" i="24"/>
  <c r="A99" i="24"/>
  <c r="A97" i="24"/>
  <c r="A95" i="24"/>
  <c r="A92" i="24"/>
  <c r="A90" i="24"/>
  <c r="A88" i="24"/>
  <c r="A86" i="24"/>
  <c r="A84" i="24"/>
  <c r="A82" i="24"/>
  <c r="A80" i="24"/>
  <c r="A78" i="24"/>
  <c r="A76" i="24"/>
  <c r="A74" i="24"/>
  <c r="A72" i="24"/>
  <c r="A70" i="24"/>
  <c r="A68" i="24"/>
  <c r="A66" i="24"/>
  <c r="A64" i="24"/>
  <c r="A62" i="24"/>
  <c r="A60" i="24"/>
  <c r="A57" i="24"/>
  <c r="A54" i="24"/>
  <c r="A50" i="24"/>
  <c r="A44" i="24"/>
  <c r="A42" i="24"/>
  <c r="A40" i="24"/>
  <c r="A38" i="24"/>
  <c r="A35" i="24"/>
  <c r="A33" i="24"/>
  <c r="A31" i="24"/>
  <c r="A29" i="24"/>
  <c r="A27" i="24"/>
  <c r="A24" i="24"/>
  <c r="A22" i="24"/>
  <c r="A20" i="24"/>
  <c r="A18" i="24"/>
  <c r="A16" i="24"/>
  <c r="A14" i="24"/>
  <c r="A12" i="24"/>
  <c r="A10" i="24"/>
  <c r="A8" i="24"/>
  <c r="A6" i="24"/>
  <c r="A4" i="24"/>
  <c r="S665" i="8"/>
  <c r="Q40" i="8"/>
  <c r="S593" i="8"/>
  <c r="R593" i="8"/>
  <c r="S766" i="8" l="1"/>
  <c r="S413" i="8"/>
  <c r="S407" i="8"/>
  <c r="S395" i="8"/>
  <c r="S394" i="8"/>
  <c r="S384" i="8"/>
  <c r="S357" i="8"/>
  <c r="S278" i="8"/>
  <c r="S272" i="8"/>
  <c r="S266" i="8"/>
  <c r="S253" i="8"/>
  <c r="S247" i="8"/>
  <c r="S241" i="8"/>
  <c r="S235" i="8"/>
  <c r="S229" i="8"/>
  <c r="S223" i="8"/>
  <c r="S213" i="8"/>
  <c r="S212" i="8"/>
  <c r="S115" i="8"/>
  <c r="S114" i="8"/>
  <c r="S113" i="8"/>
  <c r="S112" i="8"/>
  <c r="S81" i="8"/>
  <c r="S80" i="8"/>
  <c r="S70" i="8"/>
  <c r="S69" i="8"/>
  <c r="S68" i="8"/>
  <c r="S67" i="8"/>
  <c r="S65" i="8"/>
  <c r="S64" i="8"/>
  <c r="S63" i="8"/>
  <c r="S62" i="8"/>
  <c r="S61" i="8"/>
  <c r="S60" i="8"/>
  <c r="S59" i="8"/>
  <c r="S58" i="8"/>
  <c r="S43" i="8"/>
  <c r="S42" i="8"/>
  <c r="S40" i="8"/>
  <c r="S42" i="11"/>
  <c r="S41" i="11"/>
  <c r="S40" i="11"/>
  <c r="S34" i="11"/>
  <c r="S33" i="11"/>
  <c r="S32" i="11"/>
  <c r="S26" i="11"/>
  <c r="S20" i="11"/>
  <c r="S19" i="11"/>
  <c r="S18" i="11"/>
  <c r="S17" i="11"/>
  <c r="Q66" i="8"/>
  <c r="R66" i="8"/>
  <c r="Q65" i="8"/>
  <c r="Q87" i="8"/>
  <c r="Q62" i="8"/>
  <c r="Q63" i="8"/>
  <c r="Q64" i="8"/>
  <c r="Q61" i="8"/>
  <c r="Q60" i="8"/>
  <c r="Q59" i="8"/>
  <c r="R59" i="8" s="1"/>
  <c r="Q58" i="8"/>
  <c r="T4" i="1"/>
  <c r="T3" i="1"/>
  <c r="R670" i="8" l="1"/>
  <c r="R665" i="8"/>
  <c r="R671" i="8"/>
  <c r="R669" i="8"/>
  <c r="R666" i="8"/>
  <c r="R664" i="8"/>
  <c r="R667" i="8" s="1"/>
  <c r="T5" i="1"/>
  <c r="R672" i="8" l="1"/>
  <c r="R674" i="8"/>
  <c r="AM660" i="8" l="1"/>
  <c r="Q638" i="8" l="1"/>
  <c r="Q656" i="8"/>
  <c r="D896" i="8" l="1"/>
  <c r="D895" i="8"/>
  <c r="D894" i="8"/>
  <c r="D893" i="8"/>
  <c r="R44" i="8" l="1"/>
  <c r="R43" i="8"/>
  <c r="R42" i="8"/>
  <c r="E94" i="21"/>
  <c r="R300" i="8"/>
  <c r="R294" i="8"/>
  <c r="D106" i="8"/>
  <c r="C106" i="8"/>
  <c r="E83" i="21"/>
  <c r="Q407" i="8"/>
  <c r="Q394" i="8"/>
  <c r="R278" i="8"/>
  <c r="R272" i="8"/>
  <c r="R266" i="8"/>
  <c r="R253" i="8"/>
  <c r="R247" i="8"/>
  <c r="R241" i="8"/>
  <c r="R235" i="8"/>
  <c r="R229" i="8"/>
  <c r="R223" i="8"/>
  <c r="D206" i="8"/>
  <c r="C206" i="8"/>
  <c r="D199" i="8"/>
  <c r="C199" i="8"/>
  <c r="D192" i="8"/>
  <c r="C192" i="8"/>
  <c r="D185" i="8"/>
  <c r="C185" i="8"/>
  <c r="D178" i="8"/>
  <c r="C178" i="8"/>
  <c r="D171" i="8"/>
  <c r="C171" i="8"/>
  <c r="D164" i="8"/>
  <c r="C164" i="8"/>
  <c r="D157" i="8"/>
  <c r="C157" i="8"/>
  <c r="D150" i="8"/>
  <c r="C150" i="8"/>
  <c r="G23" i="23"/>
  <c r="C22" i="23"/>
  <c r="D22" i="23"/>
  <c r="E22" i="23"/>
  <c r="F22" i="23"/>
  <c r="H22" i="23"/>
  <c r="I22" i="23"/>
  <c r="B22" i="23"/>
  <c r="L23" i="23"/>
  <c r="G4" i="23"/>
  <c r="F4" i="23"/>
  <c r="H4" i="23"/>
  <c r="I4" i="23"/>
  <c r="E4" i="23"/>
  <c r="D4" i="23"/>
  <c r="D18" i="23" s="1"/>
  <c r="D20" i="23" s="1"/>
  <c r="C4" i="23"/>
  <c r="C18" i="23" s="1"/>
  <c r="C20" i="23" s="1"/>
  <c r="B4" i="23"/>
  <c r="B18" i="23" s="1"/>
  <c r="J32" i="23"/>
  <c r="I32" i="23"/>
  <c r="H32" i="23"/>
  <c r="G32" i="23"/>
  <c r="F32" i="23"/>
  <c r="E32" i="23"/>
  <c r="D32" i="23"/>
  <c r="C32" i="23"/>
  <c r="L32" i="23" s="1"/>
  <c r="B32" i="23"/>
  <c r="J31" i="23"/>
  <c r="I31" i="23"/>
  <c r="H31" i="23"/>
  <c r="G31" i="23"/>
  <c r="F31" i="23"/>
  <c r="E31" i="23"/>
  <c r="D31" i="23"/>
  <c r="C31" i="23"/>
  <c r="B31" i="23"/>
  <c r="L29" i="23"/>
  <c r="L28" i="23"/>
  <c r="L27" i="23"/>
  <c r="L26" i="23"/>
  <c r="L25" i="23"/>
  <c r="J19" i="23"/>
  <c r="I19" i="23"/>
  <c r="H19" i="23"/>
  <c r="G19" i="23"/>
  <c r="F19" i="23"/>
  <c r="E19" i="23"/>
  <c r="D19" i="23"/>
  <c r="C19" i="23"/>
  <c r="B19" i="23"/>
  <c r="L19" i="23" s="1"/>
  <c r="J18" i="23"/>
  <c r="J20" i="23" s="1"/>
  <c r="I18" i="23"/>
  <c r="I20" i="23" s="1"/>
  <c r="H18" i="23"/>
  <c r="H20" i="23" s="1"/>
  <c r="G18" i="23"/>
  <c r="F18" i="23"/>
  <c r="E18" i="23"/>
  <c r="E20" i="23" s="1"/>
  <c r="J17" i="23"/>
  <c r="I17" i="23"/>
  <c r="H17" i="23"/>
  <c r="G17" i="23"/>
  <c r="F17" i="23"/>
  <c r="E17" i="23"/>
  <c r="D17" i="23"/>
  <c r="C17" i="23"/>
  <c r="L17" i="23" s="1"/>
  <c r="B17" i="23"/>
  <c r="L16" i="23"/>
  <c r="L15" i="23"/>
  <c r="L14" i="23"/>
  <c r="L13" i="23"/>
  <c r="L12" i="23"/>
  <c r="J11" i="23"/>
  <c r="I11" i="23"/>
  <c r="H11" i="23"/>
  <c r="G11" i="23"/>
  <c r="F11" i="23"/>
  <c r="E11" i="23"/>
  <c r="D11" i="23"/>
  <c r="C11" i="23"/>
  <c r="B11" i="23"/>
  <c r="J10" i="23"/>
  <c r="I10" i="23"/>
  <c r="H10" i="23"/>
  <c r="H6" i="23" s="1"/>
  <c r="G10" i="23"/>
  <c r="G20" i="23" s="1"/>
  <c r="F10" i="23"/>
  <c r="F20" i="23" s="1"/>
  <c r="E10" i="23"/>
  <c r="D10" i="23"/>
  <c r="D6" i="23" s="1"/>
  <c r="C10" i="23"/>
  <c r="B10" i="23"/>
  <c r="J9" i="23"/>
  <c r="I9" i="23"/>
  <c r="H9" i="23"/>
  <c r="G9" i="23"/>
  <c r="F9" i="23"/>
  <c r="E9" i="23"/>
  <c r="D9" i="23"/>
  <c r="C9" i="23"/>
  <c r="B9" i="23"/>
  <c r="L9" i="23" s="1"/>
  <c r="J8" i="23"/>
  <c r="I8" i="23"/>
  <c r="H8" i="23"/>
  <c r="G8" i="23"/>
  <c r="F8" i="23"/>
  <c r="E8" i="23"/>
  <c r="D8" i="23"/>
  <c r="C8" i="23"/>
  <c r="L8" i="23" s="1"/>
  <c r="B8" i="23"/>
  <c r="L7" i="23"/>
  <c r="J6" i="23"/>
  <c r="I6" i="23"/>
  <c r="F6" i="23"/>
  <c r="E6" i="23"/>
  <c r="B6" i="23"/>
  <c r="J5" i="23"/>
  <c r="I5" i="23"/>
  <c r="H5" i="23"/>
  <c r="G5" i="23"/>
  <c r="E5" i="23"/>
  <c r="C5" i="23"/>
  <c r="R43" i="11"/>
  <c r="D191" i="8"/>
  <c r="D198" i="8"/>
  <c r="D184" i="8"/>
  <c r="D149" i="8"/>
  <c r="D105" i="8"/>
  <c r="D205" i="8"/>
  <c r="D163" i="8"/>
  <c r="D156" i="8"/>
  <c r="D170" i="8"/>
  <c r="D177" i="8"/>
  <c r="L11" i="23" l="1"/>
  <c r="F5" i="23"/>
  <c r="D5" i="23"/>
  <c r="L10" i="23"/>
  <c r="L31" i="23"/>
  <c r="L33" i="23" s="1"/>
  <c r="C6" i="23"/>
  <c r="L18" i="23"/>
  <c r="B20" i="23"/>
  <c r="L20" i="23" s="1"/>
  <c r="B5" i="23"/>
  <c r="L5" i="23" s="1"/>
  <c r="L4" i="23"/>
  <c r="L22" i="23"/>
  <c r="G6" i="23"/>
  <c r="L6" i="23" s="1"/>
  <c r="D143" i="8"/>
  <c r="C143" i="8"/>
  <c r="D136" i="8"/>
  <c r="C136" i="8"/>
  <c r="D129" i="8"/>
  <c r="C129" i="8"/>
  <c r="A115" i="8"/>
  <c r="R115" i="8" s="1"/>
  <c r="R114" i="8"/>
  <c r="R113" i="8"/>
  <c r="R112" i="8"/>
  <c r="R35" i="11"/>
  <c r="E61" i="21"/>
  <c r="R213" i="8"/>
  <c r="R212" i="8"/>
  <c r="R87" i="8"/>
  <c r="Q81" i="8"/>
  <c r="R81" i="8" s="1"/>
  <c r="R80" i="8"/>
  <c r="R74" i="8"/>
  <c r="R73" i="8"/>
  <c r="R72" i="8"/>
  <c r="R71" i="8"/>
  <c r="R69" i="8"/>
  <c r="R68" i="8"/>
  <c r="R67" i="8"/>
  <c r="R70" i="8"/>
  <c r="R65" i="8"/>
  <c r="R64" i="8"/>
  <c r="R63" i="8"/>
  <c r="R62" i="8"/>
  <c r="R61" i="8"/>
  <c r="R60" i="8"/>
  <c r="R58" i="8"/>
  <c r="R41" i="8"/>
  <c r="R40" i="8"/>
  <c r="D142" i="8"/>
  <c r="D135" i="8"/>
  <c r="D128" i="8"/>
  <c r="R288" i="8" l="1"/>
  <c r="R798" i="8"/>
  <c r="R792" i="8"/>
  <c r="R786" i="8"/>
  <c r="R776" i="8"/>
  <c r="D578" i="8"/>
  <c r="C578" i="8"/>
  <c r="D616" i="8"/>
  <c r="C616" i="8"/>
  <c r="R684" i="8"/>
  <c r="R678" i="8"/>
  <c r="R656" i="8"/>
  <c r="R650" i="8"/>
  <c r="R644" i="8"/>
  <c r="R638" i="8"/>
  <c r="R632" i="8"/>
  <c r="R626" i="8"/>
  <c r="R357" i="8"/>
  <c r="E106" i="21"/>
  <c r="E103" i="21"/>
  <c r="E100" i="21"/>
  <c r="E99" i="21"/>
  <c r="R413" i="8"/>
  <c r="R414" i="8"/>
  <c r="R407" i="8"/>
  <c r="E203" i="21"/>
  <c r="E202" i="21"/>
  <c r="E199" i="21"/>
  <c r="E196" i="21"/>
  <c r="E195" i="21"/>
  <c r="D614" i="8"/>
  <c r="C614" i="8"/>
  <c r="D607" i="8"/>
  <c r="C607" i="8"/>
  <c r="D600" i="8"/>
  <c r="C600" i="8"/>
  <c r="D592" i="8"/>
  <c r="C592" i="8"/>
  <c r="D585" i="8"/>
  <c r="C585" i="8"/>
  <c r="D576" i="8"/>
  <c r="C576" i="8"/>
  <c r="D569" i="8"/>
  <c r="C569" i="8"/>
  <c r="D562" i="8"/>
  <c r="C562" i="8"/>
  <c r="D555" i="8"/>
  <c r="C555" i="8"/>
  <c r="R27" i="11"/>
  <c r="D544" i="8"/>
  <c r="C544" i="8"/>
  <c r="D537" i="8"/>
  <c r="C537" i="8"/>
  <c r="D530" i="8"/>
  <c r="C530" i="8"/>
  <c r="D523" i="8"/>
  <c r="C523" i="8"/>
  <c r="D516" i="8"/>
  <c r="C516" i="8"/>
  <c r="D509" i="8"/>
  <c r="C509" i="8"/>
  <c r="D502" i="8"/>
  <c r="C502" i="8"/>
  <c r="D495" i="8"/>
  <c r="C495" i="8"/>
  <c r="G33" i="22"/>
  <c r="G35" i="22" s="1"/>
  <c r="D33" i="22"/>
  <c r="G32" i="22"/>
  <c r="E26" i="22"/>
  <c r="E25" i="22"/>
  <c r="G18" i="22"/>
  <c r="D28" i="22" s="1"/>
  <c r="F28" i="22" s="1"/>
  <c r="F18" i="22"/>
  <c r="F17" i="22"/>
  <c r="G17" i="22" s="1"/>
  <c r="D27" i="22" s="1"/>
  <c r="F27" i="22" s="1"/>
  <c r="F16" i="22"/>
  <c r="G16" i="22" s="1"/>
  <c r="F15" i="22"/>
  <c r="G15" i="22" s="1"/>
  <c r="G14" i="22"/>
  <c r="F14" i="22"/>
  <c r="F13" i="22"/>
  <c r="G13" i="22" s="1"/>
  <c r="F12" i="22"/>
  <c r="G12" i="22" s="1"/>
  <c r="F11" i="22"/>
  <c r="G11" i="22" s="1"/>
  <c r="E11" i="22"/>
  <c r="F10" i="22"/>
  <c r="G10" i="22" s="1"/>
  <c r="F9" i="22"/>
  <c r="G9" i="22" s="1"/>
  <c r="F8" i="22"/>
  <c r="G8" i="22" s="1"/>
  <c r="F7" i="22"/>
  <c r="G7" i="22" s="1"/>
  <c r="F6" i="22"/>
  <c r="G6" i="22" s="1"/>
  <c r="E5" i="22"/>
  <c r="F5" i="22" s="1"/>
  <c r="G5" i="22" s="1"/>
  <c r="D494" i="8"/>
  <c r="D501" i="8"/>
  <c r="D591" i="8"/>
  <c r="D561" i="8"/>
  <c r="D508" i="8"/>
  <c r="D522" i="8"/>
  <c r="D584" i="8"/>
  <c r="D577" i="8"/>
  <c r="D515" i="8"/>
  <c r="D613" i="8"/>
  <c r="D536" i="8"/>
  <c r="D606" i="8"/>
  <c r="D568" i="8"/>
  <c r="D575" i="8"/>
  <c r="D599" i="8"/>
  <c r="D554" i="8"/>
  <c r="D543" i="8"/>
  <c r="D529" i="8"/>
  <c r="D615" i="8"/>
  <c r="R415" i="8" l="1"/>
  <c r="AM411" i="8" s="1"/>
  <c r="G28" i="22"/>
  <c r="G27" i="22"/>
  <c r="D26" i="22"/>
  <c r="F26" i="22" s="1"/>
  <c r="G26" i="22" s="1"/>
  <c r="D25" i="22"/>
  <c r="F25" i="22" s="1"/>
  <c r="G25" i="22" s="1"/>
  <c r="G20" i="22"/>
  <c r="E133" i="21"/>
  <c r="E132" i="21"/>
  <c r="E131" i="21"/>
  <c r="E128" i="21"/>
  <c r="E124" i="21"/>
  <c r="E125" i="21"/>
  <c r="R431" i="8"/>
  <c r="R430" i="8"/>
  <c r="R766" i="8" l="1"/>
  <c r="R395" i="8"/>
  <c r="R401" i="8"/>
  <c r="R394" i="8"/>
  <c r="R384" i="8" l="1"/>
  <c r="E112" i="21" l="1"/>
  <c r="E159" i="21"/>
  <c r="E285" i="21"/>
  <c r="H24" i="1" l="1"/>
  <c r="I24" i="1"/>
  <c r="J24" i="1"/>
  <c r="H25" i="1"/>
  <c r="I25" i="1"/>
  <c r="J25" i="1"/>
  <c r="H26" i="1"/>
  <c r="I26" i="1"/>
  <c r="J26" i="1"/>
  <c r="H27" i="1"/>
  <c r="I27" i="1"/>
  <c r="J27" i="1"/>
  <c r="H28" i="1"/>
  <c r="I28" i="1"/>
  <c r="J28" i="1"/>
  <c r="H29" i="1"/>
  <c r="I29" i="1"/>
  <c r="J29" i="1"/>
  <c r="H30" i="1"/>
  <c r="I30" i="1"/>
  <c r="J30" i="1"/>
  <c r="H31" i="1"/>
  <c r="I31" i="1"/>
  <c r="J31" i="1"/>
  <c r="H32" i="1"/>
  <c r="I32" i="1"/>
  <c r="J32" i="1"/>
  <c r="R23" i="8"/>
  <c r="R22" i="8"/>
  <c r="R21" i="8"/>
  <c r="T826" i="8"/>
  <c r="R826" i="8"/>
  <c r="F826" i="8"/>
  <c r="T817" i="8"/>
  <c r="T32" i="1" s="1"/>
  <c r="R817" i="8"/>
  <c r="R32" i="1" s="1"/>
  <c r="F817" i="8"/>
  <c r="F32" i="1" s="1"/>
  <c r="T816" i="8"/>
  <c r="T31" i="1" s="1"/>
  <c r="R816" i="8"/>
  <c r="R31" i="1" s="1"/>
  <c r="F816" i="8"/>
  <c r="F31" i="1" s="1"/>
  <c r="T815" i="8"/>
  <c r="T30" i="1" s="1"/>
  <c r="R815" i="8"/>
  <c r="R30" i="1" s="1"/>
  <c r="F815" i="8"/>
  <c r="F30" i="1" s="1"/>
  <c r="T814" i="8"/>
  <c r="T29" i="1" s="1"/>
  <c r="R814" i="8"/>
  <c r="R29" i="1" s="1"/>
  <c r="F814" i="8"/>
  <c r="F29" i="1" s="1"/>
  <c r="T813" i="8"/>
  <c r="T28" i="1" s="1"/>
  <c r="R813" i="8"/>
  <c r="R28" i="1" s="1"/>
  <c r="F813" i="8"/>
  <c r="F28" i="1" s="1"/>
  <c r="T812" i="8"/>
  <c r="T27" i="1" s="1"/>
  <c r="R812" i="8"/>
  <c r="R27" i="1" s="1"/>
  <c r="F812" i="8"/>
  <c r="F27" i="1" s="1"/>
  <c r="R799" i="8"/>
  <c r="R793" i="8"/>
  <c r="R787" i="8"/>
  <c r="R777" i="8"/>
  <c r="R767" i="8"/>
  <c r="R757" i="8"/>
  <c r="R756" i="8"/>
  <c r="R755" i="8"/>
  <c r="R740" i="8"/>
  <c r="R739" i="8"/>
  <c r="R738" i="8"/>
  <c r="R733" i="8"/>
  <c r="R732" i="8"/>
  <c r="R731" i="8"/>
  <c r="R722" i="8"/>
  <c r="R721" i="8"/>
  <c r="R720" i="8"/>
  <c r="R711" i="8"/>
  <c r="R710" i="8"/>
  <c r="R709" i="8"/>
  <c r="R704" i="8"/>
  <c r="R703" i="8"/>
  <c r="R702" i="8"/>
  <c r="R685" i="8"/>
  <c r="R679" i="8"/>
  <c r="R657" i="8"/>
  <c r="R651" i="8"/>
  <c r="R645" i="8"/>
  <c r="R639" i="8"/>
  <c r="R633" i="8"/>
  <c r="R627" i="8"/>
  <c r="R617" i="8"/>
  <c r="R608" i="8"/>
  <c r="R601" i="8"/>
  <c r="R594" i="8"/>
  <c r="R586" i="8"/>
  <c r="R579" i="8"/>
  <c r="R570" i="8"/>
  <c r="R563" i="8"/>
  <c r="R556" i="8"/>
  <c r="R545" i="8"/>
  <c r="R538" i="8"/>
  <c r="R531" i="8"/>
  <c r="R524" i="8"/>
  <c r="R517" i="8"/>
  <c r="R510" i="8"/>
  <c r="R503" i="8"/>
  <c r="R496" i="8"/>
  <c r="R485" i="8"/>
  <c r="R484" i="8"/>
  <c r="R483" i="8"/>
  <c r="R468" i="8"/>
  <c r="R467" i="8"/>
  <c r="R466" i="8"/>
  <c r="R461" i="8"/>
  <c r="R460" i="8"/>
  <c r="R459" i="8"/>
  <c r="R454" i="8"/>
  <c r="R453" i="8"/>
  <c r="R452" i="8"/>
  <c r="R443" i="8"/>
  <c r="R442" i="8"/>
  <c r="R441" i="8"/>
  <c r="R432" i="8"/>
  <c r="R425" i="8"/>
  <c r="R424" i="8"/>
  <c r="R423" i="8"/>
  <c r="R408" i="8"/>
  <c r="R402" i="8"/>
  <c r="R396" i="8"/>
  <c r="R385" i="8"/>
  <c r="R375" i="8"/>
  <c r="R374" i="8"/>
  <c r="R373" i="8"/>
  <c r="R358" i="8"/>
  <c r="R352" i="8"/>
  <c r="R351" i="8"/>
  <c r="R350" i="8"/>
  <c r="R341" i="8"/>
  <c r="R340" i="8"/>
  <c r="R339" i="8"/>
  <c r="R330" i="8"/>
  <c r="R329" i="8"/>
  <c r="R328" i="8"/>
  <c r="R323" i="8"/>
  <c r="R322" i="8"/>
  <c r="R321" i="8"/>
  <c r="R308" i="8"/>
  <c r="R307" i="8"/>
  <c r="R306" i="8"/>
  <c r="R301" i="8"/>
  <c r="R295" i="8"/>
  <c r="R289" i="8"/>
  <c r="R279" i="8"/>
  <c r="R273" i="8"/>
  <c r="R267" i="8"/>
  <c r="R261" i="8"/>
  <c r="R254" i="8"/>
  <c r="R248" i="8"/>
  <c r="R242" i="8"/>
  <c r="R236" i="8"/>
  <c r="R230" i="8"/>
  <c r="R224" i="8"/>
  <c r="R214" i="8"/>
  <c r="R207" i="8"/>
  <c r="R200" i="8"/>
  <c r="R193" i="8"/>
  <c r="R186" i="8"/>
  <c r="R179" i="8"/>
  <c r="R172" i="8"/>
  <c r="R165" i="8"/>
  <c r="R158" i="8"/>
  <c r="R151" i="8"/>
  <c r="R144" i="8"/>
  <c r="R137" i="8"/>
  <c r="R130" i="8"/>
  <c r="R123" i="8"/>
  <c r="R122" i="8"/>
  <c r="R121" i="8"/>
  <c r="R116" i="8"/>
  <c r="R107" i="8"/>
  <c r="R88" i="8"/>
  <c r="R82" i="8"/>
  <c r="R75" i="8"/>
  <c r="R45" i="8"/>
  <c r="R486" i="8" l="1"/>
  <c r="AM481" i="8" s="1"/>
  <c r="R83" i="8"/>
  <c r="AM78" i="8" s="1"/>
  <c r="R89" i="8"/>
  <c r="AM85" i="8" s="1"/>
  <c r="R225" i="8"/>
  <c r="AM221" i="8" s="1"/>
  <c r="R237" i="8"/>
  <c r="AM233" i="8" s="1"/>
  <c r="R268" i="8"/>
  <c r="AM264" i="8" s="1"/>
  <c r="R280" i="8"/>
  <c r="AM276" i="8" s="1"/>
  <c r="R324" i="8"/>
  <c r="AM319" i="8" s="1"/>
  <c r="R353" i="8"/>
  <c r="AM348" i="8" s="1"/>
  <c r="R386" i="8"/>
  <c r="AM382" i="8" s="1"/>
  <c r="R426" i="8"/>
  <c r="AM421" i="8" s="1"/>
  <c r="R433" i="8"/>
  <c r="AM428" i="8" s="1"/>
  <c r="R768" i="8"/>
  <c r="AM764" i="8" s="1"/>
  <c r="R24" i="8"/>
  <c r="AM19" i="8" s="1"/>
  <c r="R290" i="8"/>
  <c r="AM286" i="8" s="1"/>
  <c r="R723" i="8"/>
  <c r="AM718" i="8" s="1"/>
  <c r="R117" i="8"/>
  <c r="AM110" i="8" s="1"/>
  <c r="R444" i="8"/>
  <c r="AM439" i="8" s="1"/>
  <c r="R658" i="8"/>
  <c r="R712" i="8"/>
  <c r="AM707" i="8" s="1"/>
  <c r="R296" i="8"/>
  <c r="AM292" i="8" s="1"/>
  <c r="R397" i="8"/>
  <c r="AM392" i="8" s="1"/>
  <c r="R640" i="8"/>
  <c r="R124" i="8"/>
  <c r="AM119" i="8" s="1"/>
  <c r="R302" i="8"/>
  <c r="AM298" i="8" s="1"/>
  <c r="R403" i="8"/>
  <c r="AM399" i="8" s="1"/>
  <c r="R634" i="8"/>
  <c r="R705" i="8"/>
  <c r="AM700" i="8" s="1"/>
  <c r="R734" i="8"/>
  <c r="AM729" i="8" s="1"/>
  <c r="R628" i="8"/>
  <c r="R686" i="8"/>
  <c r="R46" i="8"/>
  <c r="AM38" i="8" s="1"/>
  <c r="R76" i="8"/>
  <c r="AM56" i="8" s="1"/>
  <c r="R309" i="8"/>
  <c r="AM304" i="8" s="1"/>
  <c r="R331" i="8"/>
  <c r="AM326" i="8" s="1"/>
  <c r="R342" i="8"/>
  <c r="AM337" i="8" s="1"/>
  <c r="R359" i="8"/>
  <c r="AM355" i="8" s="1"/>
  <c r="R409" i="8"/>
  <c r="AM405" i="8" s="1"/>
  <c r="R778" i="8"/>
  <c r="R811" i="8" s="1"/>
  <c r="R26" i="1" s="1"/>
  <c r="R800" i="8"/>
  <c r="R262" i="8"/>
  <c r="R274" i="8"/>
  <c r="R243" i="8"/>
  <c r="R249" i="8"/>
  <c r="R215" i="8"/>
  <c r="R255" i="8"/>
  <c r="R376" i="8"/>
  <c r="R231" i="8"/>
  <c r="R758" i="8"/>
  <c r="R462" i="8"/>
  <c r="R680" i="8"/>
  <c r="R794" i="8"/>
  <c r="R469" i="8"/>
  <c r="R455" i="8"/>
  <c r="R646" i="8"/>
  <c r="R652" i="8"/>
  <c r="R741" i="8"/>
  <c r="R788" i="8"/>
  <c r="B415" i="21"/>
  <c r="B414" i="21"/>
  <c r="B413" i="21"/>
  <c r="B412" i="21"/>
  <c r="F411" i="21"/>
  <c r="B411" i="21"/>
  <c r="B410" i="21"/>
  <c r="B409" i="21"/>
  <c r="B408" i="21"/>
  <c r="B407" i="21"/>
  <c r="B406" i="21"/>
  <c r="B405" i="21"/>
  <c r="F404" i="21"/>
  <c r="B404" i="21"/>
  <c r="F394" i="21"/>
  <c r="F415" i="21" s="1"/>
  <c r="F354" i="21"/>
  <c r="F355" i="21" s="1"/>
  <c r="F414" i="21" s="1"/>
  <c r="F346" i="21"/>
  <c r="F345" i="21"/>
  <c r="F343" i="21"/>
  <c r="F342" i="21"/>
  <c r="F339" i="21"/>
  <c r="F338" i="21"/>
  <c r="F337" i="21"/>
  <c r="F336" i="21"/>
  <c r="F335" i="21"/>
  <c r="F334" i="21"/>
  <c r="F333" i="21"/>
  <c r="F332" i="21"/>
  <c r="F331" i="21"/>
  <c r="F330" i="21"/>
  <c r="F329" i="21"/>
  <c r="F328" i="21"/>
  <c r="F327" i="21"/>
  <c r="F326" i="21"/>
  <c r="F325" i="21"/>
  <c r="F324" i="21"/>
  <c r="F323" i="21"/>
  <c r="F322" i="21"/>
  <c r="F321" i="21"/>
  <c r="F320" i="21"/>
  <c r="F319" i="21"/>
  <c r="F318" i="21"/>
  <c r="F317" i="21"/>
  <c r="F316" i="21"/>
  <c r="F315" i="21"/>
  <c r="F314" i="21"/>
  <c r="F313" i="21"/>
  <c r="F312" i="21"/>
  <c r="F311" i="21"/>
  <c r="F310" i="21"/>
  <c r="F309" i="21"/>
  <c r="F308" i="21"/>
  <c r="F307" i="21"/>
  <c r="F306" i="21"/>
  <c r="F305" i="21"/>
  <c r="F304" i="21"/>
  <c r="F303" i="21"/>
  <c r="F302" i="21"/>
  <c r="F301" i="21"/>
  <c r="F300" i="21"/>
  <c r="F272" i="21"/>
  <c r="F271" i="21"/>
  <c r="F270" i="21"/>
  <c r="F269" i="21"/>
  <c r="F268" i="21"/>
  <c r="F267" i="21"/>
  <c r="F266" i="21"/>
  <c r="F265" i="21"/>
  <c r="F263" i="21"/>
  <c r="F261" i="21"/>
  <c r="F260" i="21"/>
  <c r="F259" i="21"/>
  <c r="F258" i="21"/>
  <c r="F256" i="21"/>
  <c r="F255" i="21"/>
  <c r="F254" i="21"/>
  <c r="F253" i="21"/>
  <c r="F252" i="21"/>
  <c r="F251" i="21"/>
  <c r="F245" i="21"/>
  <c r="F244" i="21"/>
  <c r="F239" i="21"/>
  <c r="F238" i="21"/>
  <c r="F237" i="21"/>
  <c r="F236" i="21"/>
  <c r="F235" i="21"/>
  <c r="F234" i="21"/>
  <c r="F233" i="21"/>
  <c r="F232" i="21"/>
  <c r="F231" i="21"/>
  <c r="F230" i="21"/>
  <c r="F229" i="21"/>
  <c r="F228" i="21"/>
  <c r="F226" i="21"/>
  <c r="F225" i="21"/>
  <c r="F224" i="21"/>
  <c r="F223" i="21"/>
  <c r="F218" i="21"/>
  <c r="F217" i="21"/>
  <c r="F216" i="21"/>
  <c r="F215" i="21"/>
  <c r="F214" i="21"/>
  <c r="F213" i="21"/>
  <c r="F189" i="21"/>
  <c r="F179" i="21"/>
  <c r="F169" i="21"/>
  <c r="F146" i="21"/>
  <c r="F145" i="21"/>
  <c r="F144" i="21"/>
  <c r="F143" i="21"/>
  <c r="F142" i="21"/>
  <c r="F141" i="21"/>
  <c r="F140" i="21"/>
  <c r="F117" i="21"/>
  <c r="F116" i="21"/>
  <c r="F98" i="21"/>
  <c r="F97" i="21"/>
  <c r="F95" i="21"/>
  <c r="C93" i="21"/>
  <c r="F90" i="21"/>
  <c r="F89" i="21"/>
  <c r="F88" i="21"/>
  <c r="F87" i="21"/>
  <c r="F76" i="21"/>
  <c r="F75" i="21"/>
  <c r="F56" i="21"/>
  <c r="F55" i="21"/>
  <c r="F54" i="21"/>
  <c r="AM796" i="8" l="1"/>
  <c r="AM774" i="8"/>
  <c r="R810" i="8"/>
  <c r="R25" i="1" s="1"/>
  <c r="AM624" i="8"/>
  <c r="R809" i="8"/>
  <c r="R24" i="1" s="1"/>
  <c r="AM636" i="8"/>
  <c r="AM682" i="8"/>
  <c r="AM654" i="8"/>
  <c r="AM630" i="8"/>
  <c r="R472" i="8"/>
  <c r="F155" i="21"/>
  <c r="F407" i="21" s="1"/>
  <c r="F246" i="21"/>
  <c r="F409" i="21" s="1"/>
  <c r="F273" i="21"/>
  <c r="F410" i="21" s="1"/>
  <c r="R803" i="8"/>
  <c r="AM753" i="8"/>
  <c r="AM270" i="8"/>
  <c r="AM736" i="8"/>
  <c r="AM790" i="8"/>
  <c r="AM457" i="8"/>
  <c r="AM210" i="8"/>
  <c r="AM245" i="8"/>
  <c r="AM257" i="8"/>
  <c r="AM251" i="8"/>
  <c r="AM464" i="8"/>
  <c r="AM648" i="8"/>
  <c r="AM450" i="8"/>
  <c r="AM227" i="8"/>
  <c r="AM239" i="8"/>
  <c r="AM784" i="8"/>
  <c r="AM676" i="8"/>
  <c r="AM371" i="8"/>
  <c r="AM642" i="8"/>
  <c r="F350" i="21"/>
  <c r="F413" i="21" s="1"/>
  <c r="F22" i="18" l="1"/>
  <c r="D7" i="18" l="1"/>
  <c r="D8" i="18"/>
  <c r="D9" i="18"/>
  <c r="D10" i="18"/>
  <c r="D6" i="18"/>
  <c r="A1" i="18" l="1"/>
  <c r="A2" i="18" l="1"/>
  <c r="S5" i="18"/>
  <c r="A31" i="1" l="1"/>
  <c r="A28" i="1"/>
  <c r="T1" i="8"/>
  <c r="T593" i="8" s="1"/>
  <c r="T2" i="1"/>
  <c r="T2" i="8" s="1"/>
  <c r="J23" i="1"/>
  <c r="H23" i="1"/>
  <c r="S2" i="8"/>
  <c r="S12" i="11"/>
  <c r="T12" i="11"/>
  <c r="F1" i="11"/>
  <c r="S12" i="8"/>
  <c r="T12" i="8"/>
  <c r="F1" i="8"/>
  <c r="O6" i="1"/>
  <c r="B18" i="1"/>
  <c r="Q1" i="1"/>
  <c r="E36" i="1" s="1"/>
  <c r="C11" i="1"/>
  <c r="G32" i="1" s="1"/>
  <c r="S1" i="1"/>
  <c r="C2" i="1"/>
  <c r="T13" i="1"/>
  <c r="T1" i="11"/>
  <c r="R21" i="11"/>
  <c r="S2" i="11"/>
  <c r="S1" i="11"/>
  <c r="F77" i="1"/>
  <c r="T52" i="11"/>
  <c r="T829" i="8" s="1"/>
  <c r="T53" i="11"/>
  <c r="T830" i="8" s="1"/>
  <c r="T110" i="1" s="1"/>
  <c r="S110" i="1" s="1"/>
  <c r="T54" i="11"/>
  <c r="T55" i="11"/>
  <c r="T832" i="8" s="1"/>
  <c r="T112" i="1" s="1"/>
  <c r="S112" i="1" s="1"/>
  <c r="T56" i="11"/>
  <c r="T833" i="8" s="1"/>
  <c r="T113" i="1" s="1"/>
  <c r="S113" i="1" s="1"/>
  <c r="T57" i="11"/>
  <c r="T834" i="8" s="1"/>
  <c r="T114" i="1" s="1"/>
  <c r="S114" i="1" s="1"/>
  <c r="T58" i="11"/>
  <c r="T835" i="8" s="1"/>
  <c r="T115" i="1" s="1"/>
  <c r="S115" i="1" s="1"/>
  <c r="T59" i="11"/>
  <c r="T836" i="8" s="1"/>
  <c r="T116" i="1" s="1"/>
  <c r="S116" i="1" s="1"/>
  <c r="T60" i="11"/>
  <c r="T837" i="8" s="1"/>
  <c r="T117" i="1" s="1"/>
  <c r="S117" i="1" s="1"/>
  <c r="T63" i="11"/>
  <c r="T64" i="11"/>
  <c r="T65" i="11"/>
  <c r="T842" i="8" s="1"/>
  <c r="T122" i="1" s="1"/>
  <c r="S122" i="1" s="1"/>
  <c r="T66" i="11"/>
  <c r="T843" i="8" s="1"/>
  <c r="T123" i="1" s="1"/>
  <c r="S123" i="1" s="1"/>
  <c r="T67" i="11"/>
  <c r="T844" i="8" s="1"/>
  <c r="T124" i="1" s="1"/>
  <c r="S124" i="1" s="1"/>
  <c r="T68" i="11"/>
  <c r="T845" i="8" s="1"/>
  <c r="T125" i="1" s="1"/>
  <c r="S125" i="1" s="1"/>
  <c r="T69" i="11"/>
  <c r="T846" i="8" s="1"/>
  <c r="T126" i="1" s="1"/>
  <c r="S126" i="1" s="1"/>
  <c r="T70" i="11"/>
  <c r="T847" i="8" s="1"/>
  <c r="T127" i="1" s="1"/>
  <c r="S127" i="1" s="1"/>
  <c r="T71" i="11"/>
  <c r="T848" i="8" s="1"/>
  <c r="T128" i="1" s="1"/>
  <c r="S128" i="1" s="1"/>
  <c r="T72" i="11"/>
  <c r="T849" i="8" s="1"/>
  <c r="T129" i="1" s="1"/>
  <c r="S129" i="1" s="1"/>
  <c r="T73" i="11"/>
  <c r="T850" i="8" s="1"/>
  <c r="T130" i="1" s="1"/>
  <c r="S130" i="1" s="1"/>
  <c r="T75" i="11"/>
  <c r="T76" i="11"/>
  <c r="T853" i="8" s="1"/>
  <c r="T133" i="1" s="1"/>
  <c r="S133" i="1" s="1"/>
  <c r="T77" i="11"/>
  <c r="T78" i="11"/>
  <c r="T79" i="11"/>
  <c r="T856" i="8" s="1"/>
  <c r="T136" i="1" s="1"/>
  <c r="S136" i="1" s="1"/>
  <c r="T80" i="11"/>
  <c r="T857" i="8" s="1"/>
  <c r="T137" i="1" s="1"/>
  <c r="S137" i="1" s="1"/>
  <c r="T81" i="11"/>
  <c r="T82" i="11"/>
  <c r="T859" i="8" s="1"/>
  <c r="T139" i="1" s="1"/>
  <c r="S139" i="1" s="1"/>
  <c r="T83" i="11"/>
  <c r="T860" i="8" s="1"/>
  <c r="T140" i="1" s="1"/>
  <c r="S140" i="1" s="1"/>
  <c r="T84" i="11"/>
  <c r="T861" i="8" s="1"/>
  <c r="T141" i="1" s="1"/>
  <c r="S141" i="1" s="1"/>
  <c r="T85" i="11"/>
  <c r="T862" i="8" s="1"/>
  <c r="T142" i="1" s="1"/>
  <c r="S142" i="1" s="1"/>
  <c r="T86" i="11"/>
  <c r="T863" i="8" s="1"/>
  <c r="T143" i="1" s="1"/>
  <c r="S143" i="1" s="1"/>
  <c r="T87" i="11"/>
  <c r="T864" i="8" s="1"/>
  <c r="T144" i="1" s="1"/>
  <c r="S144" i="1" s="1"/>
  <c r="T88" i="11"/>
  <c r="T865" i="8" s="1"/>
  <c r="T145" i="1" s="1"/>
  <c r="S145" i="1" s="1"/>
  <c r="T89" i="11"/>
  <c r="T90" i="11"/>
  <c r="T91" i="11"/>
  <c r="T868" i="8" s="1"/>
  <c r="T148" i="1" s="1"/>
  <c r="S148" i="1" s="1"/>
  <c r="T92" i="11"/>
  <c r="T869" i="8" s="1"/>
  <c r="T149" i="1" s="1"/>
  <c r="S149" i="1" s="1"/>
  <c r="T93" i="11"/>
  <c r="T870" i="8" s="1"/>
  <c r="T150" i="1" s="1"/>
  <c r="S150" i="1" s="1"/>
  <c r="T94" i="11"/>
  <c r="T871" i="8" s="1"/>
  <c r="T95" i="11"/>
  <c r="T872" i="8" s="1"/>
  <c r="T152" i="1" s="1"/>
  <c r="S152" i="1" s="1"/>
  <c r="T96" i="11"/>
  <c r="T873" i="8" s="1"/>
  <c r="T153" i="1" s="1"/>
  <c r="S153" i="1" s="1"/>
  <c r="T97" i="11"/>
  <c r="T874" i="8" s="1"/>
  <c r="T154" i="1" s="1"/>
  <c r="S154" i="1" s="1"/>
  <c r="T98" i="11"/>
  <c r="T99" i="11"/>
  <c r="T100" i="11"/>
  <c r="T877" i="8" s="1"/>
  <c r="T157" i="1" s="1"/>
  <c r="S157" i="1" s="1"/>
  <c r="T101" i="11"/>
  <c r="T878" i="8" s="1"/>
  <c r="T158" i="1" s="1"/>
  <c r="S158" i="1" s="1"/>
  <c r="T102" i="11"/>
  <c r="T879" i="8" s="1"/>
  <c r="T159" i="1" s="1"/>
  <c r="S159" i="1" s="1"/>
  <c r="T103" i="11"/>
  <c r="T104" i="11"/>
  <c r="T881" i="8" s="1"/>
  <c r="T161" i="1" s="1"/>
  <c r="S161" i="1" s="1"/>
  <c r="T105" i="11"/>
  <c r="T882" i="8" s="1"/>
  <c r="T162" i="1" s="1"/>
  <c r="S162" i="1" s="1"/>
  <c r="T106" i="11"/>
  <c r="T883" i="8" s="1"/>
  <c r="T163" i="1" s="1"/>
  <c r="S163" i="1" s="1"/>
  <c r="T107" i="11"/>
  <c r="T884" i="8" s="1"/>
  <c r="T164" i="1" s="1"/>
  <c r="S164" i="1" s="1"/>
  <c r="R52" i="11"/>
  <c r="R829" i="8" s="1"/>
  <c r="R53" i="11"/>
  <c r="R830" i="8" s="1"/>
  <c r="R110" i="1" s="1"/>
  <c r="R54" i="11"/>
  <c r="R831" i="8" s="1"/>
  <c r="R55" i="11"/>
  <c r="R832" i="8" s="1"/>
  <c r="R112" i="1" s="1"/>
  <c r="R56" i="11"/>
  <c r="R833" i="8" s="1"/>
  <c r="R113" i="1" s="1"/>
  <c r="R57" i="11"/>
  <c r="R834" i="8" s="1"/>
  <c r="R114" i="1" s="1"/>
  <c r="R58" i="11"/>
  <c r="R835" i="8" s="1"/>
  <c r="R115" i="1" s="1"/>
  <c r="R59" i="11"/>
  <c r="R836" i="8" s="1"/>
  <c r="R116" i="1" s="1"/>
  <c r="R60" i="11"/>
  <c r="R837" i="8" s="1"/>
  <c r="R117" i="1" s="1"/>
  <c r="R63" i="11"/>
  <c r="R840" i="8" s="1"/>
  <c r="R120" i="1" s="1"/>
  <c r="R64" i="11"/>
  <c r="R841" i="8" s="1"/>
  <c r="R121" i="1" s="1"/>
  <c r="R65" i="11"/>
  <c r="R842" i="8" s="1"/>
  <c r="R122" i="1" s="1"/>
  <c r="R66" i="11"/>
  <c r="R843" i="8" s="1"/>
  <c r="R123" i="1" s="1"/>
  <c r="R67" i="11"/>
  <c r="R844" i="8" s="1"/>
  <c r="R124" i="1" s="1"/>
  <c r="R68" i="11"/>
  <c r="R845" i="8" s="1"/>
  <c r="R125" i="1" s="1"/>
  <c r="R69" i="11"/>
  <c r="R846" i="8" s="1"/>
  <c r="R126" i="1" s="1"/>
  <c r="R70" i="11"/>
  <c r="R847" i="8" s="1"/>
  <c r="R127" i="1" s="1"/>
  <c r="R71" i="11"/>
  <c r="R848" i="8" s="1"/>
  <c r="R128" i="1" s="1"/>
  <c r="R72" i="11"/>
  <c r="R849" i="8" s="1"/>
  <c r="R129" i="1" s="1"/>
  <c r="R73" i="11"/>
  <c r="R850" i="8" s="1"/>
  <c r="R130" i="1" s="1"/>
  <c r="R75" i="11"/>
  <c r="R852" i="8" s="1"/>
  <c r="R76" i="11"/>
  <c r="R853" i="8" s="1"/>
  <c r="R133" i="1" s="1"/>
  <c r="R77" i="11"/>
  <c r="R854" i="8" s="1"/>
  <c r="R134" i="1" s="1"/>
  <c r="R78" i="11"/>
  <c r="R855" i="8" s="1"/>
  <c r="R135" i="1" s="1"/>
  <c r="R79" i="11"/>
  <c r="R856" i="8" s="1"/>
  <c r="R136" i="1" s="1"/>
  <c r="R80" i="11"/>
  <c r="R857" i="8" s="1"/>
  <c r="R137" i="1" s="1"/>
  <c r="R81" i="11"/>
  <c r="R858" i="8" s="1"/>
  <c r="R138" i="1" s="1"/>
  <c r="R82" i="11"/>
  <c r="R859" i="8" s="1"/>
  <c r="R139" i="1" s="1"/>
  <c r="R83" i="11"/>
  <c r="R860" i="8" s="1"/>
  <c r="R140" i="1" s="1"/>
  <c r="R84" i="11"/>
  <c r="R861" i="8" s="1"/>
  <c r="R141" i="1" s="1"/>
  <c r="R85" i="11"/>
  <c r="R862" i="8" s="1"/>
  <c r="R142" i="1" s="1"/>
  <c r="R86" i="11"/>
  <c r="R863" i="8" s="1"/>
  <c r="R143" i="1" s="1"/>
  <c r="R87" i="11"/>
  <c r="R864" i="8" s="1"/>
  <c r="R144" i="1" s="1"/>
  <c r="R88" i="11"/>
  <c r="R865" i="8" s="1"/>
  <c r="R145" i="1" s="1"/>
  <c r="R89" i="11"/>
  <c r="R866" i="8" s="1"/>
  <c r="R146" i="1" s="1"/>
  <c r="R90" i="11"/>
  <c r="R867" i="8" s="1"/>
  <c r="R147" i="1" s="1"/>
  <c r="R91" i="11"/>
  <c r="R868" i="8" s="1"/>
  <c r="R148" i="1" s="1"/>
  <c r="R92" i="11"/>
  <c r="R869" i="8" s="1"/>
  <c r="R149" i="1" s="1"/>
  <c r="R93" i="11"/>
  <c r="R870" i="8" s="1"/>
  <c r="R150" i="1" s="1"/>
  <c r="R94" i="11"/>
  <c r="R871" i="8" s="1"/>
  <c r="R151" i="1" s="1"/>
  <c r="R95" i="11"/>
  <c r="R872" i="8" s="1"/>
  <c r="R152" i="1" s="1"/>
  <c r="R96" i="11"/>
  <c r="R873" i="8" s="1"/>
  <c r="R153" i="1" s="1"/>
  <c r="R97" i="11"/>
  <c r="R874" i="8" s="1"/>
  <c r="R154" i="1" s="1"/>
  <c r="R98" i="11"/>
  <c r="R875" i="8" s="1"/>
  <c r="R155" i="1" s="1"/>
  <c r="R99" i="11"/>
  <c r="R876" i="8" s="1"/>
  <c r="R156" i="1" s="1"/>
  <c r="R100" i="11"/>
  <c r="R877" i="8" s="1"/>
  <c r="R157" i="1" s="1"/>
  <c r="R101" i="11"/>
  <c r="R878" i="8" s="1"/>
  <c r="R158" i="1" s="1"/>
  <c r="R102" i="11"/>
  <c r="R879" i="8" s="1"/>
  <c r="R159" i="1" s="1"/>
  <c r="R103" i="11"/>
  <c r="R880" i="8" s="1"/>
  <c r="R160" i="1" s="1"/>
  <c r="R104" i="11"/>
  <c r="R881" i="8" s="1"/>
  <c r="R105" i="11"/>
  <c r="R882" i="8" s="1"/>
  <c r="R162" i="1" s="1"/>
  <c r="R106" i="11"/>
  <c r="R883" i="8" s="1"/>
  <c r="R163" i="1" s="1"/>
  <c r="R107" i="11"/>
  <c r="R884" i="8" s="1"/>
  <c r="R164" i="1" s="1"/>
  <c r="C3" i="1"/>
  <c r="C4" i="1"/>
  <c r="G25" i="1" s="1"/>
  <c r="C5" i="1"/>
  <c r="G26" i="1" s="1"/>
  <c r="C6" i="1"/>
  <c r="G27" i="1" s="1"/>
  <c r="C7" i="1"/>
  <c r="G28" i="1" s="1"/>
  <c r="C8" i="1"/>
  <c r="G29" i="1" s="1"/>
  <c r="C9" i="1"/>
  <c r="G30" i="1" s="1"/>
  <c r="C10" i="1"/>
  <c r="G31" i="1" s="1"/>
  <c r="C12" i="1"/>
  <c r="C12" i="8" s="1"/>
  <c r="Q12" i="11"/>
  <c r="F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11"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8" s="1"/>
  <c r="L3" i="1"/>
  <c r="L3" i="11" s="1"/>
  <c r="K3" i="1"/>
  <c r="K3" i="11" s="1"/>
  <c r="J3" i="1"/>
  <c r="J3" i="11" s="1"/>
  <c r="F3" i="11"/>
  <c r="D3" i="11"/>
  <c r="Q2" i="11"/>
  <c r="O2" i="1"/>
  <c r="O2" i="11" s="1"/>
  <c r="N2" i="1"/>
  <c r="N2" i="11" s="1"/>
  <c r="M2" i="1"/>
  <c r="M2" i="8" s="1"/>
  <c r="L2" i="1"/>
  <c r="L2" i="11" s="1"/>
  <c r="K2" i="1"/>
  <c r="K2" i="11" s="1"/>
  <c r="J2" i="1"/>
  <c r="J2" i="11" s="1"/>
  <c r="F2" i="11"/>
  <c r="D2" i="11"/>
  <c r="U1" i="11"/>
  <c r="O1" i="1"/>
  <c r="O1" i="11" s="1"/>
  <c r="N1" i="1"/>
  <c r="N1" i="11" s="1"/>
  <c r="M1" i="1"/>
  <c r="M1" i="11" s="1"/>
  <c r="L1" i="1"/>
  <c r="L1" i="11" s="1"/>
  <c r="K1" i="1"/>
  <c r="K1" i="11" s="1"/>
  <c r="J1" i="1"/>
  <c r="J1" i="8" s="1"/>
  <c r="D1" i="11"/>
  <c r="C1" i="11"/>
  <c r="B16" i="1"/>
  <c r="S3" i="8"/>
  <c r="T3" i="8"/>
  <c r="B14" i="1"/>
  <c r="D95" i="1"/>
  <c r="D175" i="1" s="1"/>
  <c r="C11" i="8"/>
  <c r="S11" i="8"/>
  <c r="AH817" i="8" s="1"/>
  <c r="T11" i="8"/>
  <c r="AJ817" i="8" s="1"/>
  <c r="S10" i="8"/>
  <c r="AH816" i="8" s="1"/>
  <c r="T10" i="8"/>
  <c r="AJ816" i="8" s="1"/>
  <c r="S9" i="8"/>
  <c r="AH815" i="8" s="1"/>
  <c r="T9" i="8"/>
  <c r="AJ815" i="8" s="1"/>
  <c r="S8" i="8"/>
  <c r="AH814" i="8" s="1"/>
  <c r="T8" i="8"/>
  <c r="AJ814" i="8" s="1"/>
  <c r="S7" i="8"/>
  <c r="AH813" i="8" s="1"/>
  <c r="T7" i="8"/>
  <c r="AJ813" i="8" s="1"/>
  <c r="C6" i="8"/>
  <c r="S6" i="8"/>
  <c r="AH812" i="8" s="1"/>
  <c r="T6" i="8"/>
  <c r="AJ812" i="8" s="1"/>
  <c r="S5" i="8"/>
  <c r="T5" i="8"/>
  <c r="S4" i="8"/>
  <c r="T4" i="8"/>
  <c r="F11" i="8"/>
  <c r="F10" i="8"/>
  <c r="F9" i="8"/>
  <c r="E815" i="8" s="1"/>
  <c r="F8" i="8"/>
  <c r="E814" i="8" s="1"/>
  <c r="F7" i="8"/>
  <c r="E813" i="8" s="1"/>
  <c r="F6" i="8"/>
  <c r="E812" i="8" s="1"/>
  <c r="F5" i="8"/>
  <c r="E811" i="8" s="1"/>
  <c r="F4" i="8"/>
  <c r="D24" i="1"/>
  <c r="D25" i="1"/>
  <c r="D26" i="1"/>
  <c r="D27" i="1"/>
  <c r="D28" i="1"/>
  <c r="D29" i="1"/>
  <c r="D30" i="1"/>
  <c r="D31" i="1"/>
  <c r="D32" i="1"/>
  <c r="D23" i="1"/>
  <c r="F3" i="8"/>
  <c r="F2" i="8"/>
  <c r="E808" i="8" s="1"/>
  <c r="R11" i="1"/>
  <c r="R10" i="1"/>
  <c r="R9" i="1"/>
  <c r="R8" i="1"/>
  <c r="R7" i="1"/>
  <c r="R6" i="1"/>
  <c r="R5" i="1"/>
  <c r="R4" i="1"/>
  <c r="R3" i="1"/>
  <c r="R2" i="1"/>
  <c r="U1" i="8"/>
  <c r="Q2" i="8"/>
  <c r="Q3" i="8"/>
  <c r="Q4" i="8"/>
  <c r="Q5" i="8"/>
  <c r="Q6" i="8"/>
  <c r="Q7" i="8"/>
  <c r="Q8" i="8"/>
  <c r="Q9" i="8"/>
  <c r="Q10" i="8"/>
  <c r="Q11" i="8"/>
  <c r="Q12" i="8"/>
  <c r="D8" i="8"/>
  <c r="D9" i="8"/>
  <c r="D6" i="8"/>
  <c r="D4" i="8"/>
  <c r="D2" i="8"/>
  <c r="F12" i="8"/>
  <c r="C1" i="8"/>
  <c r="S1" i="8"/>
  <c r="D1" i="8"/>
  <c r="L4" i="8"/>
  <c r="N5" i="8"/>
  <c r="O6" i="8"/>
  <c r="O7" i="8"/>
  <c r="O8" i="8"/>
  <c r="M9" i="8"/>
  <c r="O9" i="8"/>
  <c r="S107" i="1"/>
  <c r="D55" i="1"/>
  <c r="D5" i="8"/>
  <c r="V1" i="1" a="1"/>
  <c r="V1" i="1" s="1"/>
  <c r="E64" i="1"/>
  <c r="E103" i="1" s="1"/>
  <c r="D3" i="8"/>
  <c r="A36" i="1"/>
  <c r="E63" i="1"/>
  <c r="E61" i="1"/>
  <c r="E101" i="1" s="1"/>
  <c r="E62" i="1"/>
  <c r="E102" i="1" s="1"/>
  <c r="E60" i="1"/>
  <c r="D51" i="1"/>
  <c r="T59" i="8" l="1"/>
  <c r="T66" i="8"/>
  <c r="AG672" i="8"/>
  <c r="E810" i="8"/>
  <c r="D668" i="8"/>
  <c r="T670" i="8"/>
  <c r="T671" i="8"/>
  <c r="B672" i="8" s="1"/>
  <c r="T666" i="8"/>
  <c r="B667" i="8" s="1"/>
  <c r="T665" i="8"/>
  <c r="T669" i="8"/>
  <c r="T664" i="8"/>
  <c r="E809" i="8"/>
  <c r="D663" i="8"/>
  <c r="AG667" i="8"/>
  <c r="AH811" i="8"/>
  <c r="J10" i="8"/>
  <c r="O2" i="8"/>
  <c r="J2" i="8"/>
  <c r="K6" i="8"/>
  <c r="M1" i="8"/>
  <c r="K10" i="8"/>
  <c r="O5" i="8"/>
  <c r="N1" i="8"/>
  <c r="T43" i="8"/>
  <c r="T42" i="8"/>
  <c r="T44" i="8"/>
  <c r="T294" i="8"/>
  <c r="T300" i="8"/>
  <c r="T272" i="8"/>
  <c r="T247" i="8"/>
  <c r="T223" i="8"/>
  <c r="T253" i="8"/>
  <c r="T266" i="8"/>
  <c r="T241" i="8"/>
  <c r="T235" i="8"/>
  <c r="T229" i="8"/>
  <c r="T278" i="8"/>
  <c r="T43" i="11"/>
  <c r="B44" i="11" s="1"/>
  <c r="T114" i="8"/>
  <c r="T115" i="8"/>
  <c r="T113" i="8"/>
  <c r="T112" i="8"/>
  <c r="T35" i="11"/>
  <c r="B36" i="11" s="1"/>
  <c r="T80" i="8"/>
  <c r="T81" i="8"/>
  <c r="T87" i="8"/>
  <c r="T213" i="8"/>
  <c r="T212" i="8"/>
  <c r="T74" i="8"/>
  <c r="T73" i="8"/>
  <c r="T72" i="8"/>
  <c r="T71" i="8"/>
  <c r="T876" i="8" s="1"/>
  <c r="T156" i="1" s="1"/>
  <c r="S156" i="1" s="1"/>
  <c r="T69" i="8"/>
  <c r="T68" i="8"/>
  <c r="T67" i="8"/>
  <c r="T70" i="8"/>
  <c r="T65" i="8"/>
  <c r="T61" i="8"/>
  <c r="T40" i="8"/>
  <c r="T64" i="8"/>
  <c r="T60" i="8"/>
  <c r="T63" i="8"/>
  <c r="T58" i="8"/>
  <c r="T62" i="8"/>
  <c r="T41" i="8"/>
  <c r="T288" i="8"/>
  <c r="AH810" i="8"/>
  <c r="T786" i="8"/>
  <c r="T792" i="8"/>
  <c r="T798" i="8"/>
  <c r="T776" i="8"/>
  <c r="AH809" i="8"/>
  <c r="T357" i="8"/>
  <c r="T880" i="8" s="1"/>
  <c r="T160" i="1" s="1"/>
  <c r="S160" i="1" s="1"/>
  <c r="T638" i="8"/>
  <c r="T626" i="8"/>
  <c r="T632" i="8"/>
  <c r="T656" i="8"/>
  <c r="T684" i="8"/>
  <c r="T650" i="8"/>
  <c r="T678" i="8"/>
  <c r="T644" i="8"/>
  <c r="T407" i="8"/>
  <c r="T413" i="8"/>
  <c r="T414" i="8"/>
  <c r="B415" i="8" s="1"/>
  <c r="T27" i="11"/>
  <c r="B28" i="11" s="1"/>
  <c r="T431" i="8"/>
  <c r="T430" i="8"/>
  <c r="T766" i="8"/>
  <c r="T401" i="8"/>
  <c r="T866" i="8" s="1"/>
  <c r="T146" i="1" s="1"/>
  <c r="S146" i="1" s="1"/>
  <c r="T395" i="8"/>
  <c r="T384" i="8"/>
  <c r="T394" i="8"/>
  <c r="M5" i="8"/>
  <c r="Q1" i="8"/>
  <c r="J1" i="11"/>
  <c r="M3" i="11"/>
  <c r="T109" i="1"/>
  <c r="M7" i="8"/>
  <c r="K1" i="8"/>
  <c r="C3" i="8"/>
  <c r="G24" i="1"/>
  <c r="R888" i="8"/>
  <c r="R132" i="1"/>
  <c r="J4" i="8"/>
  <c r="C10" i="11"/>
  <c r="C12" i="11"/>
  <c r="R889" i="8"/>
  <c r="R161" i="1"/>
  <c r="R169" i="1" s="1"/>
  <c r="L10" i="8"/>
  <c r="J3" i="8"/>
  <c r="R111" i="1"/>
  <c r="T889" i="8"/>
  <c r="T151" i="1"/>
  <c r="S151" i="1" s="1"/>
  <c r="R109" i="1"/>
  <c r="F22" i="1"/>
  <c r="B817" i="8"/>
  <c r="T21" i="8"/>
  <c r="T22" i="8"/>
  <c r="T23" i="8"/>
  <c r="B24" i="8" s="1"/>
  <c r="T793" i="8"/>
  <c r="B794" i="8" s="1"/>
  <c r="T767" i="8"/>
  <c r="B768" i="8" s="1"/>
  <c r="T755" i="8"/>
  <c r="T738" i="8"/>
  <c r="T732" i="8"/>
  <c r="T722" i="8"/>
  <c r="B723" i="8" s="1"/>
  <c r="T709" i="8"/>
  <c r="T703" i="8"/>
  <c r="T685" i="8"/>
  <c r="B686" i="8" s="1"/>
  <c r="T657" i="8"/>
  <c r="B658" i="8" s="1"/>
  <c r="T799" i="8"/>
  <c r="B800" i="8" s="1"/>
  <c r="T740" i="8"/>
  <c r="B741" i="8" s="1"/>
  <c r="T651" i="8"/>
  <c r="B652" i="8" s="1"/>
  <c r="T601" i="8"/>
  <c r="B602" i="8" s="1"/>
  <c r="T579" i="8"/>
  <c r="B580" i="8" s="1"/>
  <c r="T787" i="8"/>
  <c r="B788" i="8" s="1"/>
  <c r="T731" i="8"/>
  <c r="T721" i="8"/>
  <c r="T639" i="8"/>
  <c r="B640" i="8" s="1"/>
  <c r="T633" i="8"/>
  <c r="B634" i="8" s="1"/>
  <c r="T679" i="8"/>
  <c r="B680" i="8" s="1"/>
  <c r="T645" i="8"/>
  <c r="B646" i="8" s="1"/>
  <c r="T594" i="8"/>
  <c r="B595" i="8" s="1"/>
  <c r="T517" i="8"/>
  <c r="B518" i="8" s="1"/>
  <c r="T510" i="8"/>
  <c r="B511" i="8" s="1"/>
  <c r="T503" i="8"/>
  <c r="B504" i="8" s="1"/>
  <c r="T466" i="8"/>
  <c r="T459" i="8"/>
  <c r="T425" i="8"/>
  <c r="B426" i="8" s="1"/>
  <c r="T408" i="8"/>
  <c r="B409" i="8" s="1"/>
  <c r="T374" i="8"/>
  <c r="T330" i="8"/>
  <c r="B331" i="8" s="1"/>
  <c r="T323" i="8"/>
  <c r="B324" i="8" s="1"/>
  <c r="T308" i="8"/>
  <c r="B309" i="8" s="1"/>
  <c r="T739" i="8"/>
  <c r="T556" i="8"/>
  <c r="B557" i="8" s="1"/>
  <c r="T485" i="8"/>
  <c r="B486" i="8" s="1"/>
  <c r="T468" i="8"/>
  <c r="B469" i="8" s="1"/>
  <c r="T396" i="8"/>
  <c r="B397" i="8" s="1"/>
  <c r="T702" i="8"/>
  <c r="T531" i="8"/>
  <c r="B532" i="8" s="1"/>
  <c r="T467" i="8"/>
  <c r="T452" i="8"/>
  <c r="T443" i="8"/>
  <c r="B444" i="8" s="1"/>
  <c r="T757" i="8"/>
  <c r="B758" i="8" s="1"/>
  <c r="T720" i="8"/>
  <c r="T710" i="8"/>
  <c r="T617" i="8"/>
  <c r="B618" i="8" s="1"/>
  <c r="T570" i="8"/>
  <c r="B571" i="8" s="1"/>
  <c r="T538" i="8"/>
  <c r="B539" i="8" s="1"/>
  <c r="T460" i="8"/>
  <c r="T454" i="8"/>
  <c r="B455" i="8" s="1"/>
  <c r="T442" i="8"/>
  <c r="T424" i="8"/>
  <c r="T373" i="8"/>
  <c r="T352" i="8"/>
  <c r="B353" i="8" s="1"/>
  <c r="T340" i="8"/>
  <c r="T321" i="8"/>
  <c r="T307" i="8"/>
  <c r="T279" i="8"/>
  <c r="B280" i="8" s="1"/>
  <c r="T261" i="8"/>
  <c r="B262" i="8" s="1"/>
  <c r="T254" i="8"/>
  <c r="B255" i="8" s="1"/>
  <c r="T236" i="8"/>
  <c r="B237" i="8" s="1"/>
  <c r="T586" i="8"/>
  <c r="B587" i="8" s="1"/>
  <c r="T441" i="8"/>
  <c r="T224" i="8"/>
  <c r="B225" i="8" s="1"/>
  <c r="T200" i="8"/>
  <c r="B201" i="8" s="1"/>
  <c r="T179" i="8"/>
  <c r="B180" i="8" s="1"/>
  <c r="T158" i="8"/>
  <c r="B159" i="8" s="1"/>
  <c r="T137" i="8"/>
  <c r="B138" i="8" s="1"/>
  <c r="T122" i="8"/>
  <c r="T116" i="8"/>
  <c r="B117" i="8" s="1"/>
  <c r="T777" i="8"/>
  <c r="B778" i="8" s="1"/>
  <c r="T756" i="8"/>
  <c r="T711" i="8"/>
  <c r="B712" i="8" s="1"/>
  <c r="T496" i="8"/>
  <c r="B497" i="8" s="1"/>
  <c r="T483" i="8"/>
  <c r="T423" i="8"/>
  <c r="T385" i="8"/>
  <c r="B386" i="8" s="1"/>
  <c r="T341" i="8"/>
  <c r="B342" i="8" s="1"/>
  <c r="T329" i="8"/>
  <c r="T322" i="8"/>
  <c r="T627" i="8"/>
  <c r="B628" i="8" s="1"/>
  <c r="T358" i="8"/>
  <c r="B359" i="8" s="1"/>
  <c r="T339" i="8"/>
  <c r="T328" i="8"/>
  <c r="T242" i="8"/>
  <c r="B243" i="8" s="1"/>
  <c r="T375" i="8"/>
  <c r="B376" i="8" s="1"/>
  <c r="T351" i="8"/>
  <c r="T248" i="8"/>
  <c r="B249" i="8" s="1"/>
  <c r="T193" i="8"/>
  <c r="B194" i="8" s="1"/>
  <c r="T151" i="8"/>
  <c r="B152" i="8" s="1"/>
  <c r="T123" i="8"/>
  <c r="B124" i="8" s="1"/>
  <c r="T273" i="8"/>
  <c r="B274" i="8" s="1"/>
  <c r="T144" i="8"/>
  <c r="B145" i="8" s="1"/>
  <c r="T82" i="8"/>
  <c r="B83" i="8" s="1"/>
  <c r="T704" i="8"/>
  <c r="B705" i="8" s="1"/>
  <c r="T563" i="8"/>
  <c r="B564" i="8" s="1"/>
  <c r="T301" i="8"/>
  <c r="B302" i="8" s="1"/>
  <c r="T295" i="8"/>
  <c r="B296" i="8" s="1"/>
  <c r="T267" i="8"/>
  <c r="B268" i="8" s="1"/>
  <c r="T207" i="8"/>
  <c r="B208" i="8" s="1"/>
  <c r="T121" i="8"/>
  <c r="T230" i="8"/>
  <c r="B231" i="8" s="1"/>
  <c r="T733" i="8"/>
  <c r="B734" i="8" s="1"/>
  <c r="T608" i="8"/>
  <c r="B609" i="8" s="1"/>
  <c r="T107" i="8"/>
  <c r="B108" i="8" s="1"/>
  <c r="T350" i="8"/>
  <c r="T306" i="8"/>
  <c r="T172" i="8"/>
  <c r="B173" i="8" s="1"/>
  <c r="T130" i="8"/>
  <c r="B131" i="8" s="1"/>
  <c r="T186" i="8"/>
  <c r="B187" i="8" s="1"/>
  <c r="T88" i="8"/>
  <c r="B89" i="8" s="1"/>
  <c r="T45" i="8"/>
  <c r="B46" i="8" s="1"/>
  <c r="T524" i="8"/>
  <c r="B525" i="8" s="1"/>
  <c r="T432" i="8"/>
  <c r="B433" i="8" s="1"/>
  <c r="T402" i="8"/>
  <c r="B403" i="8" s="1"/>
  <c r="T214" i="8"/>
  <c r="B215" i="8" s="1"/>
  <c r="T165" i="8"/>
  <c r="B166" i="8" s="1"/>
  <c r="T75" i="8"/>
  <c r="B76" i="8" s="1"/>
  <c r="T461" i="8"/>
  <c r="B462" i="8" s="1"/>
  <c r="T289" i="8"/>
  <c r="B290" i="8" s="1"/>
  <c r="T545" i="8"/>
  <c r="B546" i="8" s="1"/>
  <c r="T484" i="8"/>
  <c r="T453" i="8"/>
  <c r="B812" i="8"/>
  <c r="E817" i="8"/>
  <c r="E816" i="8"/>
  <c r="T112" i="11"/>
  <c r="K7" i="8"/>
  <c r="J5" i="8"/>
  <c r="O1" i="8"/>
  <c r="J7" i="8"/>
  <c r="N4" i="8"/>
  <c r="C10" i="8"/>
  <c r="B816" i="8" s="1"/>
  <c r="L9" i="8"/>
  <c r="M6" i="8"/>
  <c r="O10" i="8"/>
  <c r="J9" i="8"/>
  <c r="N10" i="8"/>
  <c r="K3" i="8"/>
  <c r="R112" i="11"/>
  <c r="K9" i="8"/>
  <c r="O4" i="8"/>
  <c r="O3" i="8"/>
  <c r="C8" i="8"/>
  <c r="B814" i="8" s="1"/>
  <c r="N9" i="8"/>
  <c r="L7" i="8"/>
  <c r="N2" i="8"/>
  <c r="L6" i="8"/>
  <c r="K2" i="8"/>
  <c r="M10" i="8"/>
  <c r="J6" i="8"/>
  <c r="L3" i="8"/>
  <c r="M2" i="11"/>
  <c r="C4" i="11"/>
  <c r="L5" i="11"/>
  <c r="M4" i="8"/>
  <c r="N3" i="11"/>
  <c r="E22" i="1"/>
  <c r="M8" i="8"/>
  <c r="K4" i="8"/>
  <c r="L8" i="8"/>
  <c r="N6" i="8"/>
  <c r="C7" i="11"/>
  <c r="C8" i="11"/>
  <c r="K5" i="8"/>
  <c r="C4" i="8"/>
  <c r="N7" i="8"/>
  <c r="L2" i="8"/>
  <c r="L1" i="8"/>
  <c r="Q1" i="11"/>
  <c r="I23" i="1"/>
  <c r="T2" i="11"/>
  <c r="E28" i="1"/>
  <c r="B28" i="1"/>
  <c r="J8" i="11"/>
  <c r="J8" i="8"/>
  <c r="N8" i="11"/>
  <c r="N8" i="8"/>
  <c r="C9" i="8"/>
  <c r="B815" i="8" s="1"/>
  <c r="C9" i="11"/>
  <c r="C5" i="8"/>
  <c r="C5" i="11"/>
  <c r="R111" i="11"/>
  <c r="B27" i="1"/>
  <c r="E27" i="1"/>
  <c r="B30" i="1"/>
  <c r="E30" i="1"/>
  <c r="A30" i="1"/>
  <c r="K8" i="8"/>
  <c r="C3" i="11"/>
  <c r="T21" i="11"/>
  <c r="T111" i="11"/>
  <c r="B31" i="1"/>
  <c r="E31" i="1"/>
  <c r="C7" i="8"/>
  <c r="B813" i="8" s="1"/>
  <c r="G23" i="1"/>
  <c r="C2" i="8"/>
  <c r="C2" i="11"/>
  <c r="A27" i="1"/>
  <c r="E29" i="1"/>
  <c r="A29" i="1"/>
  <c r="B29" i="1"/>
  <c r="AG660" i="8" l="1"/>
  <c r="AH660" i="8"/>
  <c r="B894" i="8"/>
  <c r="B24" i="11" s="1"/>
  <c r="B895" i="8"/>
  <c r="B30" i="11" s="1"/>
  <c r="B896" i="8"/>
  <c r="B38" i="11" s="1"/>
  <c r="B893" i="8"/>
  <c r="B15" i="11" s="1"/>
  <c r="Q15" i="11" s="1"/>
  <c r="T667" i="8"/>
  <c r="T672" i="8"/>
  <c r="E668" i="8" s="1"/>
  <c r="T841" i="8"/>
  <c r="T121" i="1" s="1"/>
  <c r="S121" i="1" s="1"/>
  <c r="T840" i="8"/>
  <c r="T120" i="1" s="1"/>
  <c r="S120" i="1" s="1"/>
  <c r="T867" i="8"/>
  <c r="T147" i="1" s="1"/>
  <c r="S147" i="1" s="1"/>
  <c r="T852" i="8"/>
  <c r="T132" i="1" s="1"/>
  <c r="S132" i="1" s="1"/>
  <c r="T855" i="8"/>
  <c r="T135" i="1" s="1"/>
  <c r="S135" i="1" s="1"/>
  <c r="T875" i="8"/>
  <c r="T155" i="1" s="1"/>
  <c r="S155" i="1" s="1"/>
  <c r="T831" i="8"/>
  <c r="T111" i="1" s="1"/>
  <c r="S111" i="1" s="1"/>
  <c r="T854" i="8"/>
  <c r="T134" i="1" s="1"/>
  <c r="S134" i="1" s="1"/>
  <c r="T858" i="8"/>
  <c r="T138" i="1" s="1"/>
  <c r="S138" i="1" s="1"/>
  <c r="T415" i="8"/>
  <c r="E411" i="8" s="1"/>
  <c r="T768" i="8"/>
  <c r="AN764" i="8" s="1"/>
  <c r="AO764" i="8" s="1"/>
  <c r="T686" i="8"/>
  <c r="T83" i="8"/>
  <c r="E78" i="8" s="1"/>
  <c r="E52" i="21" s="1"/>
  <c r="F52" i="21" s="1"/>
  <c r="T342" i="8"/>
  <c r="T337" i="8" s="1"/>
  <c r="T331" i="8"/>
  <c r="E326" i="8" s="1"/>
  <c r="T24" i="8"/>
  <c r="T274" i="8"/>
  <c r="T486" i="8"/>
  <c r="T376" i="8"/>
  <c r="T46" i="8"/>
  <c r="T89" i="8"/>
  <c r="T255" i="8"/>
  <c r="T280" i="8"/>
  <c r="T215" i="8"/>
  <c r="T444" i="8"/>
  <c r="T409" i="8"/>
  <c r="T455" i="8"/>
  <c r="T403" i="8"/>
  <c r="T800" i="8"/>
  <c r="T646" i="8"/>
  <c r="T734" i="8"/>
  <c r="T652" i="8"/>
  <c r="T680" i="8"/>
  <c r="T712" i="8"/>
  <c r="T741" i="8"/>
  <c r="T237" i="8"/>
  <c r="T359" i="8"/>
  <c r="T76" i="8"/>
  <c r="T658" i="8"/>
  <c r="T640" i="8"/>
  <c r="T705" i="8"/>
  <c r="T462" i="8"/>
  <c r="T309" i="8"/>
  <c r="T302" i="8"/>
  <c r="T386" i="8"/>
  <c r="T268" i="8"/>
  <c r="T634" i="8"/>
  <c r="T723" i="8"/>
  <c r="T469" i="8"/>
  <c r="T794" i="8"/>
  <c r="T324" i="8"/>
  <c r="T124" i="8"/>
  <c r="T296" i="8"/>
  <c r="B826" i="8"/>
  <c r="T397" i="8"/>
  <c r="T353" i="8"/>
  <c r="T231" i="8"/>
  <c r="T243" i="8"/>
  <c r="T225" i="8"/>
  <c r="T117" i="8"/>
  <c r="T290" i="8"/>
  <c r="T426" i="8"/>
  <c r="T262" i="8"/>
  <c r="T249" i="8"/>
  <c r="T433" i="8"/>
  <c r="T628" i="8"/>
  <c r="T778" i="8"/>
  <c r="T758" i="8"/>
  <c r="T788" i="8"/>
  <c r="S109" i="1"/>
  <c r="A32" i="1"/>
  <c r="B32" i="1"/>
  <c r="E32" i="1"/>
  <c r="T169" i="1"/>
  <c r="R168" i="1"/>
  <c r="A17" i="11" l="1"/>
  <c r="A20" i="11"/>
  <c r="A19" i="11"/>
  <c r="A18" i="11"/>
  <c r="Q38" i="11"/>
  <c r="Q30" i="11"/>
  <c r="Q24" i="11"/>
  <c r="A26" i="11" s="1"/>
  <c r="T674" i="8"/>
  <c r="E663" i="8"/>
  <c r="E784" i="8"/>
  <c r="AG784" i="8" s="1"/>
  <c r="E796" i="8"/>
  <c r="AG796" i="8" s="1"/>
  <c r="E774" i="8"/>
  <c r="AG774" i="8" s="1"/>
  <c r="E790" i="8"/>
  <c r="AG790" i="8" s="1"/>
  <c r="T888" i="8"/>
  <c r="E676" i="8"/>
  <c r="AG676" i="8" s="1"/>
  <c r="E654" i="8"/>
  <c r="AG654" i="8" s="1"/>
  <c r="E624" i="8"/>
  <c r="AG624" i="8" s="1"/>
  <c r="E642" i="8"/>
  <c r="AG642" i="8" s="1"/>
  <c r="E682" i="8"/>
  <c r="AG682" i="8" s="1"/>
  <c r="E630" i="8"/>
  <c r="AG630" i="8" s="1"/>
  <c r="E636" i="8"/>
  <c r="AG636" i="8" s="1"/>
  <c r="E648" i="8"/>
  <c r="AG648" i="8" s="1"/>
  <c r="AN411" i="8"/>
  <c r="AO411" i="8" s="1"/>
  <c r="T411" i="8"/>
  <c r="AG411" i="8"/>
  <c r="AI411" i="8" s="1"/>
  <c r="E121" i="21"/>
  <c r="T168" i="1"/>
  <c r="AN682" i="8"/>
  <c r="AO682" i="8" s="1"/>
  <c r="AN326" i="8"/>
  <c r="AO326" i="8" s="1"/>
  <c r="T326" i="8"/>
  <c r="AN337" i="8"/>
  <c r="AO337" i="8" s="1"/>
  <c r="F326" i="8"/>
  <c r="E764" i="8"/>
  <c r="E287" i="21" s="1"/>
  <c r="F287" i="21" s="1"/>
  <c r="F78" i="8"/>
  <c r="T78" i="8" s="1"/>
  <c r="AG78" i="8"/>
  <c r="AH78" i="8" s="1"/>
  <c r="AN78" i="8"/>
  <c r="AO78" i="8" s="1"/>
  <c r="AG326" i="8"/>
  <c r="AH326" i="8" s="1"/>
  <c r="AN19" i="8"/>
  <c r="AO19" i="8" s="1"/>
  <c r="T19" i="8"/>
  <c r="E19" i="8"/>
  <c r="E337" i="8"/>
  <c r="AN774" i="8"/>
  <c r="AO774" i="8" s="1"/>
  <c r="AN392" i="8"/>
  <c r="AO392" i="8" s="1"/>
  <c r="E392" i="8"/>
  <c r="E118" i="21" s="1"/>
  <c r="F118" i="21" s="1"/>
  <c r="AN292" i="8"/>
  <c r="AO292" i="8" s="1"/>
  <c r="E292" i="8"/>
  <c r="E92" i="21" s="1"/>
  <c r="F92" i="21" s="1"/>
  <c r="AN718" i="8"/>
  <c r="AO718" i="8" s="1"/>
  <c r="T718" i="8"/>
  <c r="E718" i="8"/>
  <c r="AN700" i="8"/>
  <c r="AO700" i="8" s="1"/>
  <c r="T700" i="8"/>
  <c r="E700" i="8"/>
  <c r="AN450" i="8"/>
  <c r="AO450" i="8" s="1"/>
  <c r="T450" i="8"/>
  <c r="E450" i="8"/>
  <c r="AN481" i="8"/>
  <c r="AO481" i="8" s="1"/>
  <c r="T481" i="8"/>
  <c r="E481" i="8"/>
  <c r="AN624" i="8"/>
  <c r="AO624" i="8" s="1"/>
  <c r="AN790" i="8"/>
  <c r="AO790" i="8" s="1"/>
  <c r="AN405" i="8"/>
  <c r="AO405" i="8" s="1"/>
  <c r="E405" i="8"/>
  <c r="E120" i="21" s="1"/>
  <c r="F120" i="21" s="1"/>
  <c r="AN270" i="8"/>
  <c r="AO270" i="8" s="1"/>
  <c r="E270" i="8"/>
  <c r="E85" i="21" s="1"/>
  <c r="F85" i="21" s="1"/>
  <c r="AN245" i="8"/>
  <c r="AO245" i="8" s="1"/>
  <c r="E245" i="8"/>
  <c r="E81" i="21" s="1"/>
  <c r="F81" i="21" s="1"/>
  <c r="AN239" i="8"/>
  <c r="AO239" i="8" s="1"/>
  <c r="E239" i="8"/>
  <c r="E80" i="21" s="1"/>
  <c r="F80" i="21" s="1"/>
  <c r="AN464" i="8"/>
  <c r="AO464" i="8" s="1"/>
  <c r="T464" i="8"/>
  <c r="E464" i="8"/>
  <c r="AN355" i="8"/>
  <c r="AO355" i="8" s="1"/>
  <c r="E355" i="8"/>
  <c r="E107" i="21" s="1"/>
  <c r="F107" i="21" s="1"/>
  <c r="AN707" i="8"/>
  <c r="AO707" i="8" s="1"/>
  <c r="T707" i="8"/>
  <c r="E707" i="8"/>
  <c r="AN642" i="8"/>
  <c r="AO642" i="8" s="1"/>
  <c r="AN210" i="8"/>
  <c r="AO210" i="8" s="1"/>
  <c r="E210" i="8"/>
  <c r="E74" i="21" s="1"/>
  <c r="F74" i="21" s="1"/>
  <c r="AN276" i="8"/>
  <c r="AO276" i="8" s="1"/>
  <c r="E276" i="8"/>
  <c r="E86" i="21" s="1"/>
  <c r="F86" i="21" s="1"/>
  <c r="AN286" i="8"/>
  <c r="AO286" i="8" s="1"/>
  <c r="E286" i="8"/>
  <c r="E91" i="21" s="1"/>
  <c r="F91" i="21" s="1"/>
  <c r="AN38" i="8"/>
  <c r="AO38" i="8" s="1"/>
  <c r="E38" i="8"/>
  <c r="E47" i="21" s="1"/>
  <c r="F47" i="21" s="1"/>
  <c r="AN110" i="8"/>
  <c r="AO110" i="8" s="1"/>
  <c r="E110" i="8"/>
  <c r="E60" i="21" s="1"/>
  <c r="F60" i="21" s="1"/>
  <c r="AN119" i="8"/>
  <c r="AO119" i="8" s="1"/>
  <c r="T119" i="8"/>
  <c r="E119" i="8"/>
  <c r="AN630" i="8"/>
  <c r="AO630" i="8" s="1"/>
  <c r="AN428" i="8"/>
  <c r="AO428" i="8" s="1"/>
  <c r="E428" i="8"/>
  <c r="AN221" i="8"/>
  <c r="AO221" i="8" s="1"/>
  <c r="E221" i="8"/>
  <c r="E77" i="21" s="1"/>
  <c r="F77" i="21" s="1"/>
  <c r="AN264" i="8"/>
  <c r="AO264" i="8" s="1"/>
  <c r="E264" i="8"/>
  <c r="E84" i="21" s="1"/>
  <c r="F84" i="21" s="1"/>
  <c r="AN304" i="8"/>
  <c r="AO304" i="8" s="1"/>
  <c r="T304" i="8"/>
  <c r="E304" i="8"/>
  <c r="AN56" i="8"/>
  <c r="AO56" i="8" s="1"/>
  <c r="E56" i="8"/>
  <c r="E51" i="21" s="1"/>
  <c r="F51" i="21" s="1"/>
  <c r="AN736" i="8"/>
  <c r="AO736" i="8" s="1"/>
  <c r="T736" i="8"/>
  <c r="E736" i="8"/>
  <c r="AN729" i="8"/>
  <c r="AO729" i="8" s="1"/>
  <c r="T729" i="8"/>
  <c r="E729" i="8"/>
  <c r="AN439" i="8"/>
  <c r="AO439" i="8" s="1"/>
  <c r="T439" i="8"/>
  <c r="E439" i="8"/>
  <c r="AN784" i="8"/>
  <c r="AO784" i="8" s="1"/>
  <c r="AN257" i="8"/>
  <c r="AO257" i="8" s="1"/>
  <c r="E257" i="8"/>
  <c r="AN227" i="8"/>
  <c r="AO227" i="8" s="1"/>
  <c r="E227" i="8"/>
  <c r="E78" i="21" s="1"/>
  <c r="F78" i="21" s="1"/>
  <c r="AN319" i="8"/>
  <c r="AO319" i="8" s="1"/>
  <c r="T319" i="8"/>
  <c r="E319" i="8"/>
  <c r="AN382" i="8"/>
  <c r="AO382" i="8" s="1"/>
  <c r="E382" i="8"/>
  <c r="E115" i="21" s="1"/>
  <c r="F115" i="21" s="1"/>
  <c r="AN636" i="8"/>
  <c r="AO636" i="8" s="1"/>
  <c r="AN233" i="8"/>
  <c r="AO233" i="8" s="1"/>
  <c r="E233" i="8"/>
  <c r="E79" i="21" s="1"/>
  <c r="F79" i="21" s="1"/>
  <c r="AN676" i="8"/>
  <c r="AO676" i="8" s="1"/>
  <c r="AN796" i="8"/>
  <c r="AO796" i="8" s="1"/>
  <c r="AN251" i="8"/>
  <c r="AO251" i="8" s="1"/>
  <c r="E251" i="8"/>
  <c r="E82" i="21" s="1"/>
  <c r="F82" i="21" s="1"/>
  <c r="AN371" i="8"/>
  <c r="AO371" i="8" s="1"/>
  <c r="T371" i="8"/>
  <c r="E371" i="8"/>
  <c r="AN753" i="8"/>
  <c r="AO753" i="8" s="1"/>
  <c r="T753" i="8"/>
  <c r="E753" i="8"/>
  <c r="AN421" i="8"/>
  <c r="AO421" i="8" s="1"/>
  <c r="T421" i="8"/>
  <c r="E421" i="8"/>
  <c r="AN348" i="8"/>
  <c r="AO348" i="8" s="1"/>
  <c r="T348" i="8"/>
  <c r="E348" i="8"/>
  <c r="AN298" i="8"/>
  <c r="AO298" i="8" s="1"/>
  <c r="E298" i="8"/>
  <c r="E93" i="21" s="1"/>
  <c r="F93" i="21" s="1"/>
  <c r="AN457" i="8"/>
  <c r="AO457" i="8" s="1"/>
  <c r="T457" i="8"/>
  <c r="E457" i="8"/>
  <c r="AN654" i="8"/>
  <c r="AO654" i="8" s="1"/>
  <c r="AN648" i="8"/>
  <c r="AO648" i="8" s="1"/>
  <c r="AN399" i="8"/>
  <c r="AO399" i="8" s="1"/>
  <c r="E399" i="8"/>
  <c r="E119" i="21" s="1"/>
  <c r="F119" i="21" s="1"/>
  <c r="AN85" i="8"/>
  <c r="AO85" i="8" s="1"/>
  <c r="E85" i="8"/>
  <c r="E53" i="21" s="1"/>
  <c r="F53" i="21" s="1"/>
  <c r="E293" i="21" l="1"/>
  <c r="F293" i="21" s="1"/>
  <c r="A34" i="11"/>
  <c r="A33" i="11"/>
  <c r="A32" i="11"/>
  <c r="A42" i="11"/>
  <c r="A41" i="11"/>
  <c r="A40" i="11"/>
  <c r="F663" i="8"/>
  <c r="E660" i="8"/>
  <c r="E186" i="21" s="1"/>
  <c r="F186" i="21" s="1"/>
  <c r="R18" i="11"/>
  <c r="T18" i="11"/>
  <c r="AN660" i="8"/>
  <c r="AO660" i="8" s="1"/>
  <c r="R19" i="11"/>
  <c r="T19" i="11"/>
  <c r="R20" i="11"/>
  <c r="T20" i="11"/>
  <c r="R26" i="11"/>
  <c r="T26" i="11"/>
  <c r="R17" i="11"/>
  <c r="T17" i="11"/>
  <c r="E291" i="21"/>
  <c r="F291" i="21" s="1"/>
  <c r="E185" i="21"/>
  <c r="F185" i="21" s="1"/>
  <c r="E180" i="21"/>
  <c r="F180" i="21" s="1"/>
  <c r="AG764" i="8"/>
  <c r="AI764" i="8" s="1"/>
  <c r="AJ764" i="8" s="1"/>
  <c r="E292" i="21"/>
  <c r="F292" i="21" s="1"/>
  <c r="E188" i="21"/>
  <c r="F188" i="21" s="1"/>
  <c r="E181" i="21"/>
  <c r="F181" i="21" s="1"/>
  <c r="E289" i="21"/>
  <c r="F289" i="21" s="1"/>
  <c r="F682" i="8"/>
  <c r="T682" i="8" s="1"/>
  <c r="AI682" i="8"/>
  <c r="AJ682" i="8" s="1"/>
  <c r="E184" i="21"/>
  <c r="F184" i="21" s="1"/>
  <c r="E183" i="21"/>
  <c r="F183" i="21" s="1"/>
  <c r="E182" i="21"/>
  <c r="F182" i="21" s="1"/>
  <c r="E187" i="21"/>
  <c r="F187" i="21" s="1"/>
  <c r="AH682" i="8"/>
  <c r="F764" i="8"/>
  <c r="T764" i="8" s="1"/>
  <c r="F134" i="21"/>
  <c r="F406" i="21" s="1"/>
  <c r="AI326" i="8"/>
  <c r="AJ326" i="8" s="1"/>
  <c r="AI78" i="8"/>
  <c r="AJ78" i="8" s="1"/>
  <c r="F337" i="8"/>
  <c r="AG337" i="8"/>
  <c r="AI337" i="8" s="1"/>
  <c r="AJ337" i="8" s="1"/>
  <c r="F19" i="8"/>
  <c r="AG19" i="8"/>
  <c r="AG457" i="8"/>
  <c r="AI457" i="8" s="1"/>
  <c r="AJ457" i="8" s="1"/>
  <c r="F457" i="8"/>
  <c r="F319" i="8"/>
  <c r="AG319" i="8"/>
  <c r="AI319" i="8" s="1"/>
  <c r="AJ319" i="8" s="1"/>
  <c r="F56" i="8"/>
  <c r="T56" i="8" s="1"/>
  <c r="AG56" i="8"/>
  <c r="AI56" i="8" s="1"/>
  <c r="AJ56" i="8" s="1"/>
  <c r="F700" i="8"/>
  <c r="AG700" i="8"/>
  <c r="AG239" i="8"/>
  <c r="AI239" i="8" s="1"/>
  <c r="AJ239" i="8" s="1"/>
  <c r="F239" i="8"/>
  <c r="T239" i="8" s="1"/>
  <c r="AI624" i="8"/>
  <c r="AJ624" i="8" s="1"/>
  <c r="F624" i="8"/>
  <c r="T624" i="8" s="1"/>
  <c r="AG450" i="8"/>
  <c r="F450" i="8"/>
  <c r="F251" i="8"/>
  <c r="T251" i="8" s="1"/>
  <c r="AG251" i="8"/>
  <c r="AI251" i="8" s="1"/>
  <c r="AJ251" i="8" s="1"/>
  <c r="AI796" i="8"/>
  <c r="AJ796" i="8" s="1"/>
  <c r="F796" i="8"/>
  <c r="T796" i="8" s="1"/>
  <c r="F439" i="8"/>
  <c r="AG439" i="8"/>
  <c r="AG736" i="8"/>
  <c r="AI736" i="8" s="1"/>
  <c r="AJ736" i="8" s="1"/>
  <c r="F736" i="8"/>
  <c r="AG286" i="8"/>
  <c r="F286" i="8"/>
  <c r="T286" i="8" s="1"/>
  <c r="AG210" i="8"/>
  <c r="AI210" i="8" s="1"/>
  <c r="AJ210" i="8" s="1"/>
  <c r="F210" i="8"/>
  <c r="T210" i="8" s="1"/>
  <c r="AG707" i="8"/>
  <c r="AI707" i="8" s="1"/>
  <c r="AJ707" i="8" s="1"/>
  <c r="F707" i="8"/>
  <c r="AI648" i="8"/>
  <c r="AJ648" i="8" s="1"/>
  <c r="F648" i="8"/>
  <c r="T648" i="8" s="1"/>
  <c r="F636" i="8"/>
  <c r="T636" i="8" s="1"/>
  <c r="AI636" i="8"/>
  <c r="AJ636" i="8" s="1"/>
  <c r="AG382" i="8"/>
  <c r="AI382" i="8" s="1"/>
  <c r="AJ382" i="8" s="1"/>
  <c r="F382" i="8"/>
  <c r="T382" i="8" s="1"/>
  <c r="F257" i="8"/>
  <c r="T257" i="8" s="1"/>
  <c r="AG257" i="8"/>
  <c r="AI257" i="8" s="1"/>
  <c r="AJ257" i="8" s="1"/>
  <c r="AG264" i="8"/>
  <c r="AI264" i="8" s="1"/>
  <c r="AJ264" i="8" s="1"/>
  <c r="F264" i="8"/>
  <c r="T264" i="8" s="1"/>
  <c r="F119" i="8"/>
  <c r="AG119" i="8"/>
  <c r="F718" i="8"/>
  <c r="AG718" i="8"/>
  <c r="AG421" i="8"/>
  <c r="F421" i="8"/>
  <c r="F399" i="8"/>
  <c r="T399" i="8" s="1"/>
  <c r="AG399" i="8"/>
  <c r="AI399" i="8" s="1"/>
  <c r="AJ399" i="8" s="1"/>
  <c r="AG298" i="8"/>
  <c r="F298" i="8"/>
  <c r="T298" i="8" s="1"/>
  <c r="F227" i="8"/>
  <c r="T227" i="8" s="1"/>
  <c r="AG227" i="8"/>
  <c r="AI227" i="8" s="1"/>
  <c r="AJ227" i="8" s="1"/>
  <c r="AG304" i="8"/>
  <c r="AI304" i="8" s="1"/>
  <c r="AJ304" i="8" s="1"/>
  <c r="F304" i="8"/>
  <c r="AG221" i="8"/>
  <c r="AI221" i="8" s="1"/>
  <c r="AJ221" i="8" s="1"/>
  <c r="F221" i="8"/>
  <c r="T221" i="8" s="1"/>
  <c r="AI630" i="8"/>
  <c r="AJ630" i="8" s="1"/>
  <c r="F630" i="8"/>
  <c r="T630" i="8" s="1"/>
  <c r="AG38" i="8"/>
  <c r="F38" i="8"/>
  <c r="T38" i="8" s="1"/>
  <c r="F464" i="8"/>
  <c r="AG464" i="8"/>
  <c r="AI464" i="8" s="1"/>
  <c r="AJ464" i="8" s="1"/>
  <c r="F292" i="8"/>
  <c r="T292" i="8" s="1"/>
  <c r="AG292" i="8"/>
  <c r="F348" i="8"/>
  <c r="AG348" i="8"/>
  <c r="AI348" i="8" s="1"/>
  <c r="AJ348" i="8" s="1"/>
  <c r="AG245" i="8"/>
  <c r="F245" i="8"/>
  <c r="T245" i="8" s="1"/>
  <c r="F270" i="8"/>
  <c r="T270" i="8" s="1"/>
  <c r="AG270" i="8"/>
  <c r="AG405" i="8"/>
  <c r="AI405" i="8" s="1"/>
  <c r="AJ405" i="8" s="1"/>
  <c r="F405" i="8"/>
  <c r="T405" i="8" s="1"/>
  <c r="F790" i="8"/>
  <c r="T790" i="8" s="1"/>
  <c r="AI790" i="8"/>
  <c r="AJ790" i="8" s="1"/>
  <c r="F481" i="8"/>
  <c r="AG481" i="8"/>
  <c r="F676" i="8"/>
  <c r="T676" i="8" s="1"/>
  <c r="AG428" i="8"/>
  <c r="AI428" i="8" s="1"/>
  <c r="AJ428" i="8" s="1"/>
  <c r="F428" i="8"/>
  <c r="T428" i="8" s="1"/>
  <c r="AG110" i="8"/>
  <c r="F110" i="8"/>
  <c r="T110" i="8" s="1"/>
  <c r="F392" i="8"/>
  <c r="T392" i="8" s="1"/>
  <c r="AG392" i="8"/>
  <c r="AG85" i="8"/>
  <c r="AI85" i="8" s="1"/>
  <c r="AJ85" i="8" s="1"/>
  <c r="F85" i="8"/>
  <c r="T85" i="8" s="1"/>
  <c r="F654" i="8"/>
  <c r="T654" i="8" s="1"/>
  <c r="F233" i="8"/>
  <c r="T233" i="8" s="1"/>
  <c r="AG233" i="8"/>
  <c r="AI784" i="8"/>
  <c r="AJ784" i="8" s="1"/>
  <c r="F784" i="8"/>
  <c r="T784" i="8" s="1"/>
  <c r="F774" i="8"/>
  <c r="AI774" i="8"/>
  <c r="AJ774" i="8" s="1"/>
  <c r="AG753" i="8"/>
  <c r="AI753" i="8" s="1"/>
  <c r="AJ753" i="8" s="1"/>
  <c r="F753" i="8"/>
  <c r="F371" i="8"/>
  <c r="AG371" i="8"/>
  <c r="AI371" i="8" s="1"/>
  <c r="AJ371" i="8" s="1"/>
  <c r="AG729" i="8"/>
  <c r="F729" i="8"/>
  <c r="F276" i="8"/>
  <c r="T276" i="8" s="1"/>
  <c r="AG276" i="8"/>
  <c r="AI276" i="8" s="1"/>
  <c r="AJ276" i="8" s="1"/>
  <c r="F642" i="8"/>
  <c r="T642" i="8" s="1"/>
  <c r="F355" i="8"/>
  <c r="T355" i="8" s="1"/>
  <c r="AG355" i="8"/>
  <c r="AI355" i="8" s="1"/>
  <c r="AJ355" i="8" s="1"/>
  <c r="R40" i="11" l="1"/>
  <c r="T40" i="11"/>
  <c r="AI660" i="8"/>
  <c r="F660" i="8"/>
  <c r="R41" i="11"/>
  <c r="T41" i="11"/>
  <c r="T22" i="11"/>
  <c r="R42" i="11"/>
  <c r="T42" i="11"/>
  <c r="R22" i="11"/>
  <c r="R32" i="11"/>
  <c r="T32" i="11"/>
  <c r="T28" i="11"/>
  <c r="T24" i="11" s="1"/>
  <c r="T62" i="11"/>
  <c r="T839" i="8" s="1"/>
  <c r="T119" i="1" s="1"/>
  <c r="S119" i="1" s="1"/>
  <c r="R33" i="11"/>
  <c r="T33" i="11"/>
  <c r="R28" i="11"/>
  <c r="R62" i="11"/>
  <c r="R839" i="8" s="1"/>
  <c r="R119" i="1" s="1"/>
  <c r="R34" i="11"/>
  <c r="T34" i="11"/>
  <c r="F811" i="8"/>
  <c r="T774" i="8"/>
  <c r="T811" i="8" s="1"/>
  <c r="AK764" i="8"/>
  <c r="AH764" i="8"/>
  <c r="F294" i="21"/>
  <c r="F412" i="21" s="1"/>
  <c r="T809" i="8"/>
  <c r="T24" i="1" s="1"/>
  <c r="T810" i="8"/>
  <c r="AK682" i="8"/>
  <c r="F809" i="8"/>
  <c r="T472" i="8"/>
  <c r="F472" i="8"/>
  <c r="AK337" i="8"/>
  <c r="AH337" i="8"/>
  <c r="AK326" i="8"/>
  <c r="F803" i="8"/>
  <c r="AK78" i="8"/>
  <c r="AH19" i="8"/>
  <c r="AI19" i="8"/>
  <c r="AJ19" i="8" s="1"/>
  <c r="AH392" i="8"/>
  <c r="AH481" i="8"/>
  <c r="AH298" i="8"/>
  <c r="AH421" i="8"/>
  <c r="AK264" i="8"/>
  <c r="AH264" i="8"/>
  <c r="AK382" i="8"/>
  <c r="AH382" i="8"/>
  <c r="AH450" i="8"/>
  <c r="AH700" i="8"/>
  <c r="AH355" i="8"/>
  <c r="AK355" i="8"/>
  <c r="AH371" i="8"/>
  <c r="AK371" i="8"/>
  <c r="AH774" i="8"/>
  <c r="AK774" i="8"/>
  <c r="AH654" i="8"/>
  <c r="AH110" i="8"/>
  <c r="AH245" i="8"/>
  <c r="AK210" i="8"/>
  <c r="AH210" i="8"/>
  <c r="AH439" i="8"/>
  <c r="AK56" i="8"/>
  <c r="AH56" i="8"/>
  <c r="AI654" i="8"/>
  <c r="AJ654" i="8" s="1"/>
  <c r="AH676" i="8"/>
  <c r="AH286" i="8"/>
  <c r="AH753" i="8"/>
  <c r="AK753" i="8"/>
  <c r="AK227" i="8"/>
  <c r="AH227" i="8"/>
  <c r="AH251" i="8"/>
  <c r="AK251" i="8"/>
  <c r="AH233" i="8"/>
  <c r="AI392" i="8"/>
  <c r="AJ392" i="8" s="1"/>
  <c r="AI481" i="8"/>
  <c r="AJ481" i="8" s="1"/>
  <c r="AI233" i="8"/>
  <c r="AJ233" i="8" s="1"/>
  <c r="AI421" i="8"/>
  <c r="AJ421" i="8" s="1"/>
  <c r="AH257" i="8"/>
  <c r="AK257" i="8"/>
  <c r="AH707" i="8"/>
  <c r="AK707" i="8"/>
  <c r="AK736" i="8"/>
  <c r="AH736" i="8"/>
  <c r="AI450" i="8"/>
  <c r="AJ450" i="8" s="1"/>
  <c r="AH239" i="8"/>
  <c r="AK239" i="8"/>
  <c r="AK319" i="8"/>
  <c r="AH319" i="8"/>
  <c r="AK276" i="8"/>
  <c r="AH276" i="8"/>
  <c r="AH270" i="8"/>
  <c r="AH292" i="8"/>
  <c r="AH718" i="8"/>
  <c r="AK796" i="8"/>
  <c r="AH796" i="8"/>
  <c r="AH624" i="8"/>
  <c r="AK624" i="8"/>
  <c r="AI110" i="8"/>
  <c r="AJ110" i="8" s="1"/>
  <c r="AI245" i="8"/>
  <c r="AJ245" i="8" s="1"/>
  <c r="AH38" i="8"/>
  <c r="AH304" i="8"/>
  <c r="AK304" i="8"/>
  <c r="AK457" i="8"/>
  <c r="AH457" i="8"/>
  <c r="AH642" i="8"/>
  <c r="AK348" i="8"/>
  <c r="AH348" i="8"/>
  <c r="AH729" i="8"/>
  <c r="AH428" i="8"/>
  <c r="AK428" i="8"/>
  <c r="AK405" i="8"/>
  <c r="AH405" i="8"/>
  <c r="AK630" i="8"/>
  <c r="AH630" i="8"/>
  <c r="AH221" i="8"/>
  <c r="AK221" i="8"/>
  <c r="AI298" i="8"/>
  <c r="AJ298" i="8" s="1"/>
  <c r="AH119" i="8"/>
  <c r="AI642" i="8"/>
  <c r="AJ642" i="8" s="1"/>
  <c r="AI729" i="8"/>
  <c r="AJ729" i="8" s="1"/>
  <c r="AK784" i="8"/>
  <c r="AH784" i="8"/>
  <c r="AK85" i="8"/>
  <c r="AH85" i="8"/>
  <c r="AI676" i="8"/>
  <c r="AJ676" i="8" s="1"/>
  <c r="AK790" i="8"/>
  <c r="AH790" i="8"/>
  <c r="AI270" i="8"/>
  <c r="AJ270" i="8" s="1"/>
  <c r="AI292" i="8"/>
  <c r="AJ292" i="8" s="1"/>
  <c r="AK464" i="8"/>
  <c r="AH464" i="8"/>
  <c r="AI38" i="8"/>
  <c r="AJ38" i="8" s="1"/>
  <c r="AH399" i="8"/>
  <c r="AK399" i="8"/>
  <c r="AI718" i="8"/>
  <c r="AJ718" i="8" s="1"/>
  <c r="AI119" i="8"/>
  <c r="AJ119" i="8" s="1"/>
  <c r="AK636" i="8"/>
  <c r="AH636" i="8"/>
  <c r="AK648" i="8"/>
  <c r="AH648" i="8"/>
  <c r="AI286" i="8"/>
  <c r="AJ286" i="8" s="1"/>
  <c r="AI439" i="8"/>
  <c r="AJ439" i="8" s="1"/>
  <c r="AI700" i="8"/>
  <c r="AJ700" i="8" s="1"/>
  <c r="T61" i="11" l="1"/>
  <c r="T838" i="8" s="1"/>
  <c r="T74" i="11"/>
  <c r="T109" i="11" s="1"/>
  <c r="R61" i="11"/>
  <c r="R838" i="8" s="1"/>
  <c r="T48" i="11"/>
  <c r="R36" i="11"/>
  <c r="T36" i="11"/>
  <c r="T30" i="11" s="1"/>
  <c r="R48" i="11"/>
  <c r="R24" i="11"/>
  <c r="E28" i="11"/>
  <c r="F28" i="11" s="1"/>
  <c r="R15" i="11"/>
  <c r="B22" i="11"/>
  <c r="E22" i="11"/>
  <c r="F22" i="11" s="1"/>
  <c r="R74" i="11"/>
  <c r="E662" i="8"/>
  <c r="F668" i="8"/>
  <c r="F810" i="8" s="1"/>
  <c r="F25" i="1" s="1"/>
  <c r="E25" i="1" s="1"/>
  <c r="T660" i="8"/>
  <c r="AJ660" i="8"/>
  <c r="AK660" i="8"/>
  <c r="T44" i="11"/>
  <c r="T38" i="11" s="1"/>
  <c r="S600" i="8"/>
  <c r="T600" i="8" s="1"/>
  <c r="T602" i="8" s="1"/>
  <c r="AN597" i="8" s="1"/>
  <c r="S616" i="8"/>
  <c r="T616" i="8" s="1"/>
  <c r="S607" i="8"/>
  <c r="T607" i="8" s="1"/>
  <c r="T609" i="8" s="1"/>
  <c r="AN604" i="8" s="1"/>
  <c r="S562" i="8"/>
  <c r="T562" i="8" s="1"/>
  <c r="T564" i="8" s="1"/>
  <c r="AN559" i="8" s="1"/>
  <c r="S592" i="8"/>
  <c r="T592" i="8" s="1"/>
  <c r="T595" i="8" s="1"/>
  <c r="AN589" i="8" s="1"/>
  <c r="S585" i="8"/>
  <c r="T585" i="8" s="1"/>
  <c r="T587" i="8" s="1"/>
  <c r="AN582" i="8" s="1"/>
  <c r="S614" i="8"/>
  <c r="T614" i="8" s="1"/>
  <c r="S578" i="8"/>
  <c r="T578" i="8" s="1"/>
  <c r="S576" i="8"/>
  <c r="T576" i="8" s="1"/>
  <c r="S555" i="8"/>
  <c r="T555" i="8" s="1"/>
  <c r="T557" i="8" s="1"/>
  <c r="AN552" i="8" s="1"/>
  <c r="S569" i="8"/>
  <c r="T569" i="8" s="1"/>
  <c r="T571" i="8" s="1"/>
  <c r="AN566" i="8" s="1"/>
  <c r="T15" i="11"/>
  <c r="R44" i="11"/>
  <c r="T26" i="1"/>
  <c r="AJ811" i="8"/>
  <c r="F26" i="1"/>
  <c r="B811" i="8"/>
  <c r="AJ809" i="8"/>
  <c r="T803" i="8"/>
  <c r="B803" i="8" s="1"/>
  <c r="T25" i="1"/>
  <c r="AJ810" i="8"/>
  <c r="F24" i="1"/>
  <c r="B809" i="8"/>
  <c r="B472" i="8"/>
  <c r="AK292" i="8"/>
  <c r="AK233" i="8"/>
  <c r="AK19" i="8"/>
  <c r="AK729" i="8"/>
  <c r="AK700" i="8"/>
  <c r="AK421" i="8"/>
  <c r="AK298" i="8"/>
  <c r="AK392" i="8"/>
  <c r="AK642" i="8"/>
  <c r="AK38" i="8"/>
  <c r="AK270" i="8"/>
  <c r="AK450" i="8"/>
  <c r="AK286" i="8"/>
  <c r="AK654" i="8"/>
  <c r="AK245" i="8"/>
  <c r="AK119" i="8"/>
  <c r="AK439" i="8"/>
  <c r="AK718" i="8"/>
  <c r="AK676" i="8"/>
  <c r="AK110" i="8"/>
  <c r="AK481" i="8"/>
  <c r="T851" i="8" l="1"/>
  <c r="T131" i="1" s="1"/>
  <c r="T110" i="11"/>
  <c r="T113" i="11" s="1"/>
  <c r="T51" i="11"/>
  <c r="R110" i="11"/>
  <c r="R51" i="11"/>
  <c r="T618" i="8"/>
  <c r="AN611" i="8" s="1"/>
  <c r="T580" i="8"/>
  <c r="AN573" i="8" s="1"/>
  <c r="T49" i="11"/>
  <c r="B810" i="8"/>
  <c r="A25" i="1"/>
  <c r="E44" i="11"/>
  <c r="F44" i="11" s="1"/>
  <c r="R38" i="11"/>
  <c r="R49" i="11"/>
  <c r="Q495" i="8"/>
  <c r="R495" i="8" s="1"/>
  <c r="R497" i="8" s="1"/>
  <c r="Q516" i="8"/>
  <c r="R516" i="8" s="1"/>
  <c r="R518" i="8" s="1"/>
  <c r="Q502" i="8"/>
  <c r="R502" i="8" s="1"/>
  <c r="R504" i="8" s="1"/>
  <c r="Q509" i="8"/>
  <c r="R509" i="8" s="1"/>
  <c r="R511" i="8" s="1"/>
  <c r="Q523" i="8"/>
  <c r="R523" i="8" s="1"/>
  <c r="R525" i="8" s="1"/>
  <c r="Q537" i="8"/>
  <c r="R537" i="8" s="1"/>
  <c r="R539" i="8" s="1"/>
  <c r="Q530" i="8"/>
  <c r="R530" i="8" s="1"/>
  <c r="R532" i="8" s="1"/>
  <c r="Q544" i="8"/>
  <c r="R544" i="8" s="1"/>
  <c r="R546" i="8" s="1"/>
  <c r="R118" i="1"/>
  <c r="R887" i="8"/>
  <c r="S495" i="8"/>
  <c r="T495" i="8" s="1"/>
  <c r="T497" i="8" s="1"/>
  <c r="AN492" i="8" s="1"/>
  <c r="S509" i="8"/>
  <c r="T509" i="8" s="1"/>
  <c r="T511" i="8" s="1"/>
  <c r="AN506" i="8" s="1"/>
  <c r="S516" i="8"/>
  <c r="T516" i="8" s="1"/>
  <c r="T518" i="8" s="1"/>
  <c r="AN513" i="8" s="1"/>
  <c r="S523" i="8"/>
  <c r="T523" i="8" s="1"/>
  <c r="T525" i="8" s="1"/>
  <c r="AN520" i="8" s="1"/>
  <c r="S530" i="8"/>
  <c r="T530" i="8" s="1"/>
  <c r="T532" i="8" s="1"/>
  <c r="AN527" i="8" s="1"/>
  <c r="S502" i="8"/>
  <c r="T502" i="8" s="1"/>
  <c r="T504" i="8" s="1"/>
  <c r="AN499" i="8" s="1"/>
  <c r="S537" i="8"/>
  <c r="T537" i="8" s="1"/>
  <c r="T539" i="8" s="1"/>
  <c r="AN534" i="8" s="1"/>
  <c r="S544" i="8"/>
  <c r="T544" i="8" s="1"/>
  <c r="T546" i="8" s="1"/>
  <c r="AN541" i="8" s="1"/>
  <c r="Q616" i="8"/>
  <c r="R616" i="8" s="1"/>
  <c r="Q592" i="8"/>
  <c r="R592" i="8" s="1"/>
  <c r="R595" i="8" s="1"/>
  <c r="Q600" i="8"/>
  <c r="R600" i="8" s="1"/>
  <c r="R602" i="8" s="1"/>
  <c r="Q569" i="8"/>
  <c r="R569" i="8" s="1"/>
  <c r="R571" i="8" s="1"/>
  <c r="Q578" i="8"/>
  <c r="R578" i="8" s="1"/>
  <c r="Q562" i="8"/>
  <c r="R562" i="8" s="1"/>
  <c r="R564" i="8" s="1"/>
  <c r="Q607" i="8"/>
  <c r="R607" i="8" s="1"/>
  <c r="R609" i="8" s="1"/>
  <c r="Q576" i="8"/>
  <c r="R576" i="8" s="1"/>
  <c r="Q555" i="8"/>
  <c r="R555" i="8" s="1"/>
  <c r="R557" i="8" s="1"/>
  <c r="Q585" i="8"/>
  <c r="R585" i="8" s="1"/>
  <c r="R587" i="8" s="1"/>
  <c r="Q614" i="8"/>
  <c r="R614" i="8" s="1"/>
  <c r="T118" i="1"/>
  <c r="T887" i="8"/>
  <c r="R851" i="8"/>
  <c r="R109" i="11"/>
  <c r="S136" i="8"/>
  <c r="T136" i="8" s="1"/>
  <c r="T138" i="8" s="1"/>
  <c r="AN133" i="8" s="1"/>
  <c r="S129" i="8"/>
  <c r="T129" i="8" s="1"/>
  <c r="T131" i="8" s="1"/>
  <c r="AN126" i="8" s="1"/>
  <c r="S143" i="8"/>
  <c r="T143" i="8" s="1"/>
  <c r="T145" i="8" s="1"/>
  <c r="AN140" i="8" s="1"/>
  <c r="S106" i="8"/>
  <c r="T106" i="8" s="1"/>
  <c r="S192" i="8"/>
  <c r="T192" i="8" s="1"/>
  <c r="T194" i="8" s="1"/>
  <c r="AN189" i="8" s="1"/>
  <c r="S171" i="8"/>
  <c r="T171" i="8" s="1"/>
  <c r="T173" i="8" s="1"/>
  <c r="AN168" i="8" s="1"/>
  <c r="S206" i="8"/>
  <c r="T206" i="8" s="1"/>
  <c r="T208" i="8" s="1"/>
  <c r="AN203" i="8" s="1"/>
  <c r="S164" i="8"/>
  <c r="T164" i="8" s="1"/>
  <c r="T166" i="8" s="1"/>
  <c r="AN161" i="8" s="1"/>
  <c r="S150" i="8"/>
  <c r="T150" i="8" s="1"/>
  <c r="T152" i="8" s="1"/>
  <c r="AN147" i="8" s="1"/>
  <c r="S178" i="8"/>
  <c r="T178" i="8" s="1"/>
  <c r="T180" i="8" s="1"/>
  <c r="AN175" i="8" s="1"/>
  <c r="S157" i="8"/>
  <c r="T157" i="8" s="1"/>
  <c r="T159" i="8" s="1"/>
  <c r="AN154" i="8" s="1"/>
  <c r="S199" i="8"/>
  <c r="T199" i="8" s="1"/>
  <c r="T201" i="8" s="1"/>
  <c r="AN196" i="8" s="1"/>
  <c r="S185" i="8"/>
  <c r="T185" i="8" s="1"/>
  <c r="T187" i="8" s="1"/>
  <c r="AN182" i="8" s="1"/>
  <c r="R30" i="11"/>
  <c r="E36" i="11"/>
  <c r="F36" i="11" s="1"/>
  <c r="B26" i="1"/>
  <c r="E26" i="1"/>
  <c r="A26" i="1"/>
  <c r="B25" i="1"/>
  <c r="A24" i="1"/>
  <c r="E24" i="1"/>
  <c r="B24" i="1"/>
  <c r="T828" i="8" l="1"/>
  <c r="T886" i="8"/>
  <c r="T890" i="8" s="1"/>
  <c r="R113" i="11"/>
  <c r="R580" i="8"/>
  <c r="AM573" i="8" s="1"/>
  <c r="AO573" i="8" s="1"/>
  <c r="AM513" i="8"/>
  <c r="AO513" i="8" s="1"/>
  <c r="E513" i="8"/>
  <c r="Q129" i="8"/>
  <c r="R129" i="8" s="1"/>
  <c r="R131" i="8" s="1"/>
  <c r="Q136" i="8"/>
  <c r="R136" i="8" s="1"/>
  <c r="R138" i="8" s="1"/>
  <c r="Q143" i="8"/>
  <c r="R143" i="8" s="1"/>
  <c r="R145" i="8" s="1"/>
  <c r="R618" i="8"/>
  <c r="AM597" i="8"/>
  <c r="AO597" i="8" s="1"/>
  <c r="E597" i="8"/>
  <c r="R167" i="1"/>
  <c r="AM492" i="8"/>
  <c r="AO492" i="8" s="1"/>
  <c r="E492" i="8"/>
  <c r="AM582" i="8"/>
  <c r="AO582" i="8" s="1"/>
  <c r="E582" i="8"/>
  <c r="AM589" i="8"/>
  <c r="AO589" i="8" s="1"/>
  <c r="E589" i="8"/>
  <c r="AM541" i="8"/>
  <c r="AO541" i="8" s="1"/>
  <c r="E541" i="8"/>
  <c r="R131" i="1"/>
  <c r="R166" i="1" s="1"/>
  <c r="R886" i="8"/>
  <c r="R890" i="8" s="1"/>
  <c r="AM552" i="8"/>
  <c r="AO552" i="8" s="1"/>
  <c r="E552" i="8"/>
  <c r="AM527" i="8"/>
  <c r="AO527" i="8" s="1"/>
  <c r="E527" i="8"/>
  <c r="AM534" i="8"/>
  <c r="AO534" i="8" s="1"/>
  <c r="E534" i="8"/>
  <c r="AM604" i="8"/>
  <c r="AO604" i="8" s="1"/>
  <c r="E604" i="8"/>
  <c r="AM520" i="8"/>
  <c r="AO520" i="8" s="1"/>
  <c r="E520" i="8"/>
  <c r="Q106" i="8"/>
  <c r="R106" i="8" s="1"/>
  <c r="Q157" i="8"/>
  <c r="R157" i="8" s="1"/>
  <c r="R159" i="8" s="1"/>
  <c r="Q192" i="8"/>
  <c r="R192" i="8" s="1"/>
  <c r="R194" i="8" s="1"/>
  <c r="Q199" i="8"/>
  <c r="R199" i="8" s="1"/>
  <c r="R201" i="8" s="1"/>
  <c r="Q206" i="8"/>
  <c r="R206" i="8" s="1"/>
  <c r="R208" i="8" s="1"/>
  <c r="Q164" i="8"/>
  <c r="R164" i="8" s="1"/>
  <c r="R166" i="8" s="1"/>
  <c r="Q178" i="8"/>
  <c r="R178" i="8" s="1"/>
  <c r="R180" i="8" s="1"/>
  <c r="Q150" i="8"/>
  <c r="R150" i="8" s="1"/>
  <c r="R152" i="8" s="1"/>
  <c r="Q185" i="8"/>
  <c r="R185" i="8" s="1"/>
  <c r="R187" i="8" s="1"/>
  <c r="Q171" i="8"/>
  <c r="R171" i="8" s="1"/>
  <c r="R173" i="8" s="1"/>
  <c r="AM566" i="8"/>
  <c r="AO566" i="8" s="1"/>
  <c r="E566" i="8"/>
  <c r="T108" i="8"/>
  <c r="AN103" i="8" s="1"/>
  <c r="T820" i="8"/>
  <c r="S131" i="1"/>
  <c r="T166" i="1"/>
  <c r="AM559" i="8"/>
  <c r="AO559" i="8" s="1"/>
  <c r="E559" i="8"/>
  <c r="AM506" i="8"/>
  <c r="AO506" i="8" s="1"/>
  <c r="E506" i="8"/>
  <c r="S118" i="1"/>
  <c r="T165" i="1"/>
  <c r="T167" i="1"/>
  <c r="R828" i="8"/>
  <c r="AM499" i="8"/>
  <c r="AO499" i="8" s="1"/>
  <c r="E499" i="8"/>
  <c r="E573" i="8" l="1"/>
  <c r="AG573" i="8" s="1"/>
  <c r="AI573" i="8" s="1"/>
  <c r="AJ573" i="8" s="1"/>
  <c r="S165" i="1"/>
  <c r="R165" i="1"/>
  <c r="R37" i="1" s="1"/>
  <c r="AM611" i="8"/>
  <c r="AO611" i="8" s="1"/>
  <c r="E611" i="8"/>
  <c r="AM189" i="8"/>
  <c r="AO189" i="8" s="1"/>
  <c r="E189" i="8"/>
  <c r="E166" i="21"/>
  <c r="F166" i="21" s="1"/>
  <c r="F527" i="8"/>
  <c r="T527" i="8" s="1"/>
  <c r="AG527" i="8"/>
  <c r="AI527" i="8" s="1"/>
  <c r="AJ527" i="8" s="1"/>
  <c r="E168" i="21"/>
  <c r="F168" i="21" s="1"/>
  <c r="F541" i="8"/>
  <c r="T541" i="8" s="1"/>
  <c r="AG541" i="8"/>
  <c r="AI541" i="8" s="1"/>
  <c r="AJ541" i="8" s="1"/>
  <c r="R744" i="8"/>
  <c r="E172" i="21"/>
  <c r="F172" i="21" s="1"/>
  <c r="F566" i="8"/>
  <c r="T566" i="8" s="1"/>
  <c r="AG566" i="8"/>
  <c r="F492" i="8"/>
  <c r="AG492" i="8"/>
  <c r="E161" i="21"/>
  <c r="F161" i="21" s="1"/>
  <c r="AG499" i="8"/>
  <c r="E162" i="21"/>
  <c r="F162" i="21" s="1"/>
  <c r="F499" i="8"/>
  <c r="T499" i="8" s="1"/>
  <c r="AM175" i="8"/>
  <c r="AO175" i="8" s="1"/>
  <c r="E175" i="8"/>
  <c r="AM154" i="8"/>
  <c r="AO154" i="8" s="1"/>
  <c r="E154" i="8"/>
  <c r="AG534" i="8"/>
  <c r="AI534" i="8" s="1"/>
  <c r="AJ534" i="8" s="1"/>
  <c r="F534" i="8"/>
  <c r="T534" i="8" s="1"/>
  <c r="E167" i="21"/>
  <c r="F167" i="21" s="1"/>
  <c r="AM140" i="8"/>
  <c r="AO140" i="8" s="1"/>
  <c r="E140" i="8"/>
  <c r="AM133" i="8"/>
  <c r="AO133" i="8" s="1"/>
  <c r="E133" i="8"/>
  <c r="AM161" i="8"/>
  <c r="AO161" i="8" s="1"/>
  <c r="E161" i="8"/>
  <c r="R108" i="8"/>
  <c r="R820" i="8"/>
  <c r="F552" i="8"/>
  <c r="T552" i="8" s="1"/>
  <c r="E170" i="21"/>
  <c r="F170" i="21" s="1"/>
  <c r="AG552" i="8"/>
  <c r="AI552" i="8" s="1"/>
  <c r="AJ552" i="8" s="1"/>
  <c r="E175" i="21"/>
  <c r="F175" i="21" s="1"/>
  <c r="AG589" i="8"/>
  <c r="AI589" i="8" s="1"/>
  <c r="AJ589" i="8" s="1"/>
  <c r="F589" i="8"/>
  <c r="T589" i="8" s="1"/>
  <c r="AM126" i="8"/>
  <c r="AO126" i="8" s="1"/>
  <c r="E126" i="8"/>
  <c r="E163" i="21"/>
  <c r="F163" i="21" s="1"/>
  <c r="F506" i="8"/>
  <c r="T506" i="8" s="1"/>
  <c r="AG506" i="8"/>
  <c r="AI506" i="8" s="1"/>
  <c r="AJ506" i="8" s="1"/>
  <c r="AM168" i="8"/>
  <c r="AO168" i="8" s="1"/>
  <c r="E168" i="8"/>
  <c r="AM182" i="8"/>
  <c r="AO182" i="8" s="1"/>
  <c r="E182" i="8"/>
  <c r="AM203" i="8"/>
  <c r="AO203" i="8" s="1"/>
  <c r="E203" i="8"/>
  <c r="E165" i="21"/>
  <c r="F165" i="21" s="1"/>
  <c r="AG520" i="8"/>
  <c r="F520" i="8"/>
  <c r="T520" i="8" s="1"/>
  <c r="AG513" i="8"/>
  <c r="E164" i="21"/>
  <c r="F164" i="21" s="1"/>
  <c r="F513" i="8"/>
  <c r="T513" i="8" s="1"/>
  <c r="E171" i="21"/>
  <c r="F171" i="21" s="1"/>
  <c r="F559" i="8"/>
  <c r="T559" i="8" s="1"/>
  <c r="AG559" i="8"/>
  <c r="AI559" i="8" s="1"/>
  <c r="AJ559" i="8" s="1"/>
  <c r="AG582" i="8"/>
  <c r="F582" i="8"/>
  <c r="T582" i="8" s="1"/>
  <c r="E174" i="21"/>
  <c r="F174" i="21" s="1"/>
  <c r="E176" i="21"/>
  <c r="F176" i="21" s="1"/>
  <c r="F597" i="8"/>
  <c r="T597" i="8" s="1"/>
  <c r="AG597" i="8"/>
  <c r="AI597" i="8" s="1"/>
  <c r="AJ597" i="8" s="1"/>
  <c r="F604" i="8"/>
  <c r="T604" i="8" s="1"/>
  <c r="E177" i="21"/>
  <c r="F177" i="21" s="1"/>
  <c r="AG604" i="8"/>
  <c r="T170" i="1"/>
  <c r="T37" i="1"/>
  <c r="E83" i="1"/>
  <c r="AM147" i="8"/>
  <c r="AO147" i="8" s="1"/>
  <c r="E147" i="8"/>
  <c r="AM196" i="8"/>
  <c r="AO196" i="8" s="1"/>
  <c r="E196" i="8"/>
  <c r="R170" i="1"/>
  <c r="D83" i="1" l="1"/>
  <c r="E173" i="21"/>
  <c r="F173" i="21" s="1"/>
  <c r="F573" i="8"/>
  <c r="T573" i="8" s="1"/>
  <c r="F83" i="1"/>
  <c r="E65" i="21"/>
  <c r="F65" i="21" s="1"/>
  <c r="AG147" i="8"/>
  <c r="AI147" i="8" s="1"/>
  <c r="AJ147" i="8" s="1"/>
  <c r="F147" i="8"/>
  <c r="T147" i="8" s="1"/>
  <c r="AH582" i="8"/>
  <c r="AH513" i="8"/>
  <c r="E73" i="21"/>
  <c r="F73" i="21" s="1"/>
  <c r="F203" i="8"/>
  <c r="T203" i="8" s="1"/>
  <c r="AG203" i="8"/>
  <c r="AI203" i="8" s="1"/>
  <c r="AJ203" i="8" s="1"/>
  <c r="AH506" i="8"/>
  <c r="AK506" i="8"/>
  <c r="AH589" i="8"/>
  <c r="AK589" i="8"/>
  <c r="E67" i="21"/>
  <c r="F67" i="21" s="1"/>
  <c r="AG161" i="8"/>
  <c r="AI161" i="8" s="1"/>
  <c r="AJ161" i="8" s="1"/>
  <c r="F161" i="8"/>
  <c r="T161" i="8" s="1"/>
  <c r="AH527" i="8"/>
  <c r="AK527" i="8"/>
  <c r="AH566" i="8"/>
  <c r="F196" i="8"/>
  <c r="T196" i="8" s="1"/>
  <c r="AG196" i="8"/>
  <c r="AI196" i="8" s="1"/>
  <c r="AJ196" i="8" s="1"/>
  <c r="E72" i="21"/>
  <c r="F72" i="21" s="1"/>
  <c r="AI520" i="8"/>
  <c r="AJ520" i="8" s="1"/>
  <c r="AH520" i="8"/>
  <c r="AI499" i="8"/>
  <c r="AJ499" i="8" s="1"/>
  <c r="AH499" i="8"/>
  <c r="AH552" i="8"/>
  <c r="AK552" i="8"/>
  <c r="AH534" i="8"/>
  <c r="AK534" i="8"/>
  <c r="E71" i="21"/>
  <c r="F71" i="21" s="1"/>
  <c r="F189" i="8"/>
  <c r="T189" i="8" s="1"/>
  <c r="AG189" i="8"/>
  <c r="AI189" i="8" s="1"/>
  <c r="AJ189" i="8" s="1"/>
  <c r="AH597" i="8"/>
  <c r="AK597" i="8"/>
  <c r="F182" i="8"/>
  <c r="T182" i="8" s="1"/>
  <c r="AG182" i="8"/>
  <c r="E70" i="21"/>
  <c r="F70" i="21" s="1"/>
  <c r="E63" i="21"/>
  <c r="F63" i="21" s="1"/>
  <c r="AG133" i="8"/>
  <c r="AI133" i="8" s="1"/>
  <c r="AJ133" i="8" s="1"/>
  <c r="F133" i="8"/>
  <c r="T133" i="8" s="1"/>
  <c r="AH573" i="8"/>
  <c r="AK573" i="8"/>
  <c r="AG126" i="8"/>
  <c r="AI126" i="8" s="1"/>
  <c r="AJ126" i="8" s="1"/>
  <c r="F126" i="8"/>
  <c r="T126" i="8" s="1"/>
  <c r="E62" i="21"/>
  <c r="F62" i="21" s="1"/>
  <c r="E66" i="21"/>
  <c r="F66" i="21" s="1"/>
  <c r="AG154" i="8"/>
  <c r="AI154" i="8" s="1"/>
  <c r="AJ154" i="8" s="1"/>
  <c r="F154" i="8"/>
  <c r="T154" i="8" s="1"/>
  <c r="AI492" i="8"/>
  <c r="AJ492" i="8" s="1"/>
  <c r="AH492" i="8"/>
  <c r="AH541" i="8"/>
  <c r="AK541" i="8"/>
  <c r="AH604" i="8"/>
  <c r="AM103" i="8"/>
  <c r="AO103" i="8" s="1"/>
  <c r="E103" i="8"/>
  <c r="R362" i="8"/>
  <c r="R824" i="8" s="1"/>
  <c r="R822" i="8"/>
  <c r="R808" i="8"/>
  <c r="AH559" i="8"/>
  <c r="AK559" i="8"/>
  <c r="AI604" i="8"/>
  <c r="AJ604" i="8" s="1"/>
  <c r="AI582" i="8"/>
  <c r="AJ582" i="8" s="1"/>
  <c r="AI513" i="8"/>
  <c r="AJ513" i="8" s="1"/>
  <c r="E68" i="21"/>
  <c r="F68" i="21" s="1"/>
  <c r="AG168" i="8"/>
  <c r="AI168" i="8" s="1"/>
  <c r="AJ168" i="8" s="1"/>
  <c r="F168" i="8"/>
  <c r="T168" i="8" s="1"/>
  <c r="T492" i="8"/>
  <c r="F611" i="8"/>
  <c r="T611" i="8" s="1"/>
  <c r="E178" i="21"/>
  <c r="F178" i="21" s="1"/>
  <c r="AG611" i="8"/>
  <c r="AI611" i="8" s="1"/>
  <c r="AJ611" i="8" s="1"/>
  <c r="E64" i="21"/>
  <c r="F64" i="21" s="1"/>
  <c r="AG140" i="8"/>
  <c r="AI140" i="8" s="1"/>
  <c r="AJ140" i="8" s="1"/>
  <c r="F140" i="8"/>
  <c r="T140" i="8" s="1"/>
  <c r="E69" i="21"/>
  <c r="F69" i="21" s="1"/>
  <c r="AG175" i="8"/>
  <c r="AI175" i="8" s="1"/>
  <c r="AJ175" i="8" s="1"/>
  <c r="F175" i="8"/>
  <c r="T175" i="8" s="1"/>
  <c r="AI566" i="8"/>
  <c r="AJ566" i="8" s="1"/>
  <c r="F204" i="21" l="1"/>
  <c r="F408" i="21" s="1"/>
  <c r="T744" i="8"/>
  <c r="AK520" i="8"/>
  <c r="AH175" i="8"/>
  <c r="AK175" i="8"/>
  <c r="F744" i="8"/>
  <c r="AK604" i="8"/>
  <c r="AK566" i="8"/>
  <c r="AK513" i="8"/>
  <c r="AH154" i="8"/>
  <c r="AK154" i="8"/>
  <c r="AK582" i="8"/>
  <c r="AH182" i="8"/>
  <c r="AH140" i="8"/>
  <c r="AK140" i="8"/>
  <c r="R23" i="1"/>
  <c r="R35" i="1" s="1"/>
  <c r="R39" i="1" s="1"/>
  <c r="AH808" i="8"/>
  <c r="AH818" i="8" s="1"/>
  <c r="R818" i="8"/>
  <c r="AH133" i="8"/>
  <c r="AK133" i="8"/>
  <c r="AH189" i="8"/>
  <c r="AK189" i="8"/>
  <c r="AK499" i="8"/>
  <c r="AH196" i="8"/>
  <c r="AK196" i="8"/>
  <c r="AH203" i="8"/>
  <c r="AK203" i="8"/>
  <c r="AK492" i="8"/>
  <c r="AI182" i="8"/>
  <c r="AJ182" i="8" s="1"/>
  <c r="AH161" i="8"/>
  <c r="AK161" i="8"/>
  <c r="AH147" i="8"/>
  <c r="AK147" i="8"/>
  <c r="AH168" i="8"/>
  <c r="AK168" i="8"/>
  <c r="AH611" i="8"/>
  <c r="AK611" i="8"/>
  <c r="E59" i="21"/>
  <c r="F59" i="21" s="1"/>
  <c r="F108" i="21" s="1"/>
  <c r="F405" i="21" s="1"/>
  <c r="AG103" i="8"/>
  <c r="F103" i="8"/>
  <c r="AH126" i="8"/>
  <c r="AK126" i="8"/>
  <c r="F416" i="21" l="1"/>
  <c r="F422" i="21" s="1"/>
  <c r="B744" i="8"/>
  <c r="T103" i="8"/>
  <c r="F822" i="8"/>
  <c r="F362" i="8"/>
  <c r="F808" i="8"/>
  <c r="AI103" i="8"/>
  <c r="AJ103" i="8" s="1"/>
  <c r="AJ807" i="8" s="1"/>
  <c r="AH103" i="8"/>
  <c r="AH807" i="8" s="1"/>
  <c r="AH819" i="8" s="1"/>
  <c r="AK182" i="8"/>
  <c r="B35" i="1" l="1"/>
  <c r="F824" i="8"/>
  <c r="T808" i="8"/>
  <c r="B808" i="8" s="1"/>
  <c r="T822" i="8"/>
  <c r="B822" i="8" s="1"/>
  <c r="T362" i="8"/>
  <c r="T824" i="8" s="1"/>
  <c r="F818" i="8"/>
  <c r="F23" i="1"/>
  <c r="AK103" i="8"/>
  <c r="AK807" i="8" s="1"/>
  <c r="B824" i="8" l="1"/>
  <c r="T23" i="1"/>
  <c r="T35" i="1" s="1"/>
  <c r="T39" i="1" s="1"/>
  <c r="AJ808" i="8"/>
  <c r="AJ818" i="8" s="1"/>
  <c r="T818" i="8"/>
  <c r="B362" i="8"/>
  <c r="E23" i="1"/>
  <c r="E35" i="1" s="1"/>
  <c r="C72" i="1"/>
  <c r="F35" i="1"/>
  <c r="A23" i="1" l="1"/>
  <c r="B19" i="1" s="1"/>
  <c r="F72" i="1"/>
  <c r="Q15" i="1"/>
  <c r="AK818" i="8"/>
  <c r="AK819" i="8" s="1"/>
  <c r="AJ819" i="8"/>
  <c r="E22" i="18"/>
  <c r="F75" i="1"/>
  <c r="R83" i="1" s="1"/>
  <c r="Q19" i="1" s="1"/>
  <c r="D35" i="1"/>
  <c r="Q16" i="1"/>
  <c r="B23" i="1"/>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J413" authorId="0" shapeId="0" xr:uid="{18E6F536-E9FB-4FB7-82D6-343B5B2DDB72}">
      <text>
        <r>
          <rPr>
            <b/>
            <sz val="10"/>
            <color indexed="81"/>
            <rFont val="Tahoma"/>
            <family val="2"/>
          </rPr>
          <t>Michael Vella:</t>
        </r>
        <r>
          <rPr>
            <sz val="10"/>
            <color indexed="81"/>
            <rFont val="Tahoma"/>
            <family val="2"/>
          </rPr>
          <t xml:space="preserve">
Add RTONLY to Columns H and L on material rows as shown and delete entry in Column C if material is a rate.</t>
        </r>
      </text>
    </comment>
    <comment ref="A668" authorId="0" shapeId="0" xr:uid="{75A8B20D-4523-4787-8C85-98D661CD38E8}">
      <text>
        <r>
          <rPr>
            <b/>
            <sz val="10"/>
            <color indexed="81"/>
            <rFont val="Tahoma"/>
            <family val="2"/>
          </rPr>
          <t>Michael Vella:</t>
        </r>
        <r>
          <rPr>
            <sz val="10"/>
            <color indexed="81"/>
            <rFont val="Tahoma"/>
            <family val="2"/>
          </rPr>
          <t xml:space="preserve">
DO NOT insert a new subitem block here or further down.  Go up to a hatched marker cell to do this.</t>
        </r>
      </text>
    </comment>
    <comment ref="AK807" authorId="0" shapeId="0" xr:uid="{00000000-0006-0000-0200-000001000000}">
      <text>
        <r>
          <rPr>
            <b/>
            <sz val="10"/>
            <color indexed="81"/>
            <rFont val="Tahoma"/>
            <family val="2"/>
          </rPr>
          <t>Michael Vella:</t>
        </r>
        <r>
          <rPr>
            <sz val="10"/>
            <color indexed="81"/>
            <rFont val="Tahoma"/>
            <family val="2"/>
          </rPr>
          <t xml:space="preserve">
This cell should be exactly equal to the MU SUMMARY TOTAL.</t>
        </r>
      </text>
    </comment>
    <comment ref="AH819" authorId="0" shapeId="0" xr:uid="{00000000-0006-0000-0200-000002000000}">
      <text>
        <r>
          <rPr>
            <b/>
            <sz val="10"/>
            <color indexed="81"/>
            <rFont val="Tahoma"/>
            <family val="2"/>
          </rPr>
          <t>Michael Vella:</t>
        </r>
        <r>
          <rPr>
            <sz val="10"/>
            <color indexed="81"/>
            <rFont val="Tahoma"/>
            <family val="2"/>
          </rPr>
          <t xml:space="preserve">
This discrepancy must be small</t>
        </r>
      </text>
    </comment>
    <comment ref="AJ819" authorId="0" shapeId="0" xr:uid="{00000000-0006-0000-0200-000003000000}">
      <text>
        <r>
          <rPr>
            <b/>
            <sz val="10"/>
            <color indexed="81"/>
            <rFont val="Tahoma"/>
            <family val="2"/>
          </rPr>
          <t>Michael Vella:</t>
        </r>
        <r>
          <rPr>
            <sz val="10"/>
            <color indexed="81"/>
            <rFont val="Tahoma"/>
            <family val="2"/>
          </rPr>
          <t xml:space="preserve">
This discrepancy must be small</t>
        </r>
      </text>
    </comment>
    <comment ref="AK819" authorId="0" shapeId="0" xr:uid="{00000000-0006-0000-0200-000004000000}">
      <text>
        <r>
          <rPr>
            <b/>
            <sz val="10"/>
            <color indexed="81"/>
            <rFont val="Tahoma"/>
            <family val="2"/>
          </rPr>
          <t>Michael Vella:</t>
        </r>
        <r>
          <rPr>
            <sz val="10"/>
            <color indexed="81"/>
            <rFont val="Tahoma"/>
            <family val="2"/>
          </rPr>
          <t xml:space="preserve">
This discrepancy must be small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3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3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3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3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3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3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3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3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3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3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3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3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3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3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300-00000F000000}">
      <text>
        <r>
          <rPr>
            <b/>
            <sz val="8"/>
            <color indexed="81"/>
            <rFont val="Tahoma"/>
            <family val="2"/>
          </rPr>
          <t>Michael Vella:</t>
        </r>
        <r>
          <rPr>
            <sz val="8"/>
            <color indexed="81"/>
            <rFont val="Tahoma"/>
            <family val="2"/>
          </rPr>
          <t xml:space="preserve">
Press &lt;CTRL :&gt; to enter the current date.</t>
        </r>
      </text>
    </comment>
  </commentList>
</comments>
</file>

<file path=xl/sharedStrings.xml><?xml version="1.0" encoding="utf-8"?>
<sst xmlns="http://schemas.openxmlformats.org/spreadsheetml/2006/main" count="4475" uniqueCount="966">
  <si>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</si>
  <si>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</si>
  <si>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</si>
  <si>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</si>
  <si>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</si>
  <si>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</si>
  <si>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</si>
  <si>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</si>
  <si>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</si>
  <si>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</si>
  <si>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</si>
  <si>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</si>
  <si>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</si>
  <si>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</si>
  <si>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</si>
  <si>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</si>
  <si>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</si>
  <si>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</si>
  <si>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</si>
  <si>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</si>
  <si>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</si>
  <si>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</si>
  <si>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</si>
  <si>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</si>
  <si>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</si>
  <si>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</si>
  <si>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</si>
  <si>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</si>
  <si>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</si>
  <si>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</si>
  <si>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</si>
  <si>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</si>
  <si>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</si>
  <si>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</si>
  <si>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</si>
  <si>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</si>
  <si>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</si>
  <si>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</si>
  <si>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</si>
  <si>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</si>
  <si>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</si>
  <si>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</si>
  <si>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</si>
  <si>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</si>
  <si>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</si>
  <si>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</si>
  <si>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</si>
  <si>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</si>
  <si>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</si>
  <si>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</si>
  <si>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</si>
  <si>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</si>
  <si>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</si>
  <si>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</si>
  <si>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</si>
  <si>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</si>
  <si>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</si>
  <si>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</si>
  <si>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</si>
  <si>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</si>
  <si>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</si>
  <si>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</si>
  <si>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</si>
  <si>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</si>
  <si>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</si>
  <si>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</si>
  <si>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</si>
  <si>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</si>
  <si>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</si>
  <si>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</si>
  <si>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</si>
  <si>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</si>
  <si>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</si>
  <si>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</si>
  <si>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</si>
  <si>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</si>
  <si>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</si>
  <si>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</si>
  <si>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</si>
  <si>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</si>
  <si>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</si>
  <si>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</si>
  <si>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</si>
  <si>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</si>
  <si>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</si>
  <si>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</si>
  <si>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</si>
  <si>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</si>
  <si>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</si>
  <si>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</si>
  <si>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</si>
  <si>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</si>
  <si>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</si>
  <si>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</si>
  <si>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</si>
  <si>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</si>
  <si>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</si>
  <si>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</si>
  <si>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</si>
  <si>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</si>
  <si>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</si>
  <si>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</si>
  <si>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</si>
  <si>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</si>
  <si>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</si>
  <si>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</si>
  <si>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</si>
  <si>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</si>
  <si>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</si>
  <si>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</si>
  <si>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</si>
  <si>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</si>
  <si>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</si>
  <si>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</si>
  <si>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</si>
  <si>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</si>
  <si>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</si>
  <si>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</si>
  <si>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</si>
  <si>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</si>
  <si>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</si>
  <si>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</si>
  <si>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</si>
  <si>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</si>
  <si>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</si>
  <si>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</si>
  <si>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</si>
  <si>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</si>
  <si>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</si>
  <si>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</si>
  <si>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</si>
  <si>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</si>
  <si>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</si>
  <si>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</si>
  <si>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No</t>
  </si>
  <si>
    <t>ISELL</t>
  </si>
  <si>
    <t>ITEM</t>
  </si>
  <si>
    <t>d&gt;</t>
  </si>
  <si>
    <t>SB!</t>
  </si>
  <si>
    <t>END!</t>
  </si>
  <si>
    <t>COSTCODE TOTAL</t>
  </si>
  <si>
    <t>Cables accessories</t>
  </si>
  <si>
    <t>Fix 1</t>
  </si>
  <si>
    <t>Fix 2</t>
  </si>
  <si>
    <t>Fix 3</t>
  </si>
  <si>
    <t>Others</t>
  </si>
  <si>
    <t>TOTAL</t>
  </si>
  <si>
    <t>Multip</t>
  </si>
  <si>
    <t>RATE</t>
  </si>
  <si>
    <t xml:space="preserve">Based on: </t>
  </si>
  <si>
    <t>&lt;&lt; ==== TOTAL UNITS</t>
  </si>
  <si>
    <t>Sell_A</t>
  </si>
  <si>
    <t>RATE SHEET GRAND TOTAL</t>
  </si>
  <si>
    <t>COMPONENTS</t>
  </si>
  <si>
    <t>COMP_RT</t>
  </si>
  <si>
    <t>RATE SUMS (ITEMS)</t>
  </si>
  <si>
    <t>ITEM_RT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</si>
  <si>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</si>
  <si>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</si>
  <si>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</si>
  <si>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</si>
  <si>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</si>
  <si>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</si>
  <si>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</si>
  <si>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</si>
  <si>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</si>
  <si>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</si>
  <si>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</si>
  <si>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</si>
  <si>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</si>
  <si>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</si>
  <si>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</si>
  <si>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</si>
  <si>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</si>
  <si>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</si>
  <si>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</si>
  <si>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</si>
  <si>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DESCRIPTION</t>
  </si>
  <si>
    <t>QTY</t>
  </si>
  <si>
    <t>UNIT</t>
  </si>
  <si>
    <t>Electrical</t>
  </si>
  <si>
    <t>Contract /Variation (Excl. VAT)</t>
  </si>
  <si>
    <t>DISCOUNTED</t>
  </si>
  <si>
    <t>on Totals</t>
  </si>
  <si>
    <t>% Discnt</t>
  </si>
  <si>
    <t>Markup/LRate</t>
  </si>
  <si>
    <t>%Dsct in BOQ</t>
  </si>
  <si>
    <t>C.C.Totals</t>
  </si>
  <si>
    <t>ItemCode</t>
  </si>
  <si>
    <t>CostCode</t>
  </si>
  <si>
    <t>SET</t>
  </si>
  <si>
    <t>MIXED</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</si>
  <si>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</si>
  <si>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</si>
  <si>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</si>
  <si>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</si>
  <si>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</si>
  <si>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</si>
  <si>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</si>
  <si>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</si>
  <si>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</si>
  <si>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</si>
  <si>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</si>
  <si>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</si>
  <si>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</si>
  <si>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</si>
  <si>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</si>
  <si>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</si>
  <si>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</si>
  <si>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</si>
  <si>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</si>
  <si>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</si>
  <si>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</si>
  <si>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</si>
  <si>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</si>
  <si>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</si>
  <si>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</si>
  <si>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</si>
  <si>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t>
  </si>
  <si>
    <t>Pair Hrs.</t>
  </si>
  <si>
    <t>Pair.Hrs</t>
  </si>
  <si>
    <t>Final Sell after Discounts excl.VAT (€):</t>
  </si>
  <si>
    <t>Estim.Sell before Discounts excl.VAT (€):</t>
  </si>
  <si>
    <t>Overall Discount:</t>
  </si>
  <si>
    <t>MAT CONT &gt;&gt;</t>
  </si>
  <si>
    <t>BOQ TOTAL</t>
  </si>
  <si>
    <t>NOTES</t>
  </si>
  <si>
    <t>PRINT</t>
  </si>
  <si>
    <t xml:space="preserve">VAT: </t>
  </si>
  <si>
    <t xml:space="preserve">LAB. COST: </t>
  </si>
  <si>
    <t>Mechanical for Electrical</t>
  </si>
  <si>
    <t>Ext. Ref:</t>
  </si>
  <si>
    <t xml:space="preserve">INT. QUOT No: </t>
  </si>
  <si>
    <t>MU</t>
  </si>
  <si>
    <t>LABRATE</t>
  </si>
  <si>
    <t>LABCOST</t>
  </si>
  <si>
    <t>VAT/DISC</t>
  </si>
  <si>
    <t>&lt; for ELM / MEE</t>
  </si>
  <si>
    <t>Tot Mat Cost</t>
  </si>
  <si>
    <t>Tot Lab phr.</t>
  </si>
  <si>
    <t xml:space="preserve">LABOUR RATE: </t>
  </si>
  <si>
    <t>Sub-Contracting Installation Elec</t>
  </si>
  <si>
    <t>Mr. K. Micallef</t>
  </si>
  <si>
    <t>Unit Lab phr.</t>
  </si>
  <si>
    <t>Mr. A. Sciberras</t>
  </si>
  <si>
    <t>Ms. S. Magri</t>
  </si>
  <si>
    <t>A. Sciberras</t>
  </si>
  <si>
    <t>SUNNY COAST  MOCK UP ROOM MEP Bill of Quantities</t>
  </si>
  <si>
    <t>REV00</t>
  </si>
  <si>
    <t>Preliminaries and General Conditions</t>
  </si>
  <si>
    <t>RATE EXC. VAT</t>
  </si>
  <si>
    <t>TOTAL EXC. VAT</t>
  </si>
  <si>
    <t>The Preliminary Items included hereunder apply to the whole of the works contained in these Bills of Quantities and the rates and / or amounts inserted by the Contractor shall be deemed to apply to the whole of the works carried out under this Contract. The Contractor shall be deemed to have allowed in his tender for all costs in respect of all items described in the Preliminaries section of the Bills of Quantities. In the absence of any sum against any item or items , any monetary cost attributable thereto shall be deemed to be included elsewhere in the Preliminaries section or the unit rates for the measured works. The documents forming the Contract are to be taken as mutually explanatory to one another and any sum inserted here shall be deemed to cover the complete requirements of the Conditions of Contract, In the event of no amounts being inserted by the Contractor in respect of this Bill, no relative payment will be included in interim payments and the final All prices quoted in this tender are exclusive of V.A.T, but inclusive of all applicable Taxes and Levies. The contractor will be responsible for obtaining and incurring all expenses related to any permits that might be required by the local council and for any other fees that might become due to the local council or the competent authorities, bodies and /or agencies in relation to obstruction to traffic and pedestrians, necessary hoardings etc. Prior to submitting this tender document, the contractor is required to consult with the local council in relation to all requirements to carry out the scope of works of this tender.</t>
  </si>
  <si>
    <t>Health and Safety</t>
  </si>
  <si>
    <t>Allow all costs for the employment of a licenced Health and Safety Officer for the entire duration of the Contract. The officer shall be responsible for enforcing all health and safety measures required by law, preparation of risk assessments for approval and work in conjuction with the H&amp;S Officer appointed by the Employer. The Contractor shall also make provisions for a services of Fire Marshal during the works, in order to prevent any fires caused by Hot Works and other risks.</t>
  </si>
  <si>
    <t>LS</t>
  </si>
  <si>
    <t>INC</t>
  </si>
  <si>
    <t>Regular Cleaning</t>
  </si>
  <si>
    <t>Daily clean the site from any debris or material which may be intentionally or accidentally deposited during the course of works and during the transportation of material to the approariate disposal point</t>
  </si>
  <si>
    <t>Preliminary Review of Project</t>
  </si>
  <si>
    <t>The contractor shall obtain all the required operational information from Client, Perit and Engineers pertaining to the Risks related to Fire, so as to enable the full understanding of the design intent. The information shall include: materials, raw and finished, processes and chemicals used, quantities, packaging and storage format, shelving and stacking, ventilation requirements related to pharmaceutical industry, air pressure in rooms and corridors, safety and security, etc.</t>
  </si>
  <si>
    <t>The contractor shall review the M&amp;E project documentation, and understand the services that will interface or clash (in terms of routing, levels and space allocation) and thus liaise with the Engineers for solutions. Any preparatory works as well as builders' works, preparation, openings, plinths, etc must be delth with at this stage.</t>
  </si>
  <si>
    <t>Drawings</t>
  </si>
  <si>
    <t>Provision of working drawings and reengineering as necessary including updating of drawings as required and as the works proceed.</t>
  </si>
  <si>
    <t>Insurances</t>
  </si>
  <si>
    <t>Contractor's Insurance CAR Policy covering the total contract value. The contractor must also take out a professional Indemnity Insurance to cover the design and therefore its warranted Engineers.</t>
  </si>
  <si>
    <t>Contractor's Insurance covering death or injury to Contractor's Personnel</t>
  </si>
  <si>
    <t>Contractor's Insurance covering loss or damage to Contractor's plant and equipment.</t>
  </si>
  <si>
    <t>Builder's Works Drawings</t>
  </si>
  <si>
    <t>The contractor must submit detailed builders work drawings, coordinated with the M&amp;E drawings and the Fire compartmentation drawings issued by the Fire Engineer and Perit. The builder's work must provide clear information regarding all penetrations, holes and cores needed, the position with x &amp; y dimensions, hole diameters, etc. The drawings must also detail whether the builder or finishes contractor will need to carry out future interventions of making good. the drawings must include additional works such as plinths (dimensions), puddle flanges, overflows and sleeves, doorways or hatches for equipment access. Where contractor may need access to lifters, cherry pickers, scaffolding, crane, etc, this must be agreed upon from this stage of the project.</t>
  </si>
  <si>
    <t>Provision of mobile toilets facilities on site, incl. emptying, cleaning etc</t>
  </si>
  <si>
    <t>by client</t>
  </si>
  <si>
    <t>Provision of security services on site</t>
  </si>
  <si>
    <t>Provision of CONTRACTOR MEP Project management</t>
  </si>
  <si>
    <t>Prepare coordinated drawings for all services</t>
  </si>
  <si>
    <t>Any other works, Contractor to list</t>
  </si>
  <si>
    <t>TOTAL FOR PRELIMINARIES in € exc VAT</t>
  </si>
  <si>
    <t>*INC. = included, LS= lump sump, m= meters, No. =Number</t>
  </si>
  <si>
    <t>ELECTRICAL INSTALLATION</t>
  </si>
  <si>
    <t>Take over design , reengineer and produce coordinated working drawings</t>
  </si>
  <si>
    <t>Power Cables</t>
  </si>
  <si>
    <t>Supply, install and connect the following supply cables on cable tray or clipped to wall, including all cleats, brass compression glands, terminal lugs etc., for a complete system.</t>
  </si>
  <si>
    <t>From LOCAL DB  to the Sample room DB</t>
  </si>
  <si>
    <t>3c4mm2 FG16</t>
  </si>
  <si>
    <t>m</t>
  </si>
  <si>
    <t>Distribution Boards</t>
  </si>
  <si>
    <t>Supply, install &amp; connect the following distribution boards complete with all accessories, including any Extension din enclosures for contactors, and Surge suppression devices, earth and neutral bars, glands, timers, labelling, etc</t>
  </si>
  <si>
    <t>Sample Room Consumer unit, flame-retardant, no combustible, 3 x 14 module min., complete with all accessories, and protection devices  (contactors listed under REMS section)</t>
  </si>
  <si>
    <t>Fire and smoke inhibiting sealing material around consumer unit using putty or alternative]</t>
  </si>
  <si>
    <t>Additional energy meter (both kW and KWh) to monitor receptacle loads with modbus interface for remote BMS measurement and recording. Include for expansion of consumer unit by an extra row</t>
  </si>
  <si>
    <t>Electrical Wiring</t>
  </si>
  <si>
    <t>SAMPLE ROOM DB</t>
  </si>
  <si>
    <r>
      <t xml:space="preserve">Wiring from distribution board using PVC cable enclosed in </t>
    </r>
    <r>
      <rPr>
        <b/>
        <i/>
        <sz val="10"/>
        <color rgb="FF000000"/>
        <rFont val="Myriad Pro Light"/>
        <family val="2"/>
      </rPr>
      <t xml:space="preserve">pvc conduit, in ground slab, screed, in dry wall </t>
    </r>
    <r>
      <rPr>
        <i/>
        <sz val="10"/>
        <color rgb="FF000000"/>
        <rFont val="Myriad Pro Light"/>
        <family val="2"/>
      </rPr>
      <t xml:space="preserve">including the supply of all PVC cable, LSZH conduit and wiring accessories for a complete system. </t>
    </r>
  </si>
  <si>
    <t>Double pole switch</t>
  </si>
  <si>
    <t>No.</t>
  </si>
  <si>
    <t>Standard Light Switch (1,2 or more gang, intermediate, 1,2 way etc. as required)</t>
  </si>
  <si>
    <t>Push button for bathroom switch to REMS</t>
  </si>
  <si>
    <t>Light points</t>
  </si>
  <si>
    <t>Emergency / exit light point</t>
  </si>
  <si>
    <t xml:space="preserve">Shaver unit </t>
  </si>
  <si>
    <t>Socket outlet for Room Safe</t>
  </si>
  <si>
    <t>Twin socket outlets</t>
  </si>
  <si>
    <t>Twin socket outlets with usb</t>
  </si>
  <si>
    <t>Single Universal socket outlet</t>
  </si>
  <si>
    <t>Fused double pole with flex outlet for hob</t>
  </si>
  <si>
    <t>Fused double pole with flex outlet for oven</t>
  </si>
  <si>
    <t>Fused double pole with flex outlet for extractor</t>
  </si>
  <si>
    <t>Fused double pole with flex outlet for dishwasher</t>
  </si>
  <si>
    <t>Twin socket outlet for fridge</t>
  </si>
  <si>
    <t>Fire rated and acoustic backboxes for light point outlets, switches, and socket outlets</t>
  </si>
  <si>
    <t>Supply only the following wiring accessories</t>
  </si>
  <si>
    <t>Universal twin socket outlet with usb - as per designer selected model by Legrand by Legrand</t>
  </si>
  <si>
    <t>Universal single socket outlet with usb - as per designer selected model by Legrand</t>
  </si>
  <si>
    <t>Twin socket outlet - as per designer selected model by Legrand</t>
  </si>
  <si>
    <t>Twin Socket outlet  - standard type</t>
  </si>
  <si>
    <t>Double pole switch with fuse outlet- standard type</t>
  </si>
  <si>
    <t>Shaver Unit- as per designer selected model by Legrand</t>
  </si>
  <si>
    <t>Data outlet - as per designer selected model by Legrand</t>
  </si>
  <si>
    <t>One gang switch two way  - as per designer selected model by Legrand</t>
  </si>
  <si>
    <t>Two gang switch two way  - as per designer selected model by Legrand</t>
  </si>
  <si>
    <t>Three gang switch two way  - as per designer selected model by Legrand</t>
  </si>
  <si>
    <t>Lighting</t>
  </si>
  <si>
    <t>Install and connect power supplies, complete with cable up to strip light</t>
  </si>
  <si>
    <t>Install and connect led strip light in profile</t>
  </si>
  <si>
    <t>Install and connect suspended, recessed, wall or ceiling mounted fittings</t>
  </si>
  <si>
    <t>Install and connect bedroom profile</t>
  </si>
  <si>
    <t>Note. Light fittings supplied by client</t>
  </si>
  <si>
    <t>All Areas</t>
  </si>
  <si>
    <t>Builder's Work</t>
  </si>
  <si>
    <t>Allow for all builder's work penetrations in structural walls, slabs or ceilings and including making good c/w with rendering and painting around pipework penetrations up to 300x300mm size</t>
  </si>
  <si>
    <t>L.S.</t>
  </si>
  <si>
    <t>Allow for sealing of all M&amp;E pentrations with fire collars, fire bags, and fire retardant foam of the intumescent type, for all penetrations carried out in the building crossing fire zones/compartments/barriers. Refer to Fire Safety Report for fire compartments &amp; REI rating. All fire zone sealing to be individually labeled, photographed and documented in a fire file.</t>
  </si>
  <si>
    <t>Labelling</t>
  </si>
  <si>
    <t>Supply and install labelling using proper fixing adhesive on all salient equipment such as pipes, valves, cables, switchgear</t>
  </si>
  <si>
    <t>Ancillary Items</t>
  </si>
  <si>
    <t>Provision for extra structures, brackets, fittings etc required to mount equipment</t>
  </si>
  <si>
    <t>Testing, commissioning &amp; Certification of all installations</t>
  </si>
  <si>
    <t>TOTAL FOR ELECTRICAL INSTALLATION in € exc VAT</t>
  </si>
  <si>
    <t>TELEPHONE/COMPUTER INSTALLATION</t>
  </si>
  <si>
    <t>Supply and install LSZH conduit, chased in wall, clipped behind dry wall lining, recessed or laid in screed under tiles from  for the following points.</t>
  </si>
  <si>
    <t>Computer / Telephone points</t>
  </si>
  <si>
    <r>
      <t xml:space="preserve">Supply and install </t>
    </r>
    <r>
      <rPr>
        <b/>
        <i/>
        <sz val="10"/>
        <color rgb="FF000000"/>
        <rFont val="Myriad Pro Light"/>
        <family val="2"/>
      </rPr>
      <t xml:space="preserve">UTP </t>
    </r>
    <r>
      <rPr>
        <i/>
        <sz val="10"/>
        <color rgb="FF000000"/>
        <rFont val="Myriad Pro Light"/>
        <family val="2"/>
      </rPr>
      <t>CAT 6 cable from patch panel to the following points. All cables are to be numbered / coded using appropriate number bands</t>
    </r>
  </si>
  <si>
    <t>Computer / Telephone points c/w RJ 45 CAT 6 wall plates</t>
  </si>
  <si>
    <t>Terminate at CAT6 at both ends</t>
  </si>
  <si>
    <t>From main network switch to corridor</t>
  </si>
  <si>
    <t>Provisional Extend item above to closest data point in Sample room building</t>
  </si>
  <si>
    <t>Supply two sets of printed as-fitted drawings and operation manuals and one copy in electronic format</t>
  </si>
  <si>
    <t>Test and commission system</t>
  </si>
  <si>
    <t>TOTAL FOR TELEPHONE/COMPUTER INSTALLATION in € exc VAT</t>
  </si>
  <si>
    <t>SPRINKLER INSTALLATION</t>
  </si>
  <si>
    <t xml:space="preserve">Supply, install and connect the following medium gauge galvanised steel pipework including all brackets, fittings etc </t>
  </si>
  <si>
    <t xml:space="preserve">25mm </t>
  </si>
  <si>
    <t>32mm</t>
  </si>
  <si>
    <t>50mm</t>
  </si>
  <si>
    <t>Supply, install and connect Pendent type Sprinkler Quick Response, K80, 68DegC, concealed</t>
  </si>
  <si>
    <t>Supply, install and connect,  Sidewall type Sprinkler Quick Response, K80, 68DegC, escutcheon plate</t>
  </si>
  <si>
    <t>Flexibles, if required</t>
  </si>
  <si>
    <t>White Cover plate for concealed sprinkler</t>
  </si>
  <si>
    <t>TOTAL FOR SPRINKLER SYSTEM in € exc VAT</t>
  </si>
  <si>
    <t>ROOM MANAGEMENT SYSTEM</t>
  </si>
  <si>
    <t>Supply and install 20mm dia. LSZH conduit surface clipped behind dry wall lining, recessed in wall or laid in screed under tiles from galvanised trunking for the following points.</t>
  </si>
  <si>
    <t>RMS</t>
  </si>
  <si>
    <t>Main door contact</t>
  </si>
  <si>
    <t>Balcony door contact</t>
  </si>
  <si>
    <t>Occupancy sensors</t>
  </si>
  <si>
    <t>Bathoom light switch</t>
  </si>
  <si>
    <t>Air Flow sensor measurement</t>
  </si>
  <si>
    <t>FAN 0-10V modulating control</t>
  </si>
  <si>
    <t>CO2 sensor in main living area</t>
  </si>
  <si>
    <t>Supply, install and connect all wiring required through conduit, trunking etc.</t>
  </si>
  <si>
    <t>Room management system</t>
  </si>
  <si>
    <t>Main door Contact</t>
  </si>
  <si>
    <t xml:space="preserve">Indoor AC unit control </t>
  </si>
  <si>
    <t>Bathroom light switch</t>
  </si>
  <si>
    <t>Air Flow sensor measurement for Supply fan</t>
  </si>
  <si>
    <t>FAN 0-10V modulating control for Supply fan</t>
  </si>
  <si>
    <t>C02 SENSOR in main living area</t>
  </si>
  <si>
    <t>Supply and install the following equipment</t>
  </si>
  <si>
    <t>Room management system, power supply, programming</t>
  </si>
  <si>
    <t>All other accessories such as terminal blocks and other sundries etc</t>
  </si>
  <si>
    <t>Relay/contactors for control</t>
  </si>
  <si>
    <t>Main door contact  (dry contact type)</t>
  </si>
  <si>
    <t>Balcony door contact  (dry contact type)</t>
  </si>
  <si>
    <t>Occupancy sensors (dry contact type)</t>
  </si>
  <si>
    <t>Control lighting, volume control damper, bathroom and bedroom fan, indoor unit,exterior balcony light, power outlets, bathroom light switch etc</t>
  </si>
  <si>
    <t>Provide measurement of power outlet energy usage</t>
  </si>
  <si>
    <t xml:space="preserve">Standalone CO2 sensor with an audible and/or visible alarm in case CO2 exceeds the preset limit for the room/spaces in main living area complete with power supply, etc preference to units working at low voltage sharing supply with rems (installation height) 1.1-1.8 m, </t>
  </si>
  <si>
    <t>Note. Bathroom light needs a push switch to turn on and off light. If bathroom is unoccupied for 60minutes, bathroom light and fan must be switched off. Bathroom occupancy sensor to determine occupancy. Bedroom fan to be on any time room is occupied to min. 30lps. Fan off and Damper to close when room unoccupied. Modulating fan controlbased on C02 level in room but never less than 30lps.</t>
  </si>
  <si>
    <t>TOTAL FOR ROOM MANAGEMENT SYSTEM in € exc VAT</t>
  </si>
  <si>
    <t>VENTILATION INSTALLATION</t>
  </si>
  <si>
    <t>Supply and install the following mixed flow fans including power supply connection, all conduit,trunking, chasing, penetrations, sleeves, wiring and all other items necessary for a complete and functional system</t>
  </si>
  <si>
    <t>30 litres/sec mixed flow fan including electrical connection to double pole provided, complete. Fan to be very silent with silencers if required</t>
  </si>
  <si>
    <t>Motorised 0-10V damper with leakage Class 3 to EN1751-2014 which will be connected to the RMS system for modulation control of damper by CO2 sensor feedback</t>
  </si>
  <si>
    <t>Washable Class F7 filter with Filter Box</t>
  </si>
  <si>
    <t>Circular ducting with 13mm insulation to sealing class A, Ductwork designed to operate at a static pressure greater than 750 Pa. Sealing to EN 15727-2010, UNI EN 1507-2008, UNI EN 12237-2004, and UNI EN 13403-2004 standards are applicable</t>
  </si>
  <si>
    <t>Flexible ducting to connect to fan and grille</t>
  </si>
  <si>
    <t>Extract grille</t>
  </si>
  <si>
    <t xml:space="preserve">Extra over to achieve &lt; NC30 or 35dBA </t>
  </si>
  <si>
    <t>Provide an indirect OA monitroing devices such as differential pressure sensor, airflow switch or current trasnducer on supply fan, complete with wiring to main door</t>
  </si>
  <si>
    <t>50 litres/sec mixed flow fan including electrical connection to double pole provided, delay off timer</t>
  </si>
  <si>
    <t>Circular ducting with 13mm insulation . Ductwork designed to operate at a static pressure greater than 750 Pa. Sealing to EN 15727-2010, UNI EN 1507-2008, UNI EN 12237-2004, and UNI EN 13403-2004 standards are applicable</t>
  </si>
  <si>
    <t>Disc Valve</t>
  </si>
  <si>
    <t>Non motorised back draft damper with leakage Class 3 to EN1751-2014</t>
  </si>
  <si>
    <t>Kitchen hood</t>
  </si>
  <si>
    <t xml:space="preserve">Circular ducting </t>
  </si>
  <si>
    <t>TOTAL FOR VENTILATION INSTALLATION in € exc VAT</t>
  </si>
  <si>
    <t>AIR CONDITIONING INSTALLATION</t>
  </si>
  <si>
    <t>Supply and install the following indoor units</t>
  </si>
  <si>
    <t>Wall mounted controller</t>
  </si>
  <si>
    <t>Provide means of having ac indoor unit fan working without outdoor, with speed hi-med-low modes for noise level similuation</t>
  </si>
  <si>
    <t>Note. The controller to be suitable for hotel, (important this is not an over complicated type of control), The controller or the indoor unit must have dry contact to enable/disable unit. Any power supplies to be included if requried.</t>
  </si>
  <si>
    <t>Pheonlic ducting 600X200, the resistance R of the insulation must not exceed R-0.6, Ductwork designed to operate at a static pressure greater than 750 Pa. Sealing to EN 15727-2010, UNI EN 1507-2008, UNI EN 12237-2004, and UNI EN 13403-2004 standards are applicable</t>
  </si>
  <si>
    <t xml:space="preserve">Transformation pieces </t>
  </si>
  <si>
    <t>Supply and install in appropriate gradient u-PVC drain pipes complete with 13mm insulation and including all fittings, brackets and supports for both indoor units</t>
  </si>
  <si>
    <t>TOTAL FOR AIR CONDITIONING INSTALLATION in € exc VAT</t>
  </si>
  <si>
    <t>PROVISION FOR DAY RATES AND MAINTENANCE INSTALLATION</t>
  </si>
  <si>
    <t>Day works: Provide and Supervise as directed the following:</t>
  </si>
  <si>
    <t>Technician</t>
  </si>
  <si>
    <t>hr</t>
  </si>
  <si>
    <t>rate</t>
  </si>
  <si>
    <t>Skilled tradesman</t>
  </si>
  <si>
    <t>Labourer/Mate</t>
  </si>
  <si>
    <t>TOTAL FOR DAY RATES &amp; MAINTENANCE in € exc VAT</t>
  </si>
  <si>
    <t>FIRE DETECTION INSTALLATION</t>
  </si>
  <si>
    <t>Supply and install LSZH conduit chased/in dry wall, clipped to ceiling for the following points</t>
  </si>
  <si>
    <t>Smoke detectors - PROVISIONAL</t>
  </si>
  <si>
    <t>Wiring of the following points from fire alarm control panel to various terminations using fire proof cable clipped to wall/ceiling/conduit chased in wall/ in dry wall/in slab using appropriate fire proof clips.</t>
  </si>
  <si>
    <t>Detector</t>
  </si>
  <si>
    <t>Supply install and commission the following EN54 Fire Alarm equipment</t>
  </si>
  <si>
    <t>Smoke detector</t>
  </si>
  <si>
    <t>Sounder beacon in detector base</t>
  </si>
  <si>
    <t>Multicriterion detector</t>
  </si>
  <si>
    <t>TOTAL FOR FIRE DETECTION SYSTEM INSTALLATION in € exc VAT</t>
  </si>
  <si>
    <t>PLUMBING INSTALLATION</t>
  </si>
  <si>
    <t>Supply and install the following pipework, (chased in wall, buried or fixed to blockwork), including fittings, brackets, wall plates etc for a complete system</t>
  </si>
  <si>
    <t>Supply, install and connect Isolating valve from same pipe manufacturer</t>
  </si>
  <si>
    <t>Ø25mm</t>
  </si>
  <si>
    <t>Plumbing hot and cold using Polyprop pipe work, the following plumbing points: Note.  Hot and Return pipe work to have 25mm thick insulation</t>
  </si>
  <si>
    <t>Wash hand basin - hot and cold</t>
  </si>
  <si>
    <t>Sink - hot and cold</t>
  </si>
  <si>
    <t>Dishwasher  - cold only</t>
  </si>
  <si>
    <t>Toilet - cold only</t>
  </si>
  <si>
    <t>Shower mixer concealed - hot and cold</t>
  </si>
  <si>
    <t>Shower head</t>
  </si>
  <si>
    <t xml:space="preserve">Hand shower </t>
  </si>
  <si>
    <t>Prepare Drains for the following:</t>
  </si>
  <si>
    <t>Wash hand basin</t>
  </si>
  <si>
    <t>Sink</t>
  </si>
  <si>
    <t xml:space="preserve">Toilet </t>
  </si>
  <si>
    <t xml:space="preserve">Shower tray </t>
  </si>
  <si>
    <t>Install only the following :</t>
  </si>
  <si>
    <t>Wash hand basin, mixer and waste</t>
  </si>
  <si>
    <t>Kitchen sink, mixer and waste</t>
  </si>
  <si>
    <t>Connect dishwasher waste</t>
  </si>
  <si>
    <t xml:space="preserve">WC and flushing </t>
  </si>
  <si>
    <t xml:space="preserve">Shower mixer concealed </t>
  </si>
  <si>
    <t>Shower tray</t>
  </si>
  <si>
    <t xml:space="preserve">Shower glass </t>
  </si>
  <si>
    <t>Mirror</t>
  </si>
  <si>
    <t xml:space="preserve">Other accessories such as Toilet paper holder, Tower rail, hook, toothbrush holder, soap dispenser - rate per accessory </t>
  </si>
  <si>
    <t>Shower Tray drain - supplied by others</t>
  </si>
  <si>
    <t>Supply only Angle Valves and Flexibles</t>
  </si>
  <si>
    <t>Install only Angle Valves and Flexibles</t>
  </si>
  <si>
    <t>inc</t>
  </si>
  <si>
    <t>TOTAL FOR PLUMBING INSTALLATION in € exc VAT</t>
  </si>
  <si>
    <t>FIRE FIGHTING EQUIPMENT</t>
  </si>
  <si>
    <t>Supply  and install the following fire extinguishers</t>
  </si>
  <si>
    <t>Fire blanket</t>
  </si>
  <si>
    <t>TOTAL FOR FIRE FIGHTING EQUIPMENT in € exc VAT</t>
  </si>
  <si>
    <t>ANCILLERIES AND UNBILLED ITEMS</t>
  </si>
  <si>
    <t>TOTAL FOR UNBILLED ITEMS in € exc VAT</t>
  </si>
  <si>
    <t xml:space="preserve">Mock Up Room </t>
  </si>
  <si>
    <t>COLLECTION PAGE</t>
  </si>
  <si>
    <t>GRAND TOTAL IN EUROs exc VAT</t>
  </si>
  <si>
    <t>GENSET???</t>
  </si>
  <si>
    <t>LIFT</t>
  </si>
  <si>
    <t>SUNCREST HOTELS plc</t>
  </si>
  <si>
    <t>Sunny Cost and Lido Redevelopment</t>
  </si>
  <si>
    <t>Sample Room - Electrical</t>
  </si>
  <si>
    <t>R.Farrugia</t>
  </si>
  <si>
    <t>Sample Room</t>
  </si>
  <si>
    <t/>
  </si>
  <si>
    <r>
      <t>SF 01 [</t>
    </r>
    <r>
      <rPr>
        <b/>
        <i/>
        <sz val="10"/>
        <color rgb="FF00B0F0"/>
        <rFont val="Myriad Pro Light"/>
        <family val="2"/>
      </rPr>
      <t>Delta P to be as per selected accessories] for bedroom</t>
    </r>
  </si>
  <si>
    <r>
      <t>EF 01 [</t>
    </r>
    <r>
      <rPr>
        <b/>
        <i/>
        <sz val="10"/>
        <color rgb="FF00B0F0"/>
        <rFont val="Myriad Pro Light"/>
        <family val="2"/>
      </rPr>
      <t>Delta P to be as per selected accessories] for shower and toilet</t>
    </r>
  </si>
  <si>
    <r>
      <t xml:space="preserve">Concealed indoor unit for 3.5kW </t>
    </r>
    <r>
      <rPr>
        <b/>
        <sz val="10"/>
        <color rgb="FF00B0F0"/>
        <rFont val="Myriad Pro Light"/>
        <family val="2"/>
      </rPr>
      <t>bedroom</t>
    </r>
    <r>
      <rPr>
        <sz val="10"/>
        <color rgb="FF00B0F0"/>
        <rFont val="Myriad Pro Light"/>
        <family val="2"/>
      </rPr>
      <t xml:space="preserve"> complete with supply and return grille, c/w wall mounted controller, chased conduit, wiring, connection to double pole. Indoor model to be compatabile with water cooled outdoor VR units range.</t>
    </r>
  </si>
  <si>
    <r>
      <t xml:space="preserve">Concealed indoor unit for 7.1kW </t>
    </r>
    <r>
      <rPr>
        <b/>
        <sz val="10"/>
        <color rgb="FF00B0F0"/>
        <rFont val="Myriad Pro Light"/>
        <family val="2"/>
      </rPr>
      <t>main living area</t>
    </r>
    <r>
      <rPr>
        <sz val="10"/>
        <color rgb="FF00B0F0"/>
        <rFont val="Myriad Pro Light"/>
        <family val="2"/>
      </rPr>
      <t xml:space="preserve"> complete with supply and return grille</t>
    </r>
  </si>
  <si>
    <r>
      <t xml:space="preserve">Supply and install all copper pipes for the above 2 air-conditioning units, connecting VR indoor units, including all refnets, copper to copper welding, brackets and supports, and </t>
    </r>
    <r>
      <rPr>
        <b/>
        <sz val="10"/>
        <color rgb="FF00B0F0"/>
        <rFont val="Myriad Pro Light"/>
        <family val="2"/>
      </rPr>
      <t xml:space="preserve">25mm closed cell insulation </t>
    </r>
  </si>
  <si>
    <r>
      <rPr>
        <b/>
        <sz val="10"/>
        <color rgb="FF00B0F0"/>
        <rFont val="Myriad Pro Light"/>
        <family val="2"/>
      </rPr>
      <t>PROVISIONAL</t>
    </r>
    <r>
      <rPr>
        <sz val="10"/>
        <color rgb="FF00B0F0"/>
        <rFont val="Myriad Pro Light"/>
        <family val="2"/>
      </rPr>
      <t xml:space="preserve"> Supply, install and connect a temporary Ø25mm composite PPR SDR 7.4 for temporary water supply to sample room</t>
    </r>
  </si>
  <si>
    <r>
      <t xml:space="preserve">Supply, install and connect all Hot, cold and return pipework in sample room, complete with brackets, fittings, wall plates etc for a complete system. Hot and Return pipe work to have </t>
    </r>
    <r>
      <rPr>
        <b/>
        <sz val="10"/>
        <color rgb="FF00B0F0"/>
        <rFont val="Myriad Pro Light"/>
        <family val="2"/>
      </rPr>
      <t>25mm thick insulation</t>
    </r>
  </si>
  <si>
    <t>TB</t>
  </si>
  <si>
    <t>t</t>
  </si>
  <si>
    <t>Sell Rate</t>
  </si>
  <si>
    <t>Sell Total</t>
  </si>
  <si>
    <t>IB</t>
  </si>
  <si>
    <t>U_M_Sell</t>
  </si>
  <si>
    <t>T_M_Sell</t>
  </si>
  <si>
    <t>U_L_Sell</t>
  </si>
  <si>
    <t>T_L_Sell</t>
  </si>
  <si>
    <t>Total_Sell</t>
  </si>
  <si>
    <t>T_M_Cost</t>
  </si>
  <si>
    <t>T_L_Phr</t>
  </si>
  <si>
    <t>Mat/Lab=1</t>
  </si>
  <si>
    <t>n</t>
  </si>
  <si>
    <t>ICOST</t>
  </si>
  <si>
    <t>Item: 2</t>
  </si>
  <si>
    <t>Item: 2.001</t>
  </si>
  <si>
    <t>Item: 2.002</t>
  </si>
  <si>
    <t>Item: 2.003</t>
  </si>
  <si>
    <t>Item: 2.004</t>
  </si>
  <si>
    <t>Wiring from distribution board using PVC cable enclosed in pvc conduit, in ground slab, screed, in dry wall including the supply of all PVC cable, LSZH conduit and wiring accessories for a complete system.</t>
  </si>
  <si>
    <t>Item: 2.005</t>
  </si>
  <si>
    <t>Item: 2.006</t>
  </si>
  <si>
    <t>Item: 2.007</t>
  </si>
  <si>
    <t>Item: 2.008</t>
  </si>
  <si>
    <t>Item: 2.009</t>
  </si>
  <si>
    <t>Shaver unit</t>
  </si>
  <si>
    <t>Item: 2.011</t>
  </si>
  <si>
    <t>Item: 2.012</t>
  </si>
  <si>
    <t>Item: 2.013</t>
  </si>
  <si>
    <t>Item: 2.014</t>
  </si>
  <si>
    <t>Item: 2.015</t>
  </si>
  <si>
    <t>Item: 2.016</t>
  </si>
  <si>
    <t>Item: 2.017</t>
  </si>
  <si>
    <t>Item: 2.018</t>
  </si>
  <si>
    <t>Item: 2.019</t>
  </si>
  <si>
    <t>Item: 2.021</t>
  </si>
  <si>
    <t>Item: 2.022</t>
  </si>
  <si>
    <t>Item: 2.023</t>
  </si>
  <si>
    <t>Item: 2.024</t>
  </si>
  <si>
    <t>Item: 2.025</t>
  </si>
  <si>
    <t>Item: 2.026</t>
  </si>
  <si>
    <t>Item: 2.027</t>
  </si>
  <si>
    <t>Item: 2.028</t>
  </si>
  <si>
    <t>Item: 2.029</t>
  </si>
  <si>
    <t>Item: 2.031</t>
  </si>
  <si>
    <t>Item: 2.032</t>
  </si>
  <si>
    <t>Item: 2.033</t>
  </si>
  <si>
    <t>Item: 2.034</t>
  </si>
  <si>
    <t>Item: 2.035</t>
  </si>
  <si>
    <t>Item: 2.036</t>
  </si>
  <si>
    <t>Item: 2.037</t>
  </si>
  <si>
    <t>Item: 2.038</t>
  </si>
  <si>
    <t>SB</t>
  </si>
  <si>
    <t>PAGE</t>
  </si>
  <si>
    <t>Discy:</t>
  </si>
  <si>
    <t>PAGE SELL</t>
  </si>
  <si>
    <t>PAGE MAT</t>
  </si>
  <si>
    <t>PAGE LAB</t>
  </si>
  <si>
    <t>Item: 3</t>
  </si>
  <si>
    <t>Item: 3.001</t>
  </si>
  <si>
    <t>Supply and install UTP CAT 6 cable from patch panel to the following points. All cables are to be numbered / coded using appropriate number bands</t>
  </si>
  <si>
    <t>Item: 3.002</t>
  </si>
  <si>
    <t>Item: 3.003</t>
  </si>
  <si>
    <t>Item: 3.004</t>
  </si>
  <si>
    <t>Item: 3.005</t>
  </si>
  <si>
    <t>Item: 3.006</t>
  </si>
  <si>
    <t>Item: 3.007</t>
  </si>
  <si>
    <t>Item: 3.008</t>
  </si>
  <si>
    <t>Item: 3.009</t>
  </si>
  <si>
    <t>Item: 3.011</t>
  </si>
  <si>
    <t>Item: 5</t>
  </si>
  <si>
    <t>Item: 5.001</t>
  </si>
  <si>
    <t>Item: 5.002</t>
  </si>
  <si>
    <t>Item: 5.003</t>
  </si>
  <si>
    <t>Item: 5.004</t>
  </si>
  <si>
    <t>Item: 5.005</t>
  </si>
  <si>
    <t>Item: 5.006</t>
  </si>
  <si>
    <t>Item: 5.007</t>
  </si>
  <si>
    <t>Item: 5.008</t>
  </si>
  <si>
    <t>Item: 5.009</t>
  </si>
  <si>
    <t>Item: 5.011</t>
  </si>
  <si>
    <t>Item: 5.012</t>
  </si>
  <si>
    <t>Item: 5.013</t>
  </si>
  <si>
    <t>Indoor AC unit control</t>
  </si>
  <si>
    <t>Item: 5.014</t>
  </si>
  <si>
    <t>Standalone CO2 sensor with an audible and/or visible alarm in case CO2 exceeds the preset limit for the room/spaces in main living area complete with power supply, etc preference to units working at low voltage sharing supply with rems (installation height) 1.1-1.8 m,</t>
  </si>
  <si>
    <t>Item: 10</t>
  </si>
  <si>
    <t>Item: 10.001</t>
  </si>
  <si>
    <t>Item: 10.002</t>
  </si>
  <si>
    <t>Item: 10.003</t>
  </si>
  <si>
    <t>Item: 10.004</t>
  </si>
  <si>
    <t>Item: 10.005</t>
  </si>
  <si>
    <t xml:space="preserve">MATERIAL SUMMARY </t>
  </si>
  <si>
    <t>MU SUMMARY TOTAL</t>
  </si>
  <si>
    <t>Disc. with</t>
  </si>
  <si>
    <t>MATERIAL ITEMS TOTAL</t>
  </si>
  <si>
    <t>COMP_GT</t>
  </si>
  <si>
    <t>equal MUs</t>
  </si>
  <si>
    <t>BOQ  ITEMS  TOTAL</t>
  </si>
  <si>
    <t>ITEM_GT</t>
  </si>
  <si>
    <t xml:space="preserve">  PAGES  TOTAL</t>
  </si>
  <si>
    <t>PAGE_GT</t>
  </si>
  <si>
    <t xml:space="preserve">  SECTIONS TOTAL </t>
  </si>
  <si>
    <t>SECT_GT</t>
  </si>
  <si>
    <t>Item: 2.010</t>
  </si>
  <si>
    <t>Item: 2.020</t>
  </si>
  <si>
    <t>Item: 2.030</t>
  </si>
  <si>
    <t>ELECTRICAL INSTALLATION TOTAL</t>
  </si>
  <si>
    <t>Item: 3.010</t>
  </si>
  <si>
    <t>Item: 5.010</t>
  </si>
  <si>
    <t>Item: 5.015</t>
  </si>
  <si>
    <t>Item: 5.016</t>
  </si>
  <si>
    <t>Item: 5.017</t>
  </si>
  <si>
    <t>Item: 5.018</t>
  </si>
  <si>
    <t>Item: 5.019</t>
  </si>
  <si>
    <t>Item: 5.020</t>
  </si>
  <si>
    <t>Item: 5.021</t>
  </si>
  <si>
    <t>Item: 5.022</t>
  </si>
  <si>
    <t>Item: 5.023</t>
  </si>
  <si>
    <t>Item: 5.024</t>
  </si>
  <si>
    <t>Item: 5.025</t>
  </si>
  <si>
    <t>Item: 5.026</t>
  </si>
  <si>
    <t>Item: 5.027</t>
  </si>
  <si>
    <t>Item: 5.028</t>
  </si>
  <si>
    <t>Item: 5.029</t>
  </si>
  <si>
    <t>Item: 5.030</t>
  </si>
  <si>
    <t>TELEPHONE SYSTEM TOTAL</t>
  </si>
  <si>
    <t>ROOM MANAGEMENT SYSTEM TOTAL</t>
  </si>
  <si>
    <t>FIRE DETECTION TOTAL</t>
  </si>
  <si>
    <t>RATE TOTALS IN CURRENT SHEET</t>
  </si>
  <si>
    <t>Perit Andrew Sapienza</t>
  </si>
  <si>
    <t xml:space="preserve">20mm Conduit LSZH - RATE  </t>
  </si>
  <si>
    <t>COPV_003</t>
  </si>
  <si>
    <t>GEN</t>
  </si>
  <si>
    <t>20mm</t>
  </si>
  <si>
    <t>Data Cable  4Pr UTP CAT6</t>
  </si>
  <si>
    <t>CASP_007</t>
  </si>
  <si>
    <t>(__)</t>
  </si>
  <si>
    <t>DATA_017</t>
  </si>
  <si>
    <t xml:space="preserve">Termination, labelling and testing of Category 6A UTP copper data points at both ends, providing full cable certification tests results in accordance with the relevant TIA or ISO/IEC standard in pdf electronic format - </t>
  </si>
  <si>
    <t>Included in item 3.003</t>
  </si>
  <si>
    <t>WACC_262</t>
  </si>
  <si>
    <t>LG</t>
  </si>
  <si>
    <t>Mosaic 074250</t>
  </si>
  <si>
    <t>SINGLE RJ 45 CAT. 6 UTP (Legrand GALION 2 824 61-C2 Champagne)</t>
  </si>
  <si>
    <t xml:space="preserve">25mm Conduit LSZH - RATE  </t>
  </si>
  <si>
    <t>COPV_007</t>
  </si>
  <si>
    <t>25mm</t>
  </si>
  <si>
    <t>001# REMS LSZH Conduit</t>
  </si>
  <si>
    <t>KOUVIDIS - MEDISOL HF CONDUIT (For MFA Project)</t>
  </si>
  <si>
    <t>KOUVIDS HF Conduit System</t>
  </si>
  <si>
    <t>FCA</t>
  </si>
  <si>
    <t>Item</t>
  </si>
  <si>
    <t>Description</t>
  </si>
  <si>
    <t>Unit</t>
  </si>
  <si>
    <t>Qty</t>
  </si>
  <si>
    <t>Unit Price</t>
  </si>
  <si>
    <t>Total Price</t>
  </si>
  <si>
    <t>3m x 20mm HF Medium type Conduit (Ref. 1005020)</t>
  </si>
  <si>
    <t>Lenghts</t>
  </si>
  <si>
    <t>20mm HF Coupler (Ref. 4001020)</t>
  </si>
  <si>
    <t>20mm HF Bend (Ref. 4015020)</t>
  </si>
  <si>
    <t>82x82x43mm HF Watertight Box (Ref. 3001020)</t>
  </si>
  <si>
    <t>20mm HF Adaptor for Watertight Box (Ref. 4005020)</t>
  </si>
  <si>
    <t>20mm HF Conduit Clip (Ref. 4003020)</t>
  </si>
  <si>
    <t>3m x 25mm HF Medium type Conduit (Ref. 1005025)</t>
  </si>
  <si>
    <t>25mm HF Coupler (Ref. 4001025)</t>
  </si>
  <si>
    <t>25mm HF Bend (Ref. 4015025)</t>
  </si>
  <si>
    <t>101x101x51mm HF Watertight Box (Ref. 3001025)</t>
  </si>
  <si>
    <t>25mm HF Adaptor for Watertight Box (Ref. 4005025)</t>
  </si>
  <si>
    <t>25mm HF Conduit Clip (Ref. 4003025)</t>
  </si>
  <si>
    <t>20mm Flexible Conduit (MEDIFLEX HF  33442) Part No. 2005020</t>
  </si>
  <si>
    <t>25mm Flexible Conduit (MEDIFLEX HF  33442) Part No. 2005025</t>
  </si>
  <si>
    <t>cost/total</t>
  </si>
  <si>
    <t>cost/m</t>
  </si>
  <si>
    <t>20mm HF Medium type Conduit</t>
  </si>
  <si>
    <t>/m</t>
  </si>
  <si>
    <t>25mm HF Medium type Conduit</t>
  </si>
  <si>
    <t>Stock Order</t>
  </si>
  <si>
    <t>For MFA</t>
  </si>
  <si>
    <t>KOUVIDIS PO 100033</t>
  </si>
  <si>
    <t>Cost excluding the shipping</t>
  </si>
  <si>
    <t>Shipping and Delivery Cost</t>
  </si>
  <si>
    <t>Shipping cost</t>
  </si>
  <si>
    <t>Total</t>
  </si>
  <si>
    <t>Multiplying factor for the shipping</t>
  </si>
  <si>
    <t xml:space="preserve">20mm Flexible Conduit LSZH - RATE  </t>
  </si>
  <si>
    <t>h</t>
  </si>
  <si>
    <t>RATE_AAA</t>
  </si>
  <si>
    <t>RTLO_002</t>
  </si>
  <si>
    <t>002# REMS LSZH Cable</t>
  </si>
  <si>
    <t>CAMC_041</t>
  </si>
  <si>
    <t>CRO</t>
  </si>
  <si>
    <t>1.0mm2</t>
  </si>
  <si>
    <t>02-001</t>
  </si>
  <si>
    <t>Wiring Cable  2c  0.75 mm2 LSZH</t>
  </si>
  <si>
    <t>Rate</t>
  </si>
  <si>
    <t>BRATE</t>
  </si>
  <si>
    <t>RTONLY</t>
  </si>
  <si>
    <t>--------</t>
  </si>
  <si>
    <t>Testing &amp; Commissioning (by Electrician)</t>
  </si>
  <si>
    <t>COMM_003</t>
  </si>
  <si>
    <t>MISC</t>
  </si>
  <si>
    <t>Controls Section (Guy)</t>
  </si>
  <si>
    <t>ACCE_005</t>
  </si>
  <si>
    <t>Room management system controller</t>
  </si>
  <si>
    <t>10A 2P AC3 24VAC Coil Contactor</t>
  </si>
  <si>
    <t>Reed Switch 1PCO</t>
  </si>
  <si>
    <t>Recessed Occupancy sensors (dry contact type)</t>
  </si>
  <si>
    <t>KWHr Energy Meter with Modbus</t>
  </si>
  <si>
    <t>Standalone CO2 sensor</t>
  </si>
  <si>
    <t>Power</t>
  </si>
  <si>
    <t>Controls</t>
  </si>
  <si>
    <t>Fire Alarm (Josef)</t>
  </si>
  <si>
    <t>FIRE_002</t>
  </si>
  <si>
    <t>Wiring of the Detector</t>
  </si>
  <si>
    <t>Addressable Smoke detector</t>
  </si>
  <si>
    <t>LIGH_130</t>
  </si>
  <si>
    <t>Kingfisher</t>
  </si>
  <si>
    <t>KL HM30-1-1</t>
  </si>
  <si>
    <t>Install and connect LED Strip Light power supply</t>
  </si>
  <si>
    <t>Wiring Cable  3c  4.0 mm2 PVC/PVC Non-Arm</t>
  </si>
  <si>
    <t>CAMC_050</t>
  </si>
  <si>
    <t>4.0mm2</t>
  </si>
  <si>
    <t>03-006</t>
  </si>
  <si>
    <t xml:space="preserve">Cable Tie 225mm  </t>
  </si>
  <si>
    <t>CONS_009</t>
  </si>
  <si>
    <t>01-003</t>
  </si>
  <si>
    <t>SWLV_003</t>
  </si>
  <si>
    <t>03-002</t>
  </si>
  <si>
    <t>32A 2P MCB Incomer</t>
  </si>
  <si>
    <t>10A 2P 30mA RCBO</t>
  </si>
  <si>
    <t>6A 2P 30mA RCBO</t>
  </si>
  <si>
    <t>16A 2P 30mA RCBO</t>
  </si>
  <si>
    <t>25A 2P 30mA RCBO</t>
  </si>
  <si>
    <t>63A 2P 230VAC Coil Contactor</t>
  </si>
  <si>
    <t>REMS Controller</t>
  </si>
  <si>
    <t>Price included in REMS section BOQ</t>
  </si>
  <si>
    <t>Energy kWHr Meter with Modbus</t>
  </si>
  <si>
    <t>10A 2P 230VAC Coil Contactor</t>
  </si>
  <si>
    <t>Internal wiring cables and ferrules</t>
  </si>
  <si>
    <t xml:space="preserve">Consumer Unit Schedule  </t>
  </si>
  <si>
    <t>DOCS_010</t>
  </si>
  <si>
    <t xml:space="preserve">Label Small  </t>
  </si>
  <si>
    <t>CONS_021</t>
  </si>
  <si>
    <t>05-002</t>
  </si>
  <si>
    <t xml:space="preserve">Screw Wood S6 </t>
  </si>
  <si>
    <t>CONS_035</t>
  </si>
  <si>
    <t>02-008</t>
  </si>
  <si>
    <t xml:space="preserve">Rawl Plug S6 </t>
  </si>
  <si>
    <t>CONS_030</t>
  </si>
  <si>
    <t>02-009</t>
  </si>
  <si>
    <t>Fire Stop Putty Pad (Part No: CP 617) 9" x 9"</t>
  </si>
  <si>
    <t>FIBA_008</t>
  </si>
  <si>
    <t>Hilti</t>
  </si>
  <si>
    <t>Firestop Intumescent Graphite Sealant (310ml)</t>
  </si>
  <si>
    <t>FIBA_002</t>
  </si>
  <si>
    <t>Hilti QN25003399</t>
  </si>
  <si>
    <t>Fire Stop Putty Pad (Part No: CP 617) 7" x 6"</t>
  </si>
  <si>
    <t>Universal twin socket outlet with usb - as per designer selected model by Legrand</t>
  </si>
  <si>
    <t>Included in items 5.005 and 5.014</t>
  </si>
  <si>
    <t>003# Lighting Point in LSZH Conduit</t>
  </si>
  <si>
    <t>Wiring Cable  1c    1.5 mm2 PVC Non-Arm</t>
  </si>
  <si>
    <t>CASC_017</t>
  </si>
  <si>
    <t>02-002</t>
  </si>
  <si>
    <t>Conduit PVC  Gypsum Box 75*75mm</t>
  </si>
  <si>
    <t>COPV_017</t>
  </si>
  <si>
    <t>75*75mm</t>
  </si>
  <si>
    <t>004# Power Point in LSZH Conduit</t>
  </si>
  <si>
    <t>Wiring Cable  1c    2.5 mm2 PVC Non-Arm</t>
  </si>
  <si>
    <t>CASC_018</t>
  </si>
  <si>
    <t>02-003</t>
  </si>
  <si>
    <t>Wiring Cable  1c    4.0 mm2 PVC Non-Arm</t>
  </si>
  <si>
    <t>CASC_019</t>
  </si>
  <si>
    <t>02-004</t>
  </si>
  <si>
    <t>Circuit No.s</t>
  </si>
  <si>
    <t xml:space="preserve">Description </t>
  </si>
  <si>
    <t>Factor</t>
  </si>
  <si>
    <t>20mm PVC Conduit</t>
  </si>
  <si>
    <t>20mm PVC Couplers</t>
  </si>
  <si>
    <t>20mm PVC Adaptors</t>
  </si>
  <si>
    <t>75x75mm PVC Box</t>
  </si>
  <si>
    <t>20mm PVC Circular Terminal Box</t>
  </si>
  <si>
    <t>20mm PVC Circular Angle Box</t>
  </si>
  <si>
    <t>20mm PVC Circular Through Box</t>
  </si>
  <si>
    <t>20mm PVC Circular Tee Box</t>
  </si>
  <si>
    <t>20mm PVC. Circular Cover</t>
  </si>
  <si>
    <t>4mm Brass Screws</t>
  </si>
  <si>
    <t>20mm PVC Spacer Saddles</t>
  </si>
  <si>
    <t>Wood Screws &amp; Rawl Plugs S6</t>
  </si>
  <si>
    <t>2.5sq mm PVC Cable</t>
  </si>
  <si>
    <t>System: Single Phase Power PVC Conduit</t>
  </si>
  <si>
    <t>25mm PVC Conduit</t>
  </si>
  <si>
    <t>25mm PVC Couplers</t>
  </si>
  <si>
    <t>25mm PVC Adaptors</t>
  </si>
  <si>
    <t>150x75mm PVC Box</t>
  </si>
  <si>
    <t>25mm PVC Spacer Saddles</t>
  </si>
  <si>
    <t>4sq mm PVC Cable</t>
  </si>
  <si>
    <t>13A Twin IP65 Socket Outlet</t>
  </si>
  <si>
    <t>13A Twin Switched Socket Outlet</t>
  </si>
  <si>
    <t>13A DP Fused Connection Unit</t>
  </si>
  <si>
    <t>13A Flex Outlet</t>
  </si>
  <si>
    <t>Power Point</t>
  </si>
  <si>
    <t>R1</t>
  </si>
  <si>
    <t>R2</t>
  </si>
  <si>
    <t>R3</t>
  </si>
  <si>
    <t>R4</t>
  </si>
  <si>
    <t>R5</t>
  </si>
  <si>
    <t>R6</t>
  </si>
  <si>
    <t>R7</t>
  </si>
  <si>
    <t>R8</t>
  </si>
  <si>
    <t>WACC_077</t>
  </si>
  <si>
    <t xml:space="preserve">Universal twin socket outlet with USB - Champagne colour finish by Legrand </t>
  </si>
  <si>
    <t xml:space="preserve">Universal single socket outlet with USB - Champagne colour finish by Legrand </t>
  </si>
  <si>
    <t xml:space="preserve">13A Twin socket outlet - Champagne colour finish by Legrand </t>
  </si>
  <si>
    <t xml:space="preserve">Shaver unit - Champagne colour finish by Legrand </t>
  </si>
  <si>
    <t xml:space="preserve">1 Gang 2 Way Switch - Champagne colour finish by Legrand </t>
  </si>
  <si>
    <t xml:space="preserve">2 Gang 2 Way Switch - Champagne colour finish by Legrand </t>
  </si>
  <si>
    <t xml:space="preserve">3 Gang 2 Way Switch - Champagne colour finish by Legrand </t>
  </si>
  <si>
    <t>Robert Bondin</t>
  </si>
  <si>
    <t>Included in item 3.002</t>
  </si>
  <si>
    <t>Refer to covering letter</t>
  </si>
  <si>
    <t>M25 PVC Gland</t>
  </si>
  <si>
    <t>CAAC_027</t>
  </si>
  <si>
    <t>Cable Lug   4.0  mm2</t>
  </si>
  <si>
    <t>CAAC_007</t>
  </si>
  <si>
    <t>CTT</t>
  </si>
  <si>
    <t>Cable Marker Wrap Around Type</t>
  </si>
  <si>
    <t>CAAC_025</t>
  </si>
  <si>
    <t>BOQ Item 2.007</t>
  </si>
  <si>
    <t>BOQ Item 2.020</t>
  </si>
  <si>
    <t>We have allowed for HILTI Fire stop and Acoustically insulation PUTTY PADS</t>
  </si>
  <si>
    <t>BOQ Item 2.027</t>
  </si>
  <si>
    <t>The Data outlets are included  in item 3.002</t>
  </si>
  <si>
    <t>BOQ Item 2.031</t>
  </si>
  <si>
    <t>BOQ Item 2.033</t>
  </si>
  <si>
    <t>We have assumed that the light fittings provided are to be assembled and marked by type. The rate is not applicable for chandeliers or sophisticated light fixtures.</t>
  </si>
  <si>
    <t>BOQ Item 3.002</t>
  </si>
  <si>
    <t>BOQ Item 3.004</t>
  </si>
  <si>
    <t>We have allowed for 1No Cat6 U/UTP Cable between the room network switch and the corridor. Since, there is no reference in the BOQ for the room network switch, we are assuming that it will be supplied and installed by others.</t>
  </si>
  <si>
    <t>BOQ Item 3.005</t>
  </si>
  <si>
    <t>Provisional Extend item above to closest data point in Sample room building. Since the cable length between the DATA Cabinet and the room network switch cannot be measured, we have quoted for a rate per meter for the supply and installation of Cat6 U/UTP Cable.</t>
  </si>
  <si>
    <t>BOQ Item 10.002</t>
  </si>
  <si>
    <t>Fire Alarm Cable. We have allowed for single run of fire resistant cable in conduit between the corridor above the room main door and the detector located in the sitting room.</t>
  </si>
  <si>
    <t>Install and connect bedroom profile. We have not quoted for this item because we do not have the details.</t>
  </si>
  <si>
    <t>Cost for 2026</t>
  </si>
  <si>
    <t>Controls Section (Engineer)</t>
  </si>
  <si>
    <t>Discrepancy</t>
  </si>
  <si>
    <t>SUBI</t>
  </si>
  <si>
    <t>&gt;&gt;&gt; mu_A material here &gt;&gt;&gt;</t>
  </si>
  <si>
    <t>&gt;&gt;&gt; mu_B material here &gt;&gt;&gt;</t>
  </si>
  <si>
    <t>REMS Commissioning by Engineer</t>
  </si>
  <si>
    <t>REMS Commissioning by Technicians</t>
  </si>
  <si>
    <t>Cost BMS Single Engineer</t>
  </si>
  <si>
    <t>Cost BMS Pair Technician</t>
  </si>
  <si>
    <t xml:space="preserve">AC Inhibit would be via Digital Output direct to Cassette in the case of the sample room. In the full installation this would be better accomplished using the AC central controller system. </t>
  </si>
  <si>
    <t>45 Module Enclosure C/W Earth and Neutral Bars</t>
  </si>
  <si>
    <t>15 Module Enclosure C/W Earth and Neutral Bars</t>
  </si>
  <si>
    <t>Screw Terminal Block 1.5mm Grey</t>
  </si>
  <si>
    <t>EL25-0700</t>
  </si>
  <si>
    <t>Push button for bathroom switch to REMS. The Push button is included in items 5.005 and 5.014</t>
  </si>
  <si>
    <t>We have allowed for the Cat6 U/UTP Cable including Single DATA Outlets in champagne colour finish as manufactured by Legrand.</t>
  </si>
  <si>
    <t xml:space="preserve">1 Gang Push Switch - Champagne colour finish by Legrand </t>
  </si>
  <si>
    <t>ESS QN SQ61863</t>
  </si>
  <si>
    <t xml:space="preserve">13A Twin socket outlet - Standard white </t>
  </si>
  <si>
    <t>13A DP Fused Outlet - Standard white</t>
  </si>
  <si>
    <t>ESS SQ062082</t>
  </si>
  <si>
    <t xml:space="preserve">45 Module Enclosure C/W Earth and Neutral Bars  </t>
  </si>
  <si>
    <t xml:space="preserve">15 Module Enclosure C/W Earth and Neutral Bars  </t>
  </si>
  <si>
    <t xml:space="preserve">32A 2P MCB Incomer  </t>
  </si>
  <si>
    <t xml:space="preserve">6A 2P 30mA RCBO  </t>
  </si>
  <si>
    <t xml:space="preserve">10A 2P 30mA RCBO  </t>
  </si>
  <si>
    <t xml:space="preserve">16A 2P 30mA RCBO  </t>
  </si>
  <si>
    <t xml:space="preserve">25A 2P 30mA RCBO  </t>
  </si>
  <si>
    <t xml:space="preserve">63A 2P 230VAC Coil Contactor  </t>
  </si>
  <si>
    <t xml:space="preserve">Screw Terminal Block 1.5mm Grey  </t>
  </si>
  <si>
    <t>10A 2P 230VAC Coil Contactor  Price included in REMS section BOQ</t>
  </si>
  <si>
    <t xml:space="preserve">Energy kWHr Meter with Modbus  </t>
  </si>
  <si>
    <t xml:space="preserve">Wiring Cable  1c    1.5 mm2 PVC Non-Arm  </t>
  </si>
  <si>
    <t xml:space="preserve">Wiring Cable  1c    2.5 mm2 PVC Non-Arm  </t>
  </si>
  <si>
    <t xml:space="preserve">Wiring Cable  1c    4.0 mm2 PVC Non-Arm  </t>
  </si>
  <si>
    <t xml:space="preserve">Wiring Cable  2c  0.75 mm2 LSZH  </t>
  </si>
  <si>
    <t>Wiring Cable  3c  4.0 mm2 PVC/PVC Non-Arm  ESS QN SQ61863</t>
  </si>
  <si>
    <t>Data Cable  4Pr UTP CAT6  Robert Bondin</t>
  </si>
  <si>
    <t xml:space="preserve">M25 PVC Gland  </t>
  </si>
  <si>
    <t xml:space="preserve">Cable Lug   4.0  mm2  </t>
  </si>
  <si>
    <t xml:space="preserve">Cable Marker Wrap Around Type  </t>
  </si>
  <si>
    <t xml:space="preserve">20mm Conduit LSZH - RATE    </t>
  </si>
  <si>
    <t xml:space="preserve">25mm Conduit LSZH - RATE    </t>
  </si>
  <si>
    <t xml:space="preserve">20mm Flexible Conduit LSZH - RATE    </t>
  </si>
  <si>
    <t xml:space="preserve">Conduit PVC  Gypsum Box 75*75mm  </t>
  </si>
  <si>
    <t xml:space="preserve">Universal twin socket outlet with USB - Champagne colour finish by Legrand   </t>
  </si>
  <si>
    <t xml:space="preserve">Universal single socket outlet with USB - Champagne colour finish by Legrand   </t>
  </si>
  <si>
    <t xml:space="preserve">13A Twin socket outlet - Champagne colour finish by Legrand   </t>
  </si>
  <si>
    <t>13A Twin socket outlet - Standard white   ESS SQ062082</t>
  </si>
  <si>
    <t>13A DP Fused Outlet - Standard white  ESS SQ062082</t>
  </si>
  <si>
    <t xml:space="preserve">Shaver unit - Champagne colour finish by Legrand   </t>
  </si>
  <si>
    <t xml:space="preserve">1 Gang 2 Way Switch - Champagne colour finish by Legrand   </t>
  </si>
  <si>
    <t xml:space="preserve">2 Gang 2 Way Switch - Champagne colour finish by Legrand   </t>
  </si>
  <si>
    <t xml:space="preserve">3 Gang 2 Way Switch - Champagne colour finish by Legrand   </t>
  </si>
  <si>
    <t xml:space="preserve">SINGLE RJ 45 CAT. 6 UTP (Legrand GALION 2 824 61-C2 Champagne)  </t>
  </si>
  <si>
    <t xml:space="preserve">1 Gang Push Switch - Champagne colour finish by Legrand   </t>
  </si>
  <si>
    <t xml:space="preserve">Wiring of the Detector  </t>
  </si>
  <si>
    <t xml:space="preserve">Addressable Smoke detector  </t>
  </si>
  <si>
    <t xml:space="preserve">Sounder beacon in detector base  </t>
  </si>
  <si>
    <t xml:space="preserve">Multicriterion detector  </t>
  </si>
  <si>
    <t>Fire Stop Putty Pad (Part No: CP 617) 9" x 9"  Hilti QN25003399</t>
  </si>
  <si>
    <t xml:space="preserve">Firestop Intumescent Graphite Sealant (310ml)  </t>
  </si>
  <si>
    <t>Fire Stop Putty Pad (Part No: CP 617) 7" x 6"  Hilti QN25003399</t>
  </si>
  <si>
    <t xml:space="preserve">Room management system controller  </t>
  </si>
  <si>
    <t xml:space="preserve">10A 2P AC3 24VAC Coil Contactor  </t>
  </si>
  <si>
    <t xml:space="preserve">Reed Switch 1PCO  </t>
  </si>
  <si>
    <t xml:space="preserve">Recessed Occupancy sensors (dry contact type)  </t>
  </si>
  <si>
    <t xml:space="preserve">KWHr Energy Meter with Modbus  </t>
  </si>
  <si>
    <t xml:space="preserve">Standalone CO2 sensor  </t>
  </si>
  <si>
    <t xml:space="preserve">Cable Tie 225mm    </t>
  </si>
  <si>
    <t xml:space="preserve">Label Small    </t>
  </si>
  <si>
    <t xml:space="preserve">Screw Wood S6   </t>
  </si>
  <si>
    <t xml:space="preserve">Rawl Plug S6   </t>
  </si>
  <si>
    <t xml:space="preserve">Consumer Unit Schedule    </t>
  </si>
  <si>
    <t>MATERIAL DESCRIPTION</t>
  </si>
  <si>
    <t>C/CODE</t>
  </si>
  <si>
    <t xml:space="preserve">10A 2P 230VAC Coil Contactor  Price included in REMS section BOQ </t>
  </si>
  <si>
    <t xml:space="preserve">10A 2P 30mA RCBO   </t>
  </si>
  <si>
    <t xml:space="preserve">15 Module Enclosure C/W Earth and Neutral Bars   </t>
  </si>
  <si>
    <t xml:space="preserve">16A 2P 30mA RCBO   </t>
  </si>
  <si>
    <t xml:space="preserve">25A 2P 30mA RCBO   </t>
  </si>
  <si>
    <t xml:space="preserve">32A 2P MCB Incomer   </t>
  </si>
  <si>
    <t xml:space="preserve">45 Module Enclosure C/W Earth and Neutral Bars   </t>
  </si>
  <si>
    <t xml:space="preserve">63A 2P 230VAC Coil Contactor   </t>
  </si>
  <si>
    <t xml:space="preserve">6A 2P 30mA RCBO   </t>
  </si>
  <si>
    <t xml:space="preserve">Energy kWHr Meter with Modbus   </t>
  </si>
  <si>
    <t xml:space="preserve">Screw Terminal Block 1.5mm Grey   </t>
  </si>
  <si>
    <t xml:space="preserve">Wiring Cable  1c    1.5 mm2 PVC Non-Arm   </t>
  </si>
  <si>
    <t xml:space="preserve">Wiring Cable  1c    2.5 mm2 PVC Non-Arm   </t>
  </si>
  <si>
    <t xml:space="preserve">Wiring Cable  1c    4.0 mm2 PVC Non-Arm   </t>
  </si>
  <si>
    <t xml:space="preserve">Wiring Cable  2c  0.75 mm2 LSZH   </t>
  </si>
  <si>
    <t xml:space="preserve">Wiring Cable  3c  4.0 mm2 PVC/PVC Non-Arm  ESS QN SQ61863 </t>
  </si>
  <si>
    <t xml:space="preserve">Data Cable  4Pr UTP CAT6  Robert Bondin </t>
  </si>
  <si>
    <t xml:space="preserve">Cable Lug   4.0  mm2   </t>
  </si>
  <si>
    <t xml:space="preserve">Cable Marker Wrap Around Type   </t>
  </si>
  <si>
    <t xml:space="preserve">M25 PVC Gland   </t>
  </si>
  <si>
    <t xml:space="preserve">20mm Conduit LSZH - RATE     </t>
  </si>
  <si>
    <t xml:space="preserve">20mm Flexible Conduit LSZH - RATE     </t>
  </si>
  <si>
    <t xml:space="preserve">25mm Conduit LSZH - RATE     </t>
  </si>
  <si>
    <t xml:space="preserve">Conduit PVC  Gypsum Box 75*75mm   </t>
  </si>
  <si>
    <t xml:space="preserve">1 Gang 2 Way Switch - Champagne colour finish by Legrand    </t>
  </si>
  <si>
    <t xml:space="preserve">1 Gang Push Switch - Champagne colour finish by Legrand    </t>
  </si>
  <si>
    <t xml:space="preserve">13A DP Fused Outlet - Standard white  ESS SQ062082 </t>
  </si>
  <si>
    <t xml:space="preserve">13A Twin socket outlet - Champagne colour finish by Legrand    </t>
  </si>
  <si>
    <t xml:space="preserve">13A Twin socket outlet - Standard white   ESS SQ062082 </t>
  </si>
  <si>
    <t xml:space="preserve">2 Gang 2 Way Switch - Champagne colour finish by Legrand    </t>
  </si>
  <si>
    <t xml:space="preserve">3 Gang 2 Way Switch - Champagne colour finish by Legrand    </t>
  </si>
  <si>
    <t xml:space="preserve">Shaver unit - Champagne colour finish by Legrand    </t>
  </si>
  <si>
    <t xml:space="preserve">SINGLE RJ 45 CAT. 6 UTP (Legrand GALION 2 824 61-C2 Champagne)   </t>
  </si>
  <si>
    <t xml:space="preserve">Universal single socket outlet with USB - Champagne colour finish by Legrand    </t>
  </si>
  <si>
    <t xml:space="preserve">Universal twin socket outlet with USB - Champagne colour finish by Legrand    </t>
  </si>
  <si>
    <t xml:space="preserve">Addressable Smoke detector   </t>
  </si>
  <si>
    <t xml:space="preserve">Multicriterion detector   </t>
  </si>
  <si>
    <t xml:space="preserve">Sounder beacon in detector base   </t>
  </si>
  <si>
    <t xml:space="preserve">Wiring of the Detector   </t>
  </si>
  <si>
    <t xml:space="preserve">Fire Stop Putty Pad (Part No: CP 617) 7" x 6"  Hilti QN25003399 </t>
  </si>
  <si>
    <t xml:space="preserve">Fire Stop Putty Pad (Part No: CP 617) 9" x 9"  Hilti QN25003399 </t>
  </si>
  <si>
    <t xml:space="preserve">Firestop Intumescent Graphite Sealant (310ml)   </t>
  </si>
  <si>
    <t xml:space="preserve">10A 2P AC3 24VAC Coil Contactor   </t>
  </si>
  <si>
    <t xml:space="preserve">KWHr Energy Meter with Modbus   </t>
  </si>
  <si>
    <t xml:space="preserve">Recessed Occupancy sensors (dry contact type)   </t>
  </si>
  <si>
    <t xml:space="preserve">Reed Switch 1PCO   </t>
  </si>
  <si>
    <t xml:space="preserve">Room management system controller   </t>
  </si>
  <si>
    <t xml:space="preserve">Standalone CO2 sensor   </t>
  </si>
  <si>
    <t xml:space="preserve">Cable Tie 225mm     </t>
  </si>
  <si>
    <t xml:space="preserve">Label Small     </t>
  </si>
  <si>
    <t xml:space="preserve">Rawl Plug S6    </t>
  </si>
  <si>
    <t xml:space="preserve">Screw Wood S6    </t>
  </si>
  <si>
    <t xml:space="preserve">Consumer Unit Schedule     </t>
  </si>
  <si>
    <t>Sunny Coast Hotel - Sample Room Material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</si>
</sst>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quot;£&quot;* #,##0.00_-;_-&quot;£&quot;* &quot;-&quot;??_-;_-@_-"/>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2]\ #,##0.00"/>
    <numFmt numFmtId="171" formatCode="0.0000"/>
    <numFmt numFmtId="172" formatCode="0.0000000"/>
    <numFmt numFmtId="173" formatCode="#,##0.00_ ;\-#,##0.00\ "/>
    <numFmt numFmtId="174" formatCode="[$-409]h:mm:ss\ AM/PM;@"/>
    <numFmt numFmtId="175" formatCode="[$-F400]h:mm:ss\ AM/PM"/>
    <numFmt numFmtId="176" formatCode="&quot;€/Prhr &quot;#,##0.00_);[Red]\(&quot;Lm &quot;#,##0.00\)"/>
    <numFmt numFmtId="177" formatCode="&quot;€/Prhr &quot;#,##0.000_);[Red]\(&quot;Lm &quot;#,##0.000\)"/>
    <numFmt numFmtId="178" formatCode="_-[$€-2]\ * #,##0.00_-;\-[$€-2]\ * #,##0.00_-;_-[$€-2]\ * &quot;-&quot;??_-;_-@_-"/>
    <numFmt numFmtId="179" formatCode="[$€-83C]#,##0.00"/>
    <numFmt numFmtId="180" formatCode="0.00_)"/>
  </numFmts>
  <fonts count="196">
    <font>
      <sz val="10"/>
      <name val="Arial"/>
    </font>
    <font>
      <sz val="11"/>
      <color theme="1"/>
      <name val="Calibri"/>
      <family val="2"/>
      <scheme val="minor"/>
    </font>
    <font>
      <sz val="11"/>
      <color theme="1"/>
      <name val="Calibri"/>
      <family val="2"/>
      <scheme val="minor"/>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sz val="9"/>
      <name val="Arial"/>
      <family val="2"/>
    </font>
    <font>
      <sz val="9"/>
      <color indexed="10"/>
      <name val="Arial"/>
      <family val="2"/>
    </font>
    <font>
      <b/>
      <sz val="10"/>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i/>
      <sz val="8"/>
      <color indexed="23"/>
      <name val="Arial"/>
      <family val="2"/>
    </font>
    <font>
      <i/>
      <sz val="8"/>
      <color indexed="23"/>
      <name val="Arial"/>
      <family val="2"/>
    </font>
    <font>
      <b/>
      <sz val="9"/>
      <color indexed="63"/>
      <name val="Arial Narrow"/>
      <family val="2"/>
    </font>
    <font>
      <sz val="8"/>
      <color rgb="FF000000"/>
      <name val="Tahoma"/>
      <family val="2"/>
    </font>
    <font>
      <sz val="10"/>
      <color rgb="FF000000"/>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10"/>
      <color theme="1"/>
      <name val="Myriad Pro Light"/>
      <family val="2"/>
    </font>
    <font>
      <b/>
      <sz val="12"/>
      <color rgb="FF0070C0"/>
      <name val="Myriad Pro Light"/>
      <family val="2"/>
    </font>
    <font>
      <b/>
      <sz val="10"/>
      <color rgb="FF0070C0"/>
      <name val="Myriad Pro Light"/>
      <family val="2"/>
    </font>
    <font>
      <b/>
      <sz val="10"/>
      <color theme="1"/>
      <name val="Myriad Pro Light"/>
      <family val="2"/>
    </font>
    <font>
      <b/>
      <i/>
      <sz val="10"/>
      <color theme="1"/>
      <name val="Myriad Pro Light"/>
      <family val="2"/>
    </font>
    <font>
      <i/>
      <sz val="10"/>
      <color theme="1"/>
      <name val="Myriad Pro Light"/>
      <family val="2"/>
    </font>
    <font>
      <i/>
      <sz val="10"/>
      <color rgb="FF000000"/>
      <name val="Myriad Pro Light"/>
      <family val="2"/>
    </font>
    <font>
      <b/>
      <i/>
      <sz val="10"/>
      <color rgb="FF000000"/>
      <name val="Myriad Pro Light"/>
      <family val="2"/>
    </font>
    <font>
      <sz val="10"/>
      <color rgb="FF0C0C0C"/>
      <name val="Myriad Pro Light"/>
      <family val="2"/>
    </font>
    <font>
      <b/>
      <sz val="10"/>
      <color rgb="FF0C0C0C"/>
      <name val="Myriad Pro Light"/>
      <family val="2"/>
    </font>
    <font>
      <b/>
      <sz val="10"/>
      <color rgb="FF595959"/>
      <name val="Myriad Pro Light"/>
      <family val="2"/>
    </font>
    <font>
      <b/>
      <sz val="20"/>
      <color rgb="FF0070C0"/>
      <name val="Myriad Pro Light"/>
      <family val="2"/>
    </font>
    <font>
      <b/>
      <sz val="10"/>
      <color rgb="FF4472C4"/>
      <name val="Myriad Pro Light"/>
      <family val="2"/>
    </font>
    <font>
      <b/>
      <sz val="10"/>
      <color rgb="FF00B0F0"/>
      <name val="Myriad Pro Light"/>
      <family val="2"/>
    </font>
    <font>
      <sz val="10"/>
      <color rgb="FF00B0F0"/>
      <name val="Myriad Pro Light"/>
      <family val="2"/>
    </font>
    <font>
      <i/>
      <sz val="10"/>
      <color rgb="FF00B0F0"/>
      <name val="Myriad Pro Light"/>
      <family val="2"/>
    </font>
    <font>
      <b/>
      <i/>
      <sz val="10"/>
      <color rgb="FF00B0F0"/>
      <name val="Myriad Pro Light"/>
      <family val="2"/>
    </font>
    <font>
      <sz val="9"/>
      <color indexed="13"/>
      <name val="Arial"/>
      <family val="2"/>
    </font>
    <font>
      <b/>
      <i/>
      <sz val="8"/>
      <name val="Arial"/>
      <family val="2"/>
    </font>
    <font>
      <b/>
      <i/>
      <sz val="11"/>
      <name val="Arial"/>
      <family val="2"/>
    </font>
    <font>
      <b/>
      <sz val="9"/>
      <color indexed="13"/>
      <name val="Arial"/>
      <family val="2"/>
    </font>
    <font>
      <sz val="9"/>
      <color indexed="34"/>
      <name val="Arial"/>
      <family val="2"/>
    </font>
    <font>
      <b/>
      <sz val="10"/>
      <color indexed="81"/>
      <name val="Tahoma"/>
      <family val="2"/>
    </font>
    <font>
      <sz val="10"/>
      <color indexed="81"/>
      <name val="Tahoma"/>
      <family val="2"/>
    </font>
    <font>
      <b/>
      <i/>
      <sz val="8"/>
      <color indexed="33"/>
      <name val="Arial"/>
      <family val="2"/>
    </font>
    <font>
      <b/>
      <sz val="11"/>
      <color theme="1"/>
      <name val="Calibri"/>
      <family val="2"/>
      <scheme val="minor"/>
    </font>
    <font>
      <sz val="9"/>
      <name val="MS Sans Serif"/>
    </font>
    <font>
      <b/>
      <sz val="9"/>
      <name val="MS Sans Serif"/>
    </font>
    <font>
      <b/>
      <sz val="16"/>
      <color theme="1"/>
      <name val="Calibri"/>
      <family val="2"/>
      <scheme val="minor"/>
    </font>
    <font>
      <b/>
      <sz val="11"/>
      <color rgb="FF0070C0"/>
      <name val="Calibri"/>
      <family val="2"/>
      <scheme val="minor"/>
    </font>
    <font>
      <sz val="11"/>
      <color rgb="FF0070C0"/>
      <name val="Calibri"/>
      <family val="2"/>
      <scheme val="minor"/>
    </font>
    <font>
      <b/>
      <sz val="11"/>
      <color rgb="FFFF0000"/>
      <name val="Calibri"/>
      <family val="2"/>
      <scheme val="minor"/>
    </font>
    <font>
      <b/>
      <sz val="10"/>
      <name val="Arial"/>
      <family val="2"/>
    </font>
    <font>
      <sz val="9"/>
      <name val="MS Sans Serif"/>
      <family val="2"/>
    </font>
    <font>
      <i/>
      <sz val="10"/>
      <color indexed="10"/>
      <name val="Arial"/>
      <family val="2"/>
    </font>
    <font>
      <b/>
      <sz val="10"/>
      <color indexed="60"/>
      <name val="Arial Narrow"/>
      <family val="2"/>
    </font>
    <font>
      <b/>
      <sz val="9"/>
      <color indexed="18"/>
      <name val="Arial"/>
      <family val="2"/>
    </font>
    <font>
      <sz val="9"/>
      <color indexed="18"/>
      <name val="Arial"/>
      <family val="2"/>
    </font>
    <font>
      <i/>
      <sz val="8"/>
      <color indexed="10"/>
      <name val="Arial"/>
      <family val="2"/>
    </font>
    <font>
      <i/>
      <sz val="8"/>
      <color indexed="10"/>
      <name val="Arial Narrow"/>
      <family val="2"/>
    </font>
    <font>
      <i/>
      <sz val="8"/>
      <color indexed="55"/>
      <name val="Arial"/>
      <family val="2"/>
    </font>
    <font>
      <sz val="10"/>
      <name val="AvantGarde Bk BT"/>
    </font>
    <font>
      <sz val="12"/>
      <name val="Arial MT"/>
    </font>
    <font>
      <sz val="9"/>
      <color indexed="8"/>
      <name val="MS Sans Serif"/>
      <family val="2"/>
    </font>
    <font>
      <sz val="9"/>
      <color indexed="23"/>
      <name val="MS Sans Serif"/>
      <family val="2"/>
    </font>
    <font>
      <sz val="9"/>
      <color indexed="12"/>
      <name val="MS Sans Serif"/>
      <family val="2"/>
    </font>
    <font>
      <b/>
      <sz val="9"/>
      <name val="MS Sans Serif"/>
      <family val="2"/>
    </font>
    <font>
      <sz val="9"/>
      <color indexed="10"/>
      <name val="Arial Narrow"/>
      <family val="2"/>
    </font>
  </fonts>
  <fills count="26">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rgb="FFFFFF00"/>
        <bgColor indexed="64"/>
      </patternFill>
    </fill>
    <fill>
      <patternFill patternType="solid">
        <fgColor rgb="FFFFC000"/>
        <bgColor indexed="64"/>
      </patternFill>
    </fill>
    <fill>
      <patternFill patternType="solid">
        <fgColor indexed="34"/>
        <bgColor indexed="64"/>
      </patternFill>
    </fill>
    <fill>
      <patternFill patternType="lightUp"/>
    </fill>
    <fill>
      <patternFill patternType="solid">
        <fgColor indexed="47"/>
        <bgColor indexed="8"/>
      </patternFill>
    </fill>
    <fill>
      <patternFill patternType="lightGray">
        <bgColor indexed="51"/>
      </patternFill>
    </fill>
    <fill>
      <patternFill patternType="solid">
        <fgColor theme="0" tint="-0.14999847407452621"/>
        <bgColor indexed="64"/>
      </patternFill>
    </fill>
  </fills>
  <borders count="68">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double">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dotted">
        <color indexed="64"/>
      </left>
      <right style="dotted">
        <color indexed="64"/>
      </right>
      <top style="dotted">
        <color indexed="64"/>
      </top>
      <bottom/>
      <diagonal/>
    </border>
    <border>
      <left/>
      <right/>
      <top/>
      <bottom style="dotted">
        <color indexed="64"/>
      </bottom>
      <diagonal/>
    </border>
    <border>
      <left/>
      <right/>
      <top/>
      <bottom style="dashed">
        <color indexed="64"/>
      </bottom>
      <diagonal/>
    </border>
    <border>
      <left/>
      <right/>
      <top style="dotted">
        <color indexed="64"/>
      </top>
      <bottom/>
      <diagonal/>
    </border>
    <border>
      <left/>
      <right/>
      <top style="thin">
        <color indexed="64"/>
      </top>
      <bottom style="dashed">
        <color indexed="64"/>
      </bottom>
      <diagonal/>
    </border>
    <border>
      <left style="dotted">
        <color indexed="64"/>
      </left>
      <right style="dotted">
        <color indexed="64"/>
      </right>
      <top style="dotted">
        <color indexed="64"/>
      </top>
      <bottom style="dotted">
        <color indexed="64"/>
      </bottom>
      <diagonal/>
    </border>
  </borders>
  <cellStyleXfs count="20">
    <xf numFmtId="0" fontId="0" fillId="0" borderId="0"/>
    <xf numFmtId="43" fontId="6" fillId="0" borderId="0" applyFont="0" applyFill="0" applyBorder="0" applyAlignment="0" applyProtection="0"/>
    <xf numFmtId="164" fontId="6" fillId="0" borderId="0" applyFont="0" applyFill="0" applyBorder="0" applyAlignment="0" applyProtection="0"/>
    <xf numFmtId="0" fontId="6" fillId="0" borderId="0"/>
    <xf numFmtId="1" fontId="10" fillId="0" borderId="0"/>
    <xf numFmtId="0" fontId="6" fillId="0" borderId="0"/>
    <xf numFmtId="1" fontId="10" fillId="0" borderId="0"/>
    <xf numFmtId="0" fontId="9" fillId="0" borderId="0"/>
    <xf numFmtId="0" fontId="27" fillId="0" borderId="0"/>
    <xf numFmtId="0" fontId="142" fillId="0" borderId="0"/>
    <xf numFmtId="0" fontId="6" fillId="0" borderId="0"/>
    <xf numFmtId="0" fontId="2" fillId="0" borderId="0"/>
    <xf numFmtId="9" fontId="2" fillId="0" borderId="0" applyFont="0" applyFill="0" applyBorder="0" applyAlignment="0" applyProtection="0"/>
    <xf numFmtId="44" fontId="2" fillId="0" borderId="0" applyFont="0" applyFill="0" applyBorder="0" applyAlignment="0" applyProtection="0"/>
    <xf numFmtId="0" fontId="1" fillId="0" borderId="0"/>
    <xf numFmtId="1" fontId="6" fillId="0" borderId="0"/>
    <xf numFmtId="0" fontId="6" fillId="0" borderId="0"/>
    <xf numFmtId="1" fontId="6" fillId="0" borderId="0"/>
    <xf numFmtId="0" fontId="189" fillId="0" borderId="0"/>
    <xf numFmtId="180" fontId="190" fillId="0" borderId="0"/>
  </cellStyleXfs>
  <cellXfs count="1044">
    <xf numFmtId="0" fontId="0" fillId="0" borderId="0" xfId="0"/>
    <xf numFmtId="0" fontId="14" fillId="0" borderId="0" xfId="3" applyFont="1"/>
    <xf numFmtId="1" fontId="17" fillId="0" borderId="0" xfId="6" applyFont="1" applyProtection="1">
      <protection locked="0"/>
    </xf>
    <xf numFmtId="0" fontId="6" fillId="0" borderId="0" xfId="3"/>
    <xf numFmtId="1" fontId="14" fillId="0" borderId="0" xfId="6" applyFont="1" applyProtection="1">
      <protection locked="0"/>
    </xf>
    <xf numFmtId="2" fontId="14" fillId="0" borderId="0" xfId="6" applyNumberFormat="1" applyFont="1" applyProtection="1">
      <protection locked="0"/>
    </xf>
    <xf numFmtId="1" fontId="22" fillId="0" borderId="0" xfId="6" applyFont="1" applyAlignment="1" applyProtection="1">
      <alignment horizontal="center"/>
      <protection locked="0"/>
    </xf>
    <xf numFmtId="0" fontId="33"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6" fillId="0" borderId="1" xfId="3" applyBorder="1"/>
    <xf numFmtId="1" fontId="14" fillId="0" borderId="0" xfId="6" applyFont="1" applyAlignment="1" applyProtection="1">
      <alignment horizontal="centerContinuous"/>
      <protection locked="0"/>
    </xf>
    <xf numFmtId="1" fontId="14" fillId="0" borderId="0" xfId="6" applyFont="1" applyAlignment="1" applyProtection="1">
      <alignment horizontal="left"/>
      <protection locked="0"/>
    </xf>
    <xf numFmtId="0" fontId="15" fillId="0" borderId="0" xfId="2" applyNumberFormat="1" applyFont="1" applyBorder="1" applyAlignment="1" applyProtection="1">
      <protection locked="0"/>
    </xf>
    <xf numFmtId="0" fontId="15" fillId="0" borderId="0" xfId="3" applyFont="1" applyAlignment="1" applyProtection="1">
      <alignment horizontal="left"/>
      <protection locked="0"/>
    </xf>
    <xf numFmtId="15" fontId="15" fillId="0" borderId="0" xfId="6" applyNumberFormat="1" applyFont="1" applyAlignment="1" applyProtection="1">
      <alignment horizontal="left"/>
      <protection locked="0"/>
    </xf>
    <xf numFmtId="0" fontId="15" fillId="0" borderId="0" xfId="2" applyNumberFormat="1" applyFont="1" applyFill="1" applyBorder="1" applyAlignment="1" applyProtection="1">
      <alignment horizontal="left"/>
      <protection locked="0"/>
    </xf>
    <xf numFmtId="0" fontId="28" fillId="0" borderId="0" xfId="2" applyNumberFormat="1" applyFont="1" applyBorder="1" applyAlignment="1" applyProtection="1">
      <alignment horizontal="centerContinuous"/>
      <protection locked="0"/>
    </xf>
    <xf numFmtId="0" fontId="11" fillId="2" borderId="2" xfId="3" applyFont="1" applyFill="1" applyBorder="1" applyAlignment="1">
      <alignment horizontal="center"/>
    </xf>
    <xf numFmtId="0" fontId="11" fillId="3" borderId="3" xfId="3" applyFont="1" applyFill="1" applyBorder="1" applyAlignment="1">
      <alignment horizontal="center"/>
    </xf>
    <xf numFmtId="0" fontId="11" fillId="4" borderId="3" xfId="3" applyFont="1" applyFill="1" applyBorder="1" applyAlignment="1">
      <alignment horizontal="center"/>
    </xf>
    <xf numFmtId="0" fontId="55" fillId="5" borderId="3" xfId="3" applyFont="1" applyFill="1" applyBorder="1" applyAlignment="1">
      <alignment horizontal="center"/>
    </xf>
    <xf numFmtId="0" fontId="11" fillId="6" borderId="3" xfId="3" applyFont="1" applyFill="1" applyBorder="1" applyAlignment="1">
      <alignment horizontal="center"/>
    </xf>
    <xf numFmtId="0" fontId="11" fillId="2" borderId="3" xfId="3" applyFont="1" applyFill="1" applyBorder="1" applyAlignment="1">
      <alignment horizontal="center"/>
    </xf>
    <xf numFmtId="0" fontId="11" fillId="7" borderId="3" xfId="3" applyFont="1" applyFill="1" applyBorder="1" applyAlignment="1">
      <alignment horizontal="center"/>
    </xf>
    <xf numFmtId="0" fontId="11" fillId="8" borderId="3" xfId="3" applyFont="1" applyFill="1" applyBorder="1" applyAlignment="1">
      <alignment horizontal="center"/>
    </xf>
    <xf numFmtId="0" fontId="11" fillId="9" borderId="3" xfId="3" applyFont="1" applyFill="1" applyBorder="1" applyAlignment="1">
      <alignment horizontal="center"/>
    </xf>
    <xf numFmtId="0" fontId="11" fillId="10" borderId="3" xfId="3" applyFont="1" applyFill="1" applyBorder="1" applyAlignment="1">
      <alignment horizontal="center"/>
    </xf>
    <xf numFmtId="0" fontId="11" fillId="11" borderId="3" xfId="3" applyFont="1" applyFill="1" applyBorder="1" applyAlignment="1">
      <alignment horizontal="center"/>
    </xf>
    <xf numFmtId="0" fontId="53" fillId="2" borderId="4" xfId="2" applyNumberFormat="1" applyFont="1" applyFill="1" applyBorder="1" applyAlignment="1" applyProtection="1">
      <alignment horizontal="center" vertical="center"/>
    </xf>
    <xf numFmtId="0" fontId="53" fillId="2" borderId="5" xfId="3" applyFont="1" applyFill="1" applyBorder="1" applyAlignment="1">
      <alignment horizontal="center" vertical="center"/>
    </xf>
    <xf numFmtId="0" fontId="53" fillId="2" borderId="6" xfId="0" applyFont="1" applyFill="1" applyBorder="1" applyAlignment="1">
      <alignment horizontal="center" vertical="center"/>
    </xf>
    <xf numFmtId="0" fontId="53" fillId="2" borderId="7" xfId="0" applyFont="1" applyFill="1" applyBorder="1" applyAlignment="1">
      <alignment horizontal="center" vertical="center"/>
    </xf>
    <xf numFmtId="0" fontId="13" fillId="0" borderId="0" xfId="0" applyFont="1" applyProtection="1">
      <protection locked="0"/>
    </xf>
    <xf numFmtId="0" fontId="14" fillId="0" borderId="0" xfId="3" applyFont="1" applyProtection="1">
      <protection locked="0"/>
    </xf>
    <xf numFmtId="0" fontId="6" fillId="0" borderId="0" xfId="3" applyProtection="1">
      <protection locked="0"/>
    </xf>
    <xf numFmtId="1" fontId="14" fillId="0" borderId="0" xfId="3" applyNumberFormat="1" applyFont="1" applyProtection="1">
      <protection locked="0"/>
    </xf>
    <xf numFmtId="0" fontId="0" fillId="0" borderId="0" xfId="0" applyProtection="1">
      <protection locked="0"/>
    </xf>
    <xf numFmtId="0" fontId="15" fillId="0" borderId="0" xfId="3" applyFont="1" applyAlignment="1" applyProtection="1">
      <alignment horizontal="right"/>
      <protection locked="0"/>
    </xf>
    <xf numFmtId="1" fontId="14" fillId="0" borderId="0" xfId="6" applyFont="1" applyAlignment="1" applyProtection="1">
      <alignment horizontal="center"/>
      <protection locked="0"/>
    </xf>
    <xf numFmtId="1" fontId="14" fillId="0" borderId="8" xfId="6" applyFont="1" applyBorder="1" applyAlignment="1" applyProtection="1">
      <alignment horizontal="right"/>
      <protection locked="0"/>
    </xf>
    <xf numFmtId="2" fontId="14" fillId="0" borderId="9" xfId="6" applyNumberFormat="1" applyFont="1" applyBorder="1" applyAlignment="1" applyProtection="1">
      <alignment horizontal="left"/>
      <protection locked="0"/>
    </xf>
    <xf numFmtId="1" fontId="14" fillId="0" borderId="1" xfId="6" applyFont="1" applyBorder="1" applyProtection="1">
      <protection locked="0"/>
    </xf>
    <xf numFmtId="2" fontId="14" fillId="0" borderId="1" xfId="6" applyNumberFormat="1" applyFont="1" applyBorder="1" applyProtection="1">
      <protection locked="0"/>
    </xf>
    <xf numFmtId="0" fontId="18" fillId="0" borderId="0" xfId="3" applyFont="1" applyProtection="1">
      <protection locked="0"/>
    </xf>
    <xf numFmtId="0" fontId="14" fillId="0" borderId="1" xfId="3" applyFont="1" applyBorder="1" applyProtection="1">
      <protection locked="0"/>
    </xf>
    <xf numFmtId="0" fontId="17" fillId="0" borderId="0" xfId="3" applyFont="1" applyProtection="1">
      <protection locked="0"/>
    </xf>
    <xf numFmtId="0" fontId="18" fillId="0" borderId="1" xfId="3" applyFont="1" applyBorder="1" applyProtection="1">
      <protection locked="0"/>
    </xf>
    <xf numFmtId="0" fontId="9" fillId="0" borderId="13" xfId="0" applyFont="1" applyBorder="1" applyAlignment="1" applyProtection="1">
      <alignment horizontal="right"/>
      <protection locked="0"/>
    </xf>
    <xf numFmtId="0" fontId="5"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3" fillId="0" borderId="13" xfId="0" applyFont="1" applyBorder="1" applyProtection="1">
      <protection locked="0"/>
    </xf>
    <xf numFmtId="2" fontId="3" fillId="2" borderId="14" xfId="0" applyNumberFormat="1" applyFont="1" applyFill="1" applyBorder="1" applyAlignment="1" applyProtection="1">
      <alignment horizontal="right"/>
      <protection locked="0"/>
    </xf>
    <xf numFmtId="165" fontId="3" fillId="2" borderId="14" xfId="0" applyNumberFormat="1" applyFont="1" applyFill="1" applyBorder="1" applyProtection="1">
      <protection locked="0"/>
    </xf>
    <xf numFmtId="0" fontId="9" fillId="0" borderId="0" xfId="0" applyFont="1" applyAlignment="1" applyProtection="1">
      <alignment horizontal="right"/>
      <protection locked="0"/>
    </xf>
    <xf numFmtId="0" fontId="3" fillId="0" borderId="0" xfId="0" applyFont="1" applyAlignment="1" applyProtection="1">
      <alignment horizontal="center"/>
      <protection locked="0"/>
    </xf>
    <xf numFmtId="1" fontId="0" fillId="0" borderId="0" xfId="0" applyNumberFormat="1" applyProtection="1">
      <protection locked="0"/>
    </xf>
    <xf numFmtId="2" fontId="10" fillId="0" borderId="0" xfId="0" applyNumberFormat="1" applyFont="1" applyProtection="1">
      <protection locked="0"/>
    </xf>
    <xf numFmtId="165" fontId="0" fillId="0" borderId="0" xfId="0" applyNumberFormat="1" applyProtection="1">
      <protection locked="0"/>
    </xf>
    <xf numFmtId="0" fontId="14" fillId="0" borderId="0" xfId="0" applyFont="1" applyProtection="1">
      <protection locked="0"/>
    </xf>
    <xf numFmtId="0" fontId="9" fillId="0" borderId="1" xfId="0" applyFont="1" applyBorder="1" applyAlignment="1" applyProtection="1">
      <alignment horizontal="right"/>
      <protection locked="0"/>
    </xf>
    <xf numFmtId="0" fontId="23" fillId="0" borderId="1" xfId="0" applyFont="1" applyBorder="1" applyAlignment="1" applyProtection="1">
      <alignment horizontal="left"/>
      <protection locked="0"/>
    </xf>
    <xf numFmtId="1" fontId="22" fillId="0" borderId="1" xfId="6" applyFont="1" applyBorder="1" applyAlignment="1" applyProtection="1">
      <alignment horizontal="center"/>
      <protection locked="0"/>
    </xf>
    <xf numFmtId="0" fontId="14" fillId="0" borderId="1" xfId="0" applyFont="1" applyBorder="1" applyProtection="1">
      <protection locked="0"/>
    </xf>
    <xf numFmtId="0" fontId="0" fillId="0" borderId="1" xfId="0" applyBorder="1" applyProtection="1">
      <protection locked="0"/>
    </xf>
    <xf numFmtId="0" fontId="3" fillId="0" borderId="1" xfId="0" applyFont="1" applyBorder="1" applyAlignment="1" applyProtection="1">
      <alignment horizontal="center"/>
      <protection locked="0"/>
    </xf>
    <xf numFmtId="1" fontId="0" fillId="0" borderId="1" xfId="0" applyNumberFormat="1" applyBorder="1" applyProtection="1">
      <protection locked="0"/>
    </xf>
    <xf numFmtId="2" fontId="10" fillId="0" borderId="1" xfId="0" applyNumberFormat="1" applyFont="1" applyBorder="1" applyProtection="1">
      <protection locked="0"/>
    </xf>
    <xf numFmtId="165" fontId="0" fillId="0" borderId="1" xfId="0" applyNumberFormat="1" applyBorder="1" applyProtection="1">
      <protection locked="0"/>
    </xf>
    <xf numFmtId="0" fontId="21" fillId="0" borderId="0" xfId="0" applyFont="1" applyAlignment="1" applyProtection="1">
      <alignment horizontal="center"/>
      <protection locked="0"/>
    </xf>
    <xf numFmtId="0" fontId="24" fillId="0" borderId="0" xfId="0" applyFont="1" applyProtection="1">
      <protection locked="0"/>
    </xf>
    <xf numFmtId="0" fontId="21" fillId="0" borderId="0" xfId="0" applyFont="1" applyAlignment="1" applyProtection="1">
      <alignment horizontal="left"/>
      <protection locked="0"/>
    </xf>
    <xf numFmtId="0" fontId="25" fillId="0" borderId="0" xfId="0" applyFont="1" applyAlignment="1" applyProtection="1">
      <alignment horizontal="center"/>
      <protection locked="0"/>
    </xf>
    <xf numFmtId="0" fontId="21" fillId="0" borderId="1" xfId="0" applyFont="1" applyBorder="1" applyAlignment="1" applyProtection="1">
      <alignment horizontal="center"/>
      <protection locked="0"/>
    </xf>
    <xf numFmtId="0" fontId="24" fillId="0" borderId="1" xfId="0" applyFont="1" applyBorder="1" applyProtection="1">
      <protection locked="0"/>
    </xf>
    <xf numFmtId="0" fontId="21" fillId="0" borderId="15" xfId="0" applyFont="1" applyBorder="1" applyAlignment="1" applyProtection="1">
      <alignment horizontal="left"/>
      <protection locked="0"/>
    </xf>
    <xf numFmtId="0" fontId="26"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6"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16" borderId="0" xfId="0" applyFill="1"/>
    <xf numFmtId="2" fontId="14" fillId="2" borderId="0" xfId="3" applyNumberFormat="1" applyFont="1" applyFill="1" applyAlignment="1" applyProtection="1">
      <alignment vertical="top"/>
      <protection locked="0"/>
    </xf>
    <xf numFmtId="2" fontId="17" fillId="14" borderId="3" xfId="6" applyNumberFormat="1" applyFont="1" applyFill="1" applyBorder="1" applyAlignment="1" applyProtection="1">
      <alignment horizontal="center" vertical="top"/>
      <protection locked="0"/>
    </xf>
    <xf numFmtId="1" fontId="14" fillId="0" borderId="0" xfId="6" applyFont="1" applyAlignment="1" applyProtection="1">
      <alignment horizontal="center" vertical="top"/>
      <protection locked="0"/>
    </xf>
    <xf numFmtId="1" fontId="58" fillId="0" borderId="0" xfId="6" applyFont="1" applyAlignment="1" applyProtection="1">
      <alignment horizontal="left" vertical="top"/>
      <protection locked="0"/>
    </xf>
    <xf numFmtId="1" fontId="16" fillId="0" borderId="0" xfId="6" applyFont="1" applyAlignment="1" applyProtection="1">
      <alignment vertical="top"/>
      <protection locked="0"/>
    </xf>
    <xf numFmtId="1" fontId="17" fillId="0" borderId="0" xfId="6" applyFont="1" applyAlignment="1" applyProtection="1">
      <alignment vertical="top"/>
      <protection locked="0"/>
    </xf>
    <xf numFmtId="2" fontId="17" fillId="0" borderId="0" xfId="6" applyNumberFormat="1" applyFont="1" applyAlignment="1" applyProtection="1">
      <alignment vertical="top"/>
      <protection locked="0"/>
    </xf>
    <xf numFmtId="1" fontId="9" fillId="0" borderId="0" xfId="6" applyFont="1" applyAlignment="1" applyProtection="1">
      <alignment horizontal="center" vertical="top"/>
      <protection locked="0"/>
    </xf>
    <xf numFmtId="1" fontId="9"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0" fillId="15" borderId="1" xfId="6" applyNumberFormat="1" applyFont="1" applyFill="1" applyBorder="1" applyAlignment="1">
      <alignment horizontal="center" vertical="top"/>
    </xf>
    <xf numFmtId="2" fontId="14" fillId="0" borderId="0" xfId="6" applyNumberFormat="1" applyFont="1" applyAlignment="1" applyProtection="1">
      <alignment vertical="top"/>
      <protection locked="0"/>
    </xf>
    <xf numFmtId="0" fontId="24" fillId="0" borderId="0" xfId="3" applyFont="1"/>
    <xf numFmtId="1" fontId="6" fillId="0" borderId="0" xfId="3" applyNumberFormat="1"/>
    <xf numFmtId="2" fontId="14" fillId="3" borderId="0" xfId="6" applyNumberFormat="1" applyFont="1" applyFill="1"/>
    <xf numFmtId="2" fontId="14" fillId="17" borderId="0" xfId="6" applyNumberFormat="1" applyFont="1" applyFill="1"/>
    <xf numFmtId="1" fontId="29" fillId="0" borderId="1" xfId="6" applyFont="1" applyBorder="1" applyAlignment="1" applyProtection="1">
      <alignment horizontal="right"/>
      <protection locked="0"/>
    </xf>
    <xf numFmtId="1" fontId="14" fillId="0" borderId="1" xfId="6" applyFont="1" applyBorder="1" applyAlignment="1" applyProtection="1">
      <alignment horizontal="center"/>
      <protection locked="0"/>
    </xf>
    <xf numFmtId="1" fontId="14" fillId="0" borderId="1" xfId="6" applyFont="1" applyBorder="1"/>
    <xf numFmtId="1" fontId="9" fillId="0" borderId="1" xfId="6" applyFont="1" applyBorder="1" applyAlignment="1" applyProtection="1">
      <alignment horizontal="center"/>
      <protection locked="0"/>
    </xf>
    <xf numFmtId="2" fontId="61" fillId="3" borderId="15" xfId="6" applyNumberFormat="1" applyFont="1" applyFill="1" applyBorder="1" applyAlignment="1">
      <alignment horizontal="right"/>
    </xf>
    <xf numFmtId="1" fontId="9" fillId="0" borderId="1" xfId="6" applyFont="1" applyBorder="1" applyAlignment="1" applyProtection="1">
      <alignment horizontal="right"/>
      <protection locked="0"/>
    </xf>
    <xf numFmtId="1" fontId="0" fillId="0" borderId="0" xfId="0" applyNumberFormat="1"/>
    <xf numFmtId="0" fontId="43" fillId="0" borderId="0" xfId="3" applyFont="1" applyProtection="1">
      <protection locked="0"/>
    </xf>
    <xf numFmtId="0" fontId="17" fillId="0" borderId="1" xfId="3" applyFont="1" applyBorder="1" applyAlignment="1">
      <alignment horizontal="center"/>
    </xf>
    <xf numFmtId="0" fontId="17" fillId="0" borderId="1" xfId="3" applyFont="1" applyBorder="1" applyAlignment="1" applyProtection="1">
      <alignment horizontal="right"/>
      <protection locked="0"/>
    </xf>
    <xf numFmtId="1" fontId="14" fillId="0" borderId="0" xfId="3" applyNumberFormat="1" applyFont="1"/>
    <xf numFmtId="0" fontId="17" fillId="0" borderId="0" xfId="3" applyFont="1"/>
    <xf numFmtId="1" fontId="17" fillId="0" borderId="0" xfId="3" applyNumberFormat="1" applyFont="1"/>
    <xf numFmtId="2" fontId="14" fillId="0" borderId="12" xfId="3" applyNumberFormat="1" applyFont="1" applyBorder="1"/>
    <xf numFmtId="0" fontId="14" fillId="0" borderId="12" xfId="3" applyFont="1" applyBorder="1" applyProtection="1">
      <protection locked="0"/>
    </xf>
    <xf numFmtId="2" fontId="14" fillId="13" borderId="12" xfId="6" applyNumberFormat="1" applyFont="1" applyFill="1" applyBorder="1"/>
    <xf numFmtId="1" fontId="14" fillId="0" borderId="12" xfId="6" applyFont="1" applyBorder="1" applyProtection="1">
      <protection locked="0"/>
    </xf>
    <xf numFmtId="1" fontId="6" fillId="0" borderId="1" xfId="3" applyNumberFormat="1" applyBorder="1"/>
    <xf numFmtId="0" fontId="0" fillId="14" borderId="0" xfId="0" applyFill="1" applyAlignment="1" applyProtection="1">
      <alignment horizontal="center"/>
      <protection locked="0"/>
    </xf>
    <xf numFmtId="0" fontId="71" fillId="7" borderId="0" xfId="0" applyFont="1" applyFill="1" applyAlignment="1" applyProtection="1">
      <alignment horizontal="center"/>
      <protection locked="0"/>
    </xf>
    <xf numFmtId="0" fontId="73" fillId="14" borderId="0" xfId="0" applyFont="1" applyFill="1" applyAlignment="1" applyProtection="1">
      <alignment horizontal="center"/>
      <protection locked="0"/>
    </xf>
    <xf numFmtId="0" fontId="73" fillId="2" borderId="0" xfId="0" applyFont="1" applyFill="1" applyAlignment="1">
      <alignment horizontal="center"/>
    </xf>
    <xf numFmtId="0" fontId="73" fillId="12" borderId="0" xfId="0" applyFont="1" applyFill="1" applyAlignment="1" applyProtection="1">
      <alignment horizontal="center"/>
      <protection locked="0"/>
    </xf>
    <xf numFmtId="0" fontId="74" fillId="0" borderId="0" xfId="0" applyFont="1" applyAlignment="1">
      <alignment horizontal="center"/>
    </xf>
    <xf numFmtId="0" fontId="73" fillId="0" borderId="0" xfId="0" applyFont="1" applyAlignment="1" applyProtection="1">
      <alignment horizontal="center"/>
      <protection locked="0"/>
    </xf>
    <xf numFmtId="0" fontId="28" fillId="0" borderId="13" xfId="2" applyNumberFormat="1" applyFont="1" applyBorder="1" applyAlignment="1" applyProtection="1">
      <alignment horizontal="centerContinuous"/>
      <protection locked="0"/>
    </xf>
    <xf numFmtId="0" fontId="9" fillId="0" borderId="0" xfId="7" applyProtection="1">
      <protection locked="0"/>
    </xf>
    <xf numFmtId="0" fontId="72" fillId="0" borderId="0" xfId="0" applyFont="1" applyProtection="1">
      <protection locked="0"/>
    </xf>
    <xf numFmtId="0" fontId="31" fillId="0" borderId="0" xfId="0" applyFont="1" applyProtection="1">
      <protection locked="0"/>
    </xf>
    <xf numFmtId="0" fontId="10" fillId="0" borderId="0" xfId="0" applyFont="1" applyAlignment="1" applyProtection="1">
      <alignment horizontal="centerContinuous"/>
      <protection locked="0"/>
    </xf>
    <xf numFmtId="0" fontId="0" fillId="0" borderId="0" xfId="0" applyAlignment="1" applyProtection="1">
      <alignment horizontal="left"/>
      <protection locked="0"/>
    </xf>
    <xf numFmtId="0" fontId="33" fillId="0" borderId="0" xfId="3" applyFont="1" applyAlignment="1" applyProtection="1">
      <alignment horizontal="centerContinuous"/>
      <protection locked="0"/>
    </xf>
    <xf numFmtId="0" fontId="32" fillId="0" borderId="0" xfId="0" applyFont="1" applyAlignment="1" applyProtection="1">
      <alignment horizontal="center"/>
      <protection locked="0"/>
    </xf>
    <xf numFmtId="0" fontId="0" fillId="0" borderId="0" xfId="0" applyAlignment="1" applyProtection="1">
      <alignment horizontal="right"/>
      <protection locked="0"/>
    </xf>
    <xf numFmtId="0" fontId="81" fillId="0" borderId="0" xfId="7" applyFont="1" applyAlignment="1" applyProtection="1">
      <alignment horizontal="left"/>
      <protection locked="0"/>
    </xf>
    <xf numFmtId="0" fontId="35"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9" fillId="0" borderId="0" xfId="7" applyAlignment="1" applyProtection="1">
      <alignment horizontal="left"/>
      <protection locked="0"/>
    </xf>
    <xf numFmtId="0" fontId="0" fillId="0" borderId="16" xfId="0" applyBorder="1" applyProtection="1">
      <protection locked="0"/>
    </xf>
    <xf numFmtId="0" fontId="24" fillId="0" borderId="0" xfId="7" applyFont="1" applyProtection="1">
      <protection locked="0"/>
    </xf>
    <xf numFmtId="0" fontId="37" fillId="0" borderId="0" xfId="7" applyFont="1" applyAlignment="1" applyProtection="1">
      <alignment horizontal="left"/>
      <protection locked="0"/>
    </xf>
    <xf numFmtId="0" fontId="62" fillId="0" borderId="0" xfId="7" applyFont="1" applyAlignment="1" applyProtection="1">
      <alignment horizontal="right"/>
      <protection locked="0"/>
    </xf>
    <xf numFmtId="2" fontId="54" fillId="0" borderId="0" xfId="1" applyNumberFormat="1" applyFont="1" applyAlignment="1" applyProtection="1">
      <alignment horizontal="right"/>
      <protection locked="0"/>
    </xf>
    <xf numFmtId="0" fontId="38" fillId="0" borderId="0" xfId="8" applyFont="1" applyProtection="1">
      <protection locked="0"/>
    </xf>
    <xf numFmtId="0" fontId="19" fillId="0" borderId="1" xfId="7" applyFont="1" applyBorder="1" applyProtection="1">
      <protection locked="0"/>
    </xf>
    <xf numFmtId="0" fontId="9" fillId="0" borderId="1" xfId="7" applyBorder="1" applyAlignment="1" applyProtection="1">
      <alignment horizontal="left"/>
      <protection locked="0"/>
    </xf>
    <xf numFmtId="0" fontId="9" fillId="0" borderId="1" xfId="7" applyBorder="1" applyProtection="1">
      <protection locked="0"/>
    </xf>
    <xf numFmtId="0" fontId="10" fillId="0" borderId="0" xfId="7" applyFont="1" applyProtection="1">
      <protection locked="0"/>
    </xf>
    <xf numFmtId="0" fontId="9" fillId="0" borderId="13" xfId="7" applyBorder="1" applyProtection="1">
      <protection locked="0"/>
    </xf>
    <xf numFmtId="0" fontId="19" fillId="0" borderId="0" xfId="7" applyFont="1" applyProtection="1">
      <protection locked="0"/>
    </xf>
    <xf numFmtId="0" fontId="3" fillId="0" borderId="0" xfId="7" applyFont="1" applyProtection="1">
      <protection locked="0"/>
    </xf>
    <xf numFmtId="0" fontId="0" fillId="0" borderId="17" xfId="0" applyBorder="1" applyAlignment="1" applyProtection="1">
      <alignment horizontal="left"/>
      <protection locked="0"/>
    </xf>
    <xf numFmtId="0" fontId="4" fillId="0" borderId="18" xfId="0" applyFont="1" applyBorder="1" applyProtection="1">
      <protection locked="0"/>
    </xf>
    <xf numFmtId="0" fontId="21" fillId="0" borderId="0" xfId="8" applyFont="1" applyAlignment="1" applyProtection="1">
      <alignment horizontal="right"/>
      <protection locked="0"/>
    </xf>
    <xf numFmtId="0" fontId="21" fillId="0" borderId="0" xfId="0" applyFont="1" applyAlignment="1" applyProtection="1">
      <alignment horizontal="right"/>
      <protection locked="0"/>
    </xf>
    <xf numFmtId="0" fontId="5" fillId="0" borderId="0" xfId="0" applyFont="1" applyAlignment="1" applyProtection="1">
      <alignment horizontal="right"/>
      <protection locked="0"/>
    </xf>
    <xf numFmtId="0" fontId="14" fillId="12" borderId="0" xfId="0" applyFont="1" applyFill="1" applyProtection="1">
      <protection locked="0"/>
    </xf>
    <xf numFmtId="0" fontId="0" fillId="12" borderId="0" xfId="0" applyFill="1" applyProtection="1">
      <protection locked="0"/>
    </xf>
    <xf numFmtId="0" fontId="4"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36" fillId="0" borderId="0" xfId="0" applyFont="1" applyAlignment="1" applyProtection="1">
      <alignment horizontal="centerContinuous"/>
      <protection locked="0"/>
    </xf>
    <xf numFmtId="0" fontId="0" fillId="0" borderId="3" xfId="0" applyBorder="1" applyProtection="1">
      <protection locked="0"/>
    </xf>
    <xf numFmtId="0" fontId="24" fillId="0" borderId="0" xfId="0" applyFont="1" applyAlignment="1" applyProtection="1">
      <alignment horizontal="centerContinuous"/>
      <protection locked="0"/>
    </xf>
    <xf numFmtId="0" fontId="63" fillId="0" borderId="0" xfId="0" applyFont="1" applyProtection="1">
      <protection locked="0"/>
    </xf>
    <xf numFmtId="0" fontId="64" fillId="0" borderId="0" xfId="0" applyFont="1" applyProtection="1">
      <protection locked="0"/>
    </xf>
    <xf numFmtId="0" fontId="40" fillId="0" borderId="17" xfId="8" applyFont="1" applyBorder="1" applyAlignment="1" applyProtection="1">
      <alignment horizontal="left"/>
      <protection locked="0"/>
    </xf>
    <xf numFmtId="0" fontId="40" fillId="0" borderId="0" xfId="8" applyFont="1" applyProtection="1">
      <protection locked="0"/>
    </xf>
    <xf numFmtId="0" fontId="82" fillId="0" borderId="0" xfId="0" applyFont="1" applyAlignment="1" applyProtection="1">
      <alignment horizontal="right"/>
      <protection locked="0"/>
    </xf>
    <xf numFmtId="0" fontId="66" fillId="0" borderId="22" xfId="8" applyFont="1" applyBorder="1" applyAlignment="1" applyProtection="1">
      <alignment horizontal="left"/>
      <protection locked="0"/>
    </xf>
    <xf numFmtId="0" fontId="65" fillId="0" borderId="22" xfId="8" applyFont="1" applyBorder="1" applyAlignment="1" applyProtection="1">
      <alignment horizontal="centerContinuous"/>
      <protection locked="0"/>
    </xf>
    <xf numFmtId="0" fontId="65" fillId="0" borderId="22" xfId="8" applyFont="1" applyBorder="1" applyProtection="1">
      <protection locked="0"/>
    </xf>
    <xf numFmtId="0" fontId="67" fillId="0" borderId="22" xfId="0" applyFont="1" applyBorder="1" applyProtection="1">
      <protection locked="0"/>
    </xf>
    <xf numFmtId="0" fontId="67" fillId="0" borderId="0" xfId="0" applyFont="1" applyProtection="1">
      <protection locked="0"/>
    </xf>
    <xf numFmtId="0" fontId="68" fillId="0" borderId="0" xfId="0" applyFont="1" applyAlignment="1" applyProtection="1">
      <alignment horizontal="right"/>
      <protection locked="0"/>
    </xf>
    <xf numFmtId="168" fontId="68" fillId="0" borderId="0" xfId="0" applyNumberFormat="1" applyFont="1" applyAlignment="1" applyProtection="1">
      <alignment horizontal="right"/>
      <protection locked="0"/>
    </xf>
    <xf numFmtId="0" fontId="66" fillId="0" borderId="0" xfId="8" applyFont="1" applyAlignment="1" applyProtection="1">
      <alignment horizontal="left"/>
      <protection locked="0"/>
    </xf>
    <xf numFmtId="0" fontId="65" fillId="0" borderId="0" xfId="8" applyFont="1" applyAlignment="1" applyProtection="1">
      <alignment horizontal="centerContinuous"/>
      <protection locked="0"/>
    </xf>
    <xf numFmtId="0" fontId="65" fillId="0" borderId="0" xfId="8" applyFont="1" applyProtection="1">
      <protection locked="0"/>
    </xf>
    <xf numFmtId="0" fontId="24" fillId="0" borderId="23" xfId="0" applyFont="1" applyBorder="1" applyAlignment="1" applyProtection="1">
      <alignment horizontal="center"/>
      <protection locked="0"/>
    </xf>
    <xf numFmtId="0" fontId="24" fillId="0" borderId="22" xfId="0" applyFont="1" applyBorder="1" applyAlignment="1" applyProtection="1">
      <alignment horizontal="center"/>
      <protection locked="0"/>
    </xf>
    <xf numFmtId="0" fontId="31"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1"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0" fillId="0" borderId="13" xfId="8" applyFont="1" applyBorder="1" applyAlignment="1" applyProtection="1">
      <alignment horizontal="centerContinuous"/>
      <protection locked="0"/>
    </xf>
    <xf numFmtId="0" fontId="40" fillId="0" borderId="13" xfId="8" applyFont="1" applyBorder="1" applyProtection="1">
      <protection locked="0"/>
    </xf>
    <xf numFmtId="0" fontId="40" fillId="0" borderId="0" xfId="8" applyFont="1" applyAlignment="1" applyProtection="1">
      <alignment horizontal="centerContinuous"/>
      <protection locked="0"/>
    </xf>
    <xf numFmtId="9" fontId="42" fillId="2" borderId="3" xfId="8" applyNumberFormat="1" applyFont="1" applyFill="1" applyBorder="1" applyAlignment="1" applyProtection="1">
      <alignment horizontal="centerContinuous"/>
      <protection locked="0"/>
    </xf>
    <xf numFmtId="9" fontId="42" fillId="0" borderId="0" xfId="8" applyNumberFormat="1" applyFont="1" applyAlignment="1" applyProtection="1">
      <alignment horizontal="centerContinuous"/>
      <protection locked="0"/>
    </xf>
    <xf numFmtId="0" fontId="42" fillId="2" borderId="3" xfId="8" applyFont="1" applyFill="1" applyBorder="1" applyAlignment="1" applyProtection="1">
      <alignment horizontal="centerContinuous"/>
      <protection locked="0"/>
    </xf>
    <xf numFmtId="15" fontId="42" fillId="2" borderId="3" xfId="8" applyNumberFormat="1" applyFont="1" applyFill="1" applyBorder="1" applyAlignment="1" applyProtection="1">
      <alignment horizontal="centerContinuous"/>
      <protection locked="0"/>
    </xf>
    <xf numFmtId="0" fontId="43" fillId="0" borderId="0" xfId="8" applyFont="1" applyProtection="1">
      <protection locked="0"/>
    </xf>
    <xf numFmtId="0" fontId="44" fillId="0" borderId="0" xfId="8" applyFont="1" applyProtection="1">
      <protection locked="0"/>
    </xf>
    <xf numFmtId="0" fontId="40" fillId="0" borderId="0" xfId="8" applyFont="1" applyAlignment="1" applyProtection="1">
      <alignment horizontal="left"/>
      <protection locked="0"/>
    </xf>
    <xf numFmtId="15" fontId="40" fillId="0" borderId="0" xfId="8" applyNumberFormat="1" applyFont="1" applyAlignment="1" applyProtection="1">
      <alignment horizontal="centerContinuous"/>
      <protection locked="0"/>
    </xf>
    <xf numFmtId="0" fontId="45" fillId="0" borderId="0" xfId="8" applyFont="1" applyAlignment="1" applyProtection="1">
      <alignment horizontal="left"/>
      <protection locked="0"/>
    </xf>
    <xf numFmtId="15" fontId="46" fillId="0" borderId="0" xfId="0" applyNumberFormat="1" applyFont="1" applyAlignment="1" applyProtection="1">
      <alignment horizontal="left"/>
      <protection locked="0"/>
    </xf>
    <xf numFmtId="0" fontId="43" fillId="0" borderId="13" xfId="8" applyFont="1" applyBorder="1" applyProtection="1">
      <protection locked="0"/>
    </xf>
    <xf numFmtId="0" fontId="44" fillId="0" borderId="13" xfId="8" applyFont="1" applyBorder="1" applyProtection="1">
      <protection locked="0"/>
    </xf>
    <xf numFmtId="0" fontId="38" fillId="0" borderId="13" xfId="8" applyFont="1" applyBorder="1" applyProtection="1">
      <protection locked="0"/>
    </xf>
    <xf numFmtId="0" fontId="38" fillId="0" borderId="21" xfId="8" applyFont="1" applyBorder="1" applyProtection="1">
      <protection locked="0"/>
    </xf>
    <xf numFmtId="0" fontId="0" fillId="0" borderId="0" xfId="0" applyAlignment="1" applyProtection="1">
      <alignment vertical="center"/>
      <protection locked="0"/>
    </xf>
    <xf numFmtId="0" fontId="47" fillId="0" borderId="23" xfId="8" applyFont="1" applyBorder="1" applyAlignment="1" applyProtection="1">
      <alignment horizontal="left"/>
      <protection locked="0"/>
    </xf>
    <xf numFmtId="0" fontId="47"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0" fillId="0" borderId="22" xfId="8" applyNumberFormat="1" applyFont="1" applyBorder="1" applyAlignment="1" applyProtection="1">
      <alignment horizontal="centerContinuous"/>
      <protection locked="0"/>
    </xf>
    <xf numFmtId="0" fontId="40" fillId="0" borderId="22" xfId="8" applyFont="1" applyBorder="1" applyAlignment="1" applyProtection="1">
      <alignment horizontal="centerContinuous"/>
      <protection locked="0"/>
    </xf>
    <xf numFmtId="0" fontId="38" fillId="0" borderId="22" xfId="8"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4" fillId="0" borderId="24" xfId="8" applyFont="1" applyBorder="1" applyAlignment="1" applyProtection="1">
      <alignment horizontal="centerContinuous"/>
      <protection locked="0"/>
    </xf>
    <xf numFmtId="0" fontId="21" fillId="0" borderId="20" xfId="8" applyFont="1" applyBorder="1" applyAlignment="1" applyProtection="1">
      <alignment horizontal="left"/>
      <protection locked="0"/>
    </xf>
    <xf numFmtId="0" fontId="21"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0" fillId="0" borderId="13" xfId="8" applyNumberFormat="1" applyFont="1" applyBorder="1" applyAlignment="1" applyProtection="1">
      <alignment horizontal="centerContinuous"/>
      <protection locked="0"/>
    </xf>
    <xf numFmtId="0" fontId="38" fillId="0" borderId="13" xfId="8" applyFont="1" applyBorder="1" applyAlignment="1" applyProtection="1">
      <alignment horizontal="centerContinuous"/>
      <protection locked="0"/>
    </xf>
    <xf numFmtId="0" fontId="38" fillId="0" borderId="21" xfId="8" applyFont="1" applyBorder="1" applyAlignment="1" applyProtection="1">
      <alignment horizontal="centerContinuous"/>
      <protection locked="0"/>
    </xf>
    <xf numFmtId="0" fontId="21" fillId="0" borderId="17" xfId="8" applyFont="1" applyBorder="1" applyAlignment="1" applyProtection="1">
      <alignment horizontal="left"/>
      <protection locked="0"/>
    </xf>
    <xf numFmtId="0" fontId="21" fillId="0" borderId="0" xfId="8" applyFont="1" applyAlignment="1" applyProtection="1">
      <alignment horizontal="centerContinuous"/>
      <protection locked="0"/>
    </xf>
    <xf numFmtId="0" fontId="47" fillId="0" borderId="0" xfId="8" applyFont="1" applyAlignment="1" applyProtection="1">
      <alignment horizontal="centerContinuous"/>
      <protection locked="0"/>
    </xf>
    <xf numFmtId="0" fontId="38" fillId="0" borderId="0" xfId="8" applyFont="1" applyAlignment="1" applyProtection="1">
      <alignment horizontal="centerContinuous"/>
      <protection locked="0"/>
    </xf>
    <xf numFmtId="0" fontId="38" fillId="0" borderId="19" xfId="8" applyFont="1" applyBorder="1" applyAlignment="1" applyProtection="1">
      <alignment horizontal="centerContinuous"/>
      <protection locked="0"/>
    </xf>
    <xf numFmtId="0" fontId="48" fillId="0" borderId="0" xfId="8" applyFont="1" applyAlignment="1" applyProtection="1">
      <alignment horizontal="right"/>
      <protection locked="0"/>
    </xf>
    <xf numFmtId="0" fontId="48" fillId="0" borderId="17" xfId="8" applyFont="1" applyBorder="1" applyAlignment="1" applyProtection="1">
      <alignment horizontal="left"/>
      <protection locked="0"/>
    </xf>
    <xf numFmtId="0" fontId="48" fillId="0" borderId="0" xfId="8" applyFont="1" applyAlignment="1" applyProtection="1">
      <alignment horizontal="left"/>
      <protection locked="0"/>
    </xf>
    <xf numFmtId="0" fontId="47" fillId="0" borderId="0" xfId="8" applyFont="1" applyAlignment="1" applyProtection="1">
      <alignment horizontal="left"/>
      <protection locked="0"/>
    </xf>
    <xf numFmtId="0" fontId="43" fillId="0" borderId="0" xfId="8" applyFont="1" applyAlignment="1" applyProtection="1">
      <alignment horizontal="left"/>
      <protection locked="0"/>
    </xf>
    <xf numFmtId="0" fontId="4"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1" fillId="0" borderId="17" xfId="0" applyFont="1" applyBorder="1" applyAlignment="1" applyProtection="1">
      <alignment horizontal="left"/>
      <protection locked="0"/>
    </xf>
    <xf numFmtId="0" fontId="41" fillId="0" borderId="0" xfId="0" applyFont="1" applyProtection="1">
      <protection locked="0"/>
    </xf>
    <xf numFmtId="0" fontId="6" fillId="0" borderId="19" xfId="0" applyFont="1" applyBorder="1" applyAlignment="1" applyProtection="1">
      <alignment horizontal="center"/>
      <protection locked="0"/>
    </xf>
    <xf numFmtId="0" fontId="0" fillId="0" borderId="11" xfId="0" applyBorder="1" applyProtection="1">
      <protection locked="0"/>
    </xf>
    <xf numFmtId="2" fontId="50" fillId="0" borderId="25" xfId="0" applyNumberFormat="1" applyFont="1" applyBorder="1" applyAlignment="1" applyProtection="1">
      <alignment horizontal="center"/>
      <protection locked="0"/>
    </xf>
    <xf numFmtId="0" fontId="14" fillId="0" borderId="13" xfId="0" applyFont="1" applyBorder="1" applyProtection="1">
      <protection locked="0"/>
    </xf>
    <xf numFmtId="0" fontId="3" fillId="0" borderId="13" xfId="0" applyFont="1" applyBorder="1" applyAlignment="1" applyProtection="1">
      <alignment horizontal="center"/>
      <protection locked="0"/>
    </xf>
    <xf numFmtId="0" fontId="6" fillId="0" borderId="13" xfId="3" applyBorder="1" applyProtection="1">
      <protection locked="0"/>
    </xf>
    <xf numFmtId="2" fontId="50" fillId="0" borderId="11" xfId="0" applyNumberFormat="1" applyFont="1" applyBorder="1" applyAlignment="1" applyProtection="1">
      <alignment horizontal="center"/>
      <protection locked="0"/>
    </xf>
    <xf numFmtId="0" fontId="0" fillId="0" borderId="26" xfId="0" applyBorder="1" applyProtection="1">
      <protection locked="0"/>
    </xf>
    <xf numFmtId="0" fontId="4" fillId="0" borderId="1" xfId="0" applyFont="1" applyBorder="1" applyProtection="1">
      <protection locked="0"/>
    </xf>
    <xf numFmtId="0" fontId="4" fillId="0" borderId="15" xfId="0" applyFont="1" applyBorder="1" applyProtection="1">
      <protection locked="0"/>
    </xf>
    <xf numFmtId="0" fontId="6" fillId="0" borderId="1" xfId="3" applyBorder="1" applyProtection="1">
      <protection locked="0"/>
    </xf>
    <xf numFmtId="0" fontId="6" fillId="0" borderId="27" xfId="3" applyBorder="1" applyProtection="1">
      <protection locked="0"/>
    </xf>
    <xf numFmtId="15" fontId="23" fillId="0" borderId="0" xfId="0" applyNumberFormat="1" applyFont="1" applyAlignment="1" applyProtection="1">
      <alignment horizontal="left"/>
      <protection locked="0"/>
    </xf>
    <xf numFmtId="0" fontId="9" fillId="2" borderId="14" xfId="7" applyFill="1" applyBorder="1" applyAlignment="1">
      <alignment horizontal="center"/>
    </xf>
    <xf numFmtId="0" fontId="14" fillId="2" borderId="14" xfId="7" applyFont="1" applyFill="1" applyBorder="1"/>
    <xf numFmtId="0" fontId="9" fillId="0" borderId="0" xfId="7" applyAlignment="1">
      <alignment horizontal="left"/>
    </xf>
    <xf numFmtId="0" fontId="9" fillId="0" borderId="0" xfId="7"/>
    <xf numFmtId="0" fontId="14" fillId="16" borderId="0" xfId="0" applyFont="1" applyFill="1" applyAlignment="1">
      <alignment horizontal="left"/>
    </xf>
    <xf numFmtId="0" fontId="14" fillId="16" borderId="0" xfId="0" applyFont="1" applyFill="1"/>
    <xf numFmtId="0" fontId="6" fillId="16" borderId="0" xfId="0" applyFont="1" applyFill="1"/>
    <xf numFmtId="166" fontId="14" fillId="0" borderId="0" xfId="0" applyNumberFormat="1" applyFont="1"/>
    <xf numFmtId="0" fontId="14" fillId="16" borderId="0" xfId="8" applyFont="1" applyFill="1" applyAlignment="1">
      <alignment horizontal="left"/>
    </xf>
    <xf numFmtId="0" fontId="10" fillId="16" borderId="0" xfId="0" applyFont="1" applyFill="1"/>
    <xf numFmtId="0" fontId="40" fillId="16" borderId="0" xfId="8" applyFont="1" applyFill="1"/>
    <xf numFmtId="1" fontId="49" fillId="2" borderId="3" xfId="6" applyFont="1" applyFill="1" applyBorder="1" applyAlignment="1">
      <alignment horizontal="center"/>
    </xf>
    <xf numFmtId="165" fontId="14" fillId="2" borderId="3" xfId="6" applyNumberFormat="1" applyFont="1" applyFill="1" applyBorder="1" applyAlignment="1">
      <alignment horizontal="center"/>
    </xf>
    <xf numFmtId="0" fontId="0" fillId="0" borderId="13" xfId="0" applyBorder="1"/>
    <xf numFmtId="0" fontId="28" fillId="0" borderId="0" xfId="3" applyFont="1" applyAlignment="1" applyProtection="1">
      <alignment horizontal="left"/>
      <protection locked="0"/>
    </xf>
    <xf numFmtId="0" fontId="12" fillId="16" borderId="18" xfId="0" applyFont="1" applyFill="1" applyBorder="1" applyAlignment="1">
      <alignment horizontal="center"/>
    </xf>
    <xf numFmtId="0" fontId="83"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6" fillId="0" borderId="0" xfId="1" applyProtection="1">
      <protection locked="0"/>
    </xf>
    <xf numFmtId="43" fontId="14" fillId="18" borderId="9" xfId="1" applyFont="1" applyFill="1" applyBorder="1" applyProtection="1">
      <protection locked="0"/>
    </xf>
    <xf numFmtId="43" fontId="14"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0" fontId="14" fillId="0" borderId="0" xfId="7" applyFont="1" applyAlignment="1" applyProtection="1">
      <alignment horizontal="right"/>
      <protection locked="0"/>
    </xf>
    <xf numFmtId="0" fontId="34" fillId="16" borderId="6" xfId="2" applyNumberFormat="1" applyFont="1" applyFill="1" applyBorder="1" applyAlignment="1" applyProtection="1">
      <alignment horizontal="center" vertical="center"/>
    </xf>
    <xf numFmtId="172" fontId="9" fillId="0" borderId="0" xfId="7" applyNumberFormat="1" applyProtection="1">
      <protection locked="0"/>
    </xf>
    <xf numFmtId="0" fontId="17" fillId="0" borderId="10" xfId="7" applyFont="1" applyBorder="1" applyAlignment="1" applyProtection="1">
      <alignment horizontal="center"/>
      <protection locked="0"/>
    </xf>
    <xf numFmtId="0" fontId="14" fillId="0" borderId="11" xfId="7" applyFont="1" applyBorder="1" applyAlignment="1" applyProtection="1">
      <alignment horizontal="center"/>
      <protection locked="0"/>
    </xf>
    <xf numFmtId="0" fontId="10" fillId="0" borderId="0" xfId="0" applyFont="1" applyAlignment="1" applyProtection="1">
      <alignment horizontal="center"/>
      <protection locked="0"/>
    </xf>
    <xf numFmtId="0" fontId="14"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78" fillId="0" borderId="17" xfId="0" applyNumberFormat="1" applyFont="1" applyBorder="1" applyAlignment="1" applyProtection="1">
      <alignment horizontal="center"/>
      <protection locked="0"/>
    </xf>
    <xf numFmtId="0" fontId="88" fillId="16" borderId="14" xfId="0" applyFont="1" applyFill="1" applyBorder="1"/>
    <xf numFmtId="0" fontId="88" fillId="16" borderId="16" xfId="0" applyFont="1" applyFill="1" applyBorder="1"/>
    <xf numFmtId="0" fontId="89" fillId="16" borderId="14" xfId="0" applyFont="1" applyFill="1" applyBorder="1"/>
    <xf numFmtId="0" fontId="0" fillId="0" borderId="0" xfId="0" applyAlignment="1">
      <alignment horizontal="center"/>
    </xf>
    <xf numFmtId="0" fontId="92" fillId="0" borderId="10" xfId="0" applyFont="1" applyBorder="1" applyAlignment="1">
      <alignment horizontal="center"/>
    </xf>
    <xf numFmtId="0" fontId="92" fillId="0" borderId="11" xfId="0" applyFont="1" applyBorder="1" applyAlignment="1">
      <alignment horizontal="center"/>
    </xf>
    <xf numFmtId="10" fontId="90" fillId="12" borderId="17" xfId="0" applyNumberFormat="1" applyFont="1" applyFill="1" applyBorder="1" applyAlignment="1" applyProtection="1">
      <alignment horizontal="center"/>
      <protection locked="0"/>
    </xf>
    <xf numFmtId="2" fontId="85" fillId="12" borderId="10" xfId="0" applyNumberFormat="1" applyFont="1" applyFill="1" applyBorder="1" applyAlignment="1" applyProtection="1">
      <alignment horizontal="center"/>
      <protection locked="0"/>
    </xf>
    <xf numFmtId="0" fontId="89" fillId="16" borderId="22" xfId="0" applyFont="1" applyFill="1" applyBorder="1"/>
    <xf numFmtId="0" fontId="88" fillId="16" borderId="22" xfId="0" applyFont="1" applyFill="1" applyBorder="1"/>
    <xf numFmtId="0" fontId="88" fillId="16" borderId="24" xfId="0" applyFont="1" applyFill="1" applyBorder="1"/>
    <xf numFmtId="0" fontId="89" fillId="14" borderId="14" xfId="0" applyFont="1" applyFill="1" applyBorder="1"/>
    <xf numFmtId="0" fontId="86" fillId="14" borderId="14" xfId="0" applyFont="1" applyFill="1" applyBorder="1"/>
    <xf numFmtId="0" fontId="91" fillId="16" borderId="10" xfId="7" applyFont="1" applyFill="1" applyBorder="1" applyAlignment="1" applyProtection="1">
      <alignment horizontal="center"/>
      <protection locked="0"/>
    </xf>
    <xf numFmtId="0" fontId="93" fillId="16" borderId="25" xfId="7" applyFont="1" applyFill="1" applyBorder="1" applyAlignment="1" applyProtection="1">
      <alignment horizontal="center"/>
      <protection locked="0"/>
    </xf>
    <xf numFmtId="0" fontId="36" fillId="0" borderId="0" xfId="7" applyFont="1" applyAlignment="1" applyProtection="1">
      <alignment vertical="top"/>
      <protection locked="0"/>
    </xf>
    <xf numFmtId="10" fontId="90" fillId="12" borderId="25" xfId="0" applyNumberFormat="1" applyFont="1" applyFill="1" applyBorder="1" applyAlignment="1" applyProtection="1">
      <alignment horizontal="center"/>
      <protection locked="0"/>
    </xf>
    <xf numFmtId="171" fontId="0" fillId="0" borderId="0" xfId="0" applyNumberFormat="1"/>
    <xf numFmtId="0" fontId="7" fillId="0" borderId="0" xfId="7" applyFont="1" applyProtection="1">
      <protection locked="0"/>
    </xf>
    <xf numFmtId="0" fontId="51" fillId="0" borderId="0" xfId="0" applyFont="1" applyProtection="1">
      <protection locked="0"/>
    </xf>
    <xf numFmtId="0" fontId="51" fillId="2" borderId="29" xfId="0" applyFont="1" applyFill="1" applyBorder="1" applyProtection="1">
      <protection locked="0"/>
    </xf>
    <xf numFmtId="0" fontId="75" fillId="0" borderId="0" xfId="0" applyFont="1"/>
    <xf numFmtId="0" fontId="75" fillId="0" borderId="0" xfId="0" applyFont="1" applyProtection="1">
      <protection locked="0"/>
    </xf>
    <xf numFmtId="2" fontId="15" fillId="16" borderId="0" xfId="4" applyNumberFormat="1" applyFont="1" applyFill="1" applyAlignment="1">
      <alignment horizontal="center"/>
    </xf>
    <xf numFmtId="1" fontId="15" fillId="16" borderId="0" xfId="4" applyFont="1" applyFill="1" applyAlignment="1">
      <alignment horizontal="center"/>
    </xf>
    <xf numFmtId="49" fontId="15" fillId="16" borderId="0" xfId="4" applyNumberFormat="1" applyFont="1" applyFill="1" applyAlignment="1">
      <alignment horizontal="center"/>
    </xf>
    <xf numFmtId="17" fontId="15" fillId="16" borderId="0" xfId="4" applyNumberFormat="1" applyFont="1" applyFill="1" applyAlignment="1">
      <alignment horizontal="center"/>
    </xf>
    <xf numFmtId="169" fontId="15" fillId="16" borderId="0" xfId="4" applyNumberFormat="1" applyFont="1" applyFill="1" applyAlignment="1">
      <alignment horizontal="center"/>
    </xf>
    <xf numFmtId="0" fontId="84" fillId="2" borderId="24" xfId="7" applyFont="1" applyFill="1" applyBorder="1" applyAlignment="1">
      <alignment horizontal="centerContinuous"/>
    </xf>
    <xf numFmtId="0" fontId="30" fillId="3" borderId="24" xfId="3" applyFont="1" applyFill="1" applyBorder="1" applyAlignment="1">
      <alignment horizontal="left"/>
    </xf>
    <xf numFmtId="0" fontId="30" fillId="4" borderId="19" xfId="3" applyFont="1" applyFill="1" applyBorder="1" applyAlignment="1">
      <alignment horizontal="left"/>
    </xf>
    <xf numFmtId="0" fontId="30" fillId="5" borderId="19" xfId="3" applyFont="1" applyFill="1" applyBorder="1" applyAlignment="1">
      <alignment horizontal="left"/>
    </xf>
    <xf numFmtId="0" fontId="30" fillId="6" borderId="19" xfId="3" applyFont="1" applyFill="1" applyBorder="1" applyAlignment="1">
      <alignment horizontal="left"/>
    </xf>
    <xf numFmtId="0" fontId="30" fillId="2" borderId="19" xfId="3" applyFont="1" applyFill="1" applyBorder="1" applyAlignment="1">
      <alignment horizontal="left"/>
    </xf>
    <xf numFmtId="0" fontId="30" fillId="7" borderId="19" xfId="3" applyFont="1" applyFill="1" applyBorder="1" applyAlignment="1">
      <alignment horizontal="left"/>
    </xf>
    <xf numFmtId="0" fontId="30" fillId="8" borderId="19" xfId="3" applyFont="1" applyFill="1" applyBorder="1" applyAlignment="1">
      <alignment horizontal="left"/>
    </xf>
    <xf numFmtId="0" fontId="30" fillId="9" borderId="19" xfId="3" applyFont="1" applyFill="1" applyBorder="1" applyAlignment="1">
      <alignment horizontal="left"/>
    </xf>
    <xf numFmtId="0" fontId="30" fillId="10" borderId="19" xfId="3" applyFont="1" applyFill="1" applyBorder="1" applyAlignment="1">
      <alignment horizontal="left"/>
    </xf>
    <xf numFmtId="0" fontId="30" fillId="11" borderId="19" xfId="3" applyFont="1" applyFill="1" applyBorder="1" applyAlignment="1">
      <alignment horizontal="left"/>
    </xf>
    <xf numFmtId="38" fontId="12" fillId="2" borderId="18" xfId="0" applyNumberFormat="1" applyFont="1" applyFill="1" applyBorder="1" applyAlignment="1">
      <alignment horizontal="center"/>
    </xf>
    <xf numFmtId="0" fontId="98" fillId="2" borderId="3" xfId="0" applyFont="1" applyFill="1" applyBorder="1" applyAlignment="1">
      <alignment horizontal="center"/>
    </xf>
    <xf numFmtId="1" fontId="22" fillId="0" borderId="13" xfId="6" applyFont="1" applyBorder="1" applyAlignment="1" applyProtection="1">
      <alignment horizontal="left"/>
      <protection locked="0"/>
    </xf>
    <xf numFmtId="0" fontId="0" fillId="2" borderId="0" xfId="0" applyFill="1"/>
    <xf numFmtId="43" fontId="14" fillId="0" borderId="0" xfId="1" applyFont="1" applyFill="1" applyBorder="1" applyAlignment="1" applyProtection="1">
      <alignment horizontal="right"/>
      <protection locked="0"/>
    </xf>
    <xf numFmtId="0" fontId="101" fillId="0" borderId="0" xfId="3" applyFont="1" applyAlignment="1">
      <alignment horizontal="center" vertical="center"/>
    </xf>
    <xf numFmtId="2" fontId="102" fillId="0" borderId="0" xfId="0" applyNumberFormat="1" applyFont="1" applyProtection="1">
      <protection locked="0"/>
    </xf>
    <xf numFmtId="2" fontId="12" fillId="2" borderId="3" xfId="0" applyNumberFormat="1" applyFont="1" applyFill="1" applyBorder="1" applyAlignment="1">
      <alignment horizontal="center"/>
    </xf>
    <xf numFmtId="40" fontId="12" fillId="2" borderId="18" xfId="0" applyNumberFormat="1" applyFont="1" applyFill="1" applyBorder="1" applyAlignment="1">
      <alignment horizontal="center"/>
    </xf>
    <xf numFmtId="40" fontId="11" fillId="2" borderId="2" xfId="3" applyNumberFormat="1" applyFont="1" applyFill="1" applyBorder="1" applyAlignment="1">
      <alignment horizontal="center"/>
    </xf>
    <xf numFmtId="0" fontId="21" fillId="0" borderId="30" xfId="0" applyFont="1" applyBorder="1" applyAlignment="1" applyProtection="1">
      <alignment horizontal="center"/>
      <protection locked="0"/>
    </xf>
    <xf numFmtId="0" fontId="21" fillId="0" borderId="26" xfId="0" applyFont="1" applyBorder="1" applyAlignment="1" applyProtection="1">
      <alignment horizontal="center"/>
      <protection locked="0"/>
    </xf>
    <xf numFmtId="0" fontId="63" fillId="0" borderId="0" xfId="0" applyFont="1" applyAlignment="1" applyProtection="1">
      <alignment horizontal="center"/>
      <protection locked="0"/>
    </xf>
    <xf numFmtId="0" fontId="63" fillId="0" borderId="21" xfId="0" applyFont="1" applyBorder="1" applyAlignment="1" applyProtection="1">
      <alignment horizontal="center"/>
      <protection locked="0"/>
    </xf>
    <xf numFmtId="0" fontId="104" fillId="0" borderId="19" xfId="0" applyFont="1" applyBorder="1" applyAlignment="1" applyProtection="1">
      <alignment horizontal="center"/>
      <protection locked="0"/>
    </xf>
    <xf numFmtId="0" fontId="0" fillId="14" borderId="16" xfId="0" applyFill="1" applyBorder="1"/>
    <xf numFmtId="2" fontId="10" fillId="16" borderId="31" xfId="0" applyNumberFormat="1" applyFont="1" applyFill="1" applyBorder="1"/>
    <xf numFmtId="2" fontId="10" fillId="16" borderId="19" xfId="0" applyNumberFormat="1" applyFont="1" applyFill="1" applyBorder="1"/>
    <xf numFmtId="2" fontId="10" fillId="16" borderId="0" xfId="0" applyNumberFormat="1" applyFont="1" applyFill="1"/>
    <xf numFmtId="2" fontId="6" fillId="18" borderId="15" xfId="0" applyNumberFormat="1" applyFont="1" applyFill="1" applyBorder="1" applyAlignment="1">
      <alignment horizontal="right"/>
    </xf>
    <xf numFmtId="2" fontId="6" fillId="18" borderId="9" xfId="0" applyNumberFormat="1" applyFont="1" applyFill="1" applyBorder="1" applyAlignment="1">
      <alignment horizontal="right"/>
    </xf>
    <xf numFmtId="0" fontId="0" fillId="16" borderId="32" xfId="0" applyFill="1" applyBorder="1" applyAlignment="1">
      <alignment horizontal="left"/>
    </xf>
    <xf numFmtId="0" fontId="3" fillId="16" borderId="0" xfId="0" applyFont="1" applyFill="1" applyAlignment="1">
      <alignment horizontal="center"/>
    </xf>
    <xf numFmtId="0" fontId="15" fillId="0" borderId="0" xfId="3" applyFont="1" applyAlignment="1">
      <alignment horizontal="left"/>
    </xf>
    <xf numFmtId="0" fontId="10" fillId="0" borderId="0" xfId="7" applyFont="1"/>
    <xf numFmtId="0" fontId="19" fillId="0" borderId="0" xfId="7" applyFont="1"/>
    <xf numFmtId="49" fontId="75" fillId="0" borderId="0" xfId="2" applyNumberFormat="1" applyFont="1" applyFill="1" applyBorder="1" applyAlignment="1" applyProtection="1">
      <alignment horizontal="right"/>
      <protection locked="0"/>
    </xf>
    <xf numFmtId="49" fontId="106" fillId="0" borderId="0" xfId="2" applyNumberFormat="1" applyFont="1" applyFill="1" applyBorder="1" applyAlignment="1" applyProtection="1">
      <alignment horizontal="right" vertical="center"/>
    </xf>
    <xf numFmtId="0" fontId="107" fillId="0" borderId="0" xfId="0" applyFont="1" applyAlignment="1">
      <alignment horizontal="right"/>
    </xf>
    <xf numFmtId="0" fontId="89" fillId="2" borderId="3" xfId="7" applyFont="1" applyFill="1" applyBorder="1" applyAlignment="1">
      <alignment horizontal="center"/>
    </xf>
    <xf numFmtId="43" fontId="0" fillId="0" borderId="0" xfId="1" applyFont="1" applyAlignment="1" applyProtection="1">
      <alignment horizontal="right"/>
    </xf>
    <xf numFmtId="0" fontId="103" fillId="16" borderId="11" xfId="3" applyFont="1" applyFill="1" applyBorder="1" applyAlignment="1" applyProtection="1">
      <alignment horizontal="left" vertical="center"/>
      <protection locked="0"/>
    </xf>
    <xf numFmtId="0" fontId="111" fillId="16" borderId="6" xfId="3" applyFont="1" applyFill="1" applyBorder="1" applyAlignment="1">
      <alignment horizontal="center" vertical="center"/>
    </xf>
    <xf numFmtId="0" fontId="112" fillId="16" borderId="3" xfId="2" applyNumberFormat="1" applyFont="1" applyFill="1" applyBorder="1" applyAlignment="1" applyProtection="1">
      <alignment horizontal="center" vertical="center"/>
    </xf>
    <xf numFmtId="0" fontId="24" fillId="0" borderId="0" xfId="7" applyFont="1" applyAlignment="1" applyProtection="1">
      <alignment horizontal="left"/>
      <protection locked="0"/>
    </xf>
    <xf numFmtId="0" fontId="95" fillId="0" borderId="0" xfId="7" applyFont="1" applyAlignment="1">
      <alignment vertical="center"/>
    </xf>
    <xf numFmtId="0" fontId="108" fillId="2" borderId="18" xfId="7" applyFont="1" applyFill="1" applyBorder="1" applyAlignment="1">
      <alignment horizontal="right"/>
    </xf>
    <xf numFmtId="0" fontId="94" fillId="12" borderId="10" xfId="0" applyFont="1" applyFill="1" applyBorder="1" applyAlignment="1" applyProtection="1">
      <alignment horizontal="center"/>
      <protection locked="0"/>
    </xf>
    <xf numFmtId="0" fontId="80" fillId="2" borderId="16" xfId="3" applyFont="1" applyFill="1" applyBorder="1" applyAlignment="1">
      <alignment horizontal="left"/>
    </xf>
    <xf numFmtId="0" fontId="94" fillId="12" borderId="25" xfId="0" applyFont="1" applyFill="1" applyBorder="1" applyAlignment="1" applyProtection="1">
      <alignment horizontal="center"/>
      <protection locked="0"/>
    </xf>
    <xf numFmtId="0" fontId="94" fillId="12" borderId="11" xfId="0" applyFont="1" applyFill="1" applyBorder="1" applyAlignment="1" applyProtection="1">
      <alignment horizontal="center"/>
      <protection locked="0"/>
    </xf>
    <xf numFmtId="0" fontId="70" fillId="0" borderId="0" xfId="3" applyFont="1" applyAlignment="1">
      <alignment horizontal="right"/>
    </xf>
    <xf numFmtId="0" fontId="87" fillId="14" borderId="14" xfId="0" applyFont="1" applyFill="1" applyBorder="1"/>
    <xf numFmtId="0" fontId="87" fillId="14" borderId="16" xfId="0" applyFont="1" applyFill="1" applyBorder="1"/>
    <xf numFmtId="2" fontId="88" fillId="2" borderId="10" xfId="3" applyNumberFormat="1" applyFont="1" applyFill="1" applyBorder="1" applyAlignment="1">
      <alignment horizontal="center"/>
    </xf>
    <xf numFmtId="2" fontId="88" fillId="2" borderId="25" xfId="3" applyNumberFormat="1" applyFont="1" applyFill="1" applyBorder="1" applyAlignment="1">
      <alignment horizontal="center"/>
    </xf>
    <xf numFmtId="2" fontId="88" fillId="2" borderId="11" xfId="3" applyNumberFormat="1" applyFont="1" applyFill="1" applyBorder="1" applyAlignment="1">
      <alignment horizontal="center"/>
    </xf>
    <xf numFmtId="2" fontId="15" fillId="12" borderId="0" xfId="3" applyNumberFormat="1" applyFont="1" applyFill="1" applyAlignment="1">
      <alignment horizontal="center"/>
    </xf>
    <xf numFmtId="0" fontId="69" fillId="12" borderId="3" xfId="3" applyFont="1" applyFill="1" applyBorder="1" applyAlignment="1" applyProtection="1">
      <alignment horizontal="center"/>
      <protection locked="0"/>
    </xf>
    <xf numFmtId="43" fontId="14" fillId="17" borderId="19" xfId="1" applyFont="1" applyFill="1" applyBorder="1" applyAlignment="1" applyProtection="1">
      <alignment horizontal="center"/>
      <protection locked="0"/>
    </xf>
    <xf numFmtId="0" fontId="115" fillId="0" borderId="19" xfId="0" applyFont="1" applyBorder="1" applyAlignment="1" applyProtection="1">
      <alignment horizontal="center"/>
      <protection locked="0"/>
    </xf>
    <xf numFmtId="0" fontId="115" fillId="0" borderId="25" xfId="0" applyFont="1" applyBorder="1" applyAlignment="1" applyProtection="1">
      <alignment horizontal="center"/>
      <protection locked="0"/>
    </xf>
    <xf numFmtId="0" fontId="115" fillId="0" borderId="0" xfId="0" applyFont="1" applyAlignment="1" applyProtection="1">
      <alignment horizontal="center"/>
      <protection locked="0"/>
    </xf>
    <xf numFmtId="0" fontId="15" fillId="0" borderId="0" xfId="0" applyFont="1" applyProtection="1">
      <protection locked="0"/>
    </xf>
    <xf numFmtId="0" fontId="116" fillId="0" borderId="0" xfId="0" applyFont="1" applyAlignment="1" applyProtection="1">
      <alignment horizontal="center"/>
      <protection locked="0"/>
    </xf>
    <xf numFmtId="0" fontId="117" fillId="0" borderId="0" xfId="0" applyFont="1" applyAlignment="1" applyProtection="1">
      <alignment horizontal="center"/>
      <protection locked="0"/>
    </xf>
    <xf numFmtId="0" fontId="89" fillId="16" borderId="5" xfId="7" applyFont="1" applyFill="1" applyBorder="1" applyAlignment="1">
      <alignment horizontal="centerContinuous" vertical="center"/>
    </xf>
    <xf numFmtId="0" fontId="11" fillId="16" borderId="3" xfId="3" applyFont="1" applyFill="1" applyBorder="1" applyAlignment="1">
      <alignment horizontal="center"/>
    </xf>
    <xf numFmtId="0" fontId="31" fillId="16" borderId="4" xfId="0" applyFont="1" applyFill="1" applyBorder="1"/>
    <xf numFmtId="0" fontId="39" fillId="16" borderId="29" xfId="7" applyFont="1" applyFill="1" applyBorder="1" applyAlignment="1">
      <alignment horizontal="left" vertical="center"/>
    </xf>
    <xf numFmtId="0" fontId="0" fillId="16" borderId="29" xfId="0" applyFill="1" applyBorder="1"/>
    <xf numFmtId="0" fontId="96" fillId="16" borderId="29" xfId="7" applyFont="1" applyFill="1" applyBorder="1" applyAlignment="1">
      <alignment horizontal="center"/>
    </xf>
    <xf numFmtId="0" fontId="6" fillId="16" borderId="29" xfId="7" applyFont="1" applyFill="1" applyBorder="1" applyAlignment="1">
      <alignment horizontal="centerContinuous" vertical="center"/>
    </xf>
    <xf numFmtId="0" fontId="6" fillId="16" borderId="33" xfId="7" applyFont="1" applyFill="1" applyBorder="1" applyAlignment="1">
      <alignment horizontal="centerContinuous" vertical="center"/>
    </xf>
    <xf numFmtId="10" fontId="90" fillId="12" borderId="11" xfId="0" applyNumberFormat="1" applyFont="1" applyFill="1" applyBorder="1" applyAlignment="1" applyProtection="1">
      <alignment horizontal="center"/>
      <protection locked="0"/>
    </xf>
    <xf numFmtId="39" fontId="14" fillId="16" borderId="3" xfId="1" applyNumberFormat="1" applyFont="1" applyFill="1" applyBorder="1" applyAlignment="1" applyProtection="1">
      <alignment horizontal="right"/>
    </xf>
    <xf numFmtId="43" fontId="17" fillId="16" borderId="17" xfId="1" applyFont="1" applyFill="1" applyBorder="1" applyAlignment="1" applyProtection="1">
      <alignment horizontal="center"/>
    </xf>
    <xf numFmtId="43" fontId="17" fillId="16" borderId="0" xfId="1" applyFont="1" applyFill="1" applyBorder="1" applyAlignment="1" applyProtection="1">
      <alignment horizontal="center"/>
    </xf>
    <xf numFmtId="43" fontId="14" fillId="16" borderId="0" xfId="1" applyFont="1" applyFill="1" applyBorder="1" applyAlignment="1" applyProtection="1">
      <alignment horizontal="center"/>
    </xf>
    <xf numFmtId="43" fontId="14" fillId="0" borderId="0" xfId="1" applyFont="1" applyBorder="1" applyProtection="1"/>
    <xf numFmtId="173" fontId="17" fillId="16" borderId="0" xfId="1" applyNumberFormat="1" applyFont="1" applyFill="1" applyBorder="1" applyAlignment="1" applyProtection="1">
      <alignment horizontal="center"/>
    </xf>
    <xf numFmtId="0" fontId="118" fillId="0" borderId="0" xfId="0" applyFont="1" applyAlignment="1" applyProtection="1">
      <alignment horizontal="right"/>
      <protection locked="0"/>
    </xf>
    <xf numFmtId="10" fontId="14" fillId="16" borderId="3" xfId="0" applyNumberFormat="1" applyFont="1" applyFill="1" applyBorder="1" applyAlignment="1">
      <alignment horizontal="right" vertical="center"/>
    </xf>
    <xf numFmtId="39" fontId="17" fillId="16" borderId="3" xfId="1" applyNumberFormat="1" applyFont="1" applyFill="1" applyBorder="1" applyAlignment="1" applyProtection="1">
      <alignment horizontal="right"/>
    </xf>
    <xf numFmtId="0" fontId="119" fillId="0" borderId="0" xfId="0" applyFont="1" applyAlignment="1" applyProtection="1">
      <alignment horizontal="right" vertical="top"/>
      <protection locked="0"/>
    </xf>
    <xf numFmtId="10" fontId="120" fillId="16" borderId="18" xfId="7" applyNumberFormat="1" applyFont="1" applyFill="1" applyBorder="1" applyAlignment="1">
      <alignment horizontal="center"/>
    </xf>
    <xf numFmtId="10" fontId="120" fillId="16" borderId="23" xfId="7" applyNumberFormat="1" applyFont="1" applyFill="1" applyBorder="1" applyAlignment="1">
      <alignment horizontal="center"/>
    </xf>
    <xf numFmtId="10" fontId="121" fillId="14" borderId="18" xfId="7" applyNumberFormat="1" applyFont="1" applyFill="1" applyBorder="1" applyAlignment="1">
      <alignment horizontal="center"/>
    </xf>
    <xf numFmtId="2" fontId="121" fillId="14" borderId="18" xfId="7" applyNumberFormat="1" applyFont="1" applyFill="1" applyBorder="1" applyAlignment="1">
      <alignment horizontal="center"/>
    </xf>
    <xf numFmtId="14" fontId="122" fillId="0" borderId="0" xfId="7" applyNumberFormat="1" applyFont="1" applyAlignment="1" applyProtection="1">
      <alignment horizontal="right"/>
      <protection locked="0"/>
    </xf>
    <xf numFmtId="14" fontId="54" fillId="0" borderId="0" xfId="7" applyNumberFormat="1" applyFont="1" applyAlignment="1" applyProtection="1">
      <alignment horizontal="center"/>
      <protection locked="0"/>
    </xf>
    <xf numFmtId="174" fontId="62" fillId="0" borderId="0" xfId="7" applyNumberFormat="1" applyFont="1" applyAlignment="1" applyProtection="1">
      <alignment horizontal="right"/>
      <protection locked="0"/>
    </xf>
    <xf numFmtId="175" fontId="62" fillId="0" borderId="0" xfId="7" applyNumberFormat="1" applyFont="1" applyAlignment="1" applyProtection="1">
      <alignment horizontal="left"/>
      <protection locked="0"/>
    </xf>
    <xf numFmtId="170" fontId="79" fillId="16" borderId="19" xfId="0" applyNumberFormat="1" applyFont="1" applyFill="1" applyBorder="1" applyAlignment="1" applyProtection="1">
      <alignment horizontal="center"/>
      <protection locked="0"/>
    </xf>
    <xf numFmtId="167" fontId="14" fillId="0" borderId="11" xfId="7" applyNumberFormat="1" applyFont="1" applyBorder="1" applyAlignment="1" applyProtection="1">
      <alignment horizontal="center"/>
      <protection locked="0"/>
    </xf>
    <xf numFmtId="39" fontId="124" fillId="0" borderId="16" xfId="1" applyNumberFormat="1" applyFont="1" applyFill="1" applyBorder="1" applyAlignment="1" applyProtection="1">
      <alignment horizontal="right"/>
    </xf>
    <xf numFmtId="39" fontId="124" fillId="0" borderId="18" xfId="1" applyNumberFormat="1" applyFont="1" applyFill="1" applyBorder="1" applyAlignment="1" applyProtection="1">
      <alignment horizontal="right"/>
    </xf>
    <xf numFmtId="0" fontId="125" fillId="0" borderId="14" xfId="7" applyFont="1" applyBorder="1" applyAlignment="1">
      <alignment horizontal="center"/>
    </xf>
    <xf numFmtId="40" fontId="20" fillId="2" borderId="14" xfId="7" applyNumberFormat="1" applyFont="1" applyFill="1" applyBorder="1" applyAlignment="1">
      <alignment horizontal="right"/>
    </xf>
    <xf numFmtId="40" fontId="20" fillId="2" borderId="16" xfId="7" applyNumberFormat="1" applyFont="1" applyFill="1" applyBorder="1" applyAlignment="1">
      <alignment horizontal="right"/>
    </xf>
    <xf numFmtId="14" fontId="54" fillId="0" borderId="0" xfId="7" applyNumberFormat="1" applyFont="1" applyAlignment="1" applyProtection="1">
      <alignment horizontal="right"/>
      <protection locked="0"/>
    </xf>
    <xf numFmtId="0" fontId="122" fillId="0" borderId="0" xfId="0" applyFont="1"/>
    <xf numFmtId="39" fontId="54" fillId="0" borderId="0" xfId="1" applyNumberFormat="1" applyFont="1" applyFill="1" applyBorder="1" applyAlignment="1" applyProtection="1">
      <alignment horizontal="right"/>
      <protection locked="0"/>
    </xf>
    <xf numFmtId="43" fontId="54" fillId="0" borderId="0" xfId="1" applyFont="1" applyFill="1" applyBorder="1" applyAlignment="1" applyProtection="1">
      <alignment horizontal="right"/>
      <protection locked="0"/>
    </xf>
    <xf numFmtId="43" fontId="54" fillId="0" borderId="0" xfId="1" applyFont="1" applyBorder="1" applyAlignment="1" applyProtection="1">
      <alignment horizontal="right"/>
      <protection locked="0"/>
    </xf>
    <xf numFmtId="176" fontId="17" fillId="16" borderId="3" xfId="1" applyNumberFormat="1" applyFont="1" applyFill="1" applyBorder="1" applyAlignment="1" applyProtection="1">
      <alignment horizontal="right"/>
    </xf>
    <xf numFmtId="167" fontId="123" fillId="16" borderId="3" xfId="7" applyNumberFormat="1" applyFont="1" applyFill="1" applyBorder="1" applyAlignment="1">
      <alignment horizontal="center"/>
    </xf>
    <xf numFmtId="0" fontId="14" fillId="0" borderId="1" xfId="3" applyFont="1" applyBorder="1"/>
    <xf numFmtId="0" fontId="111" fillId="16" borderId="25" xfId="0" applyFont="1" applyFill="1" applyBorder="1" applyAlignment="1">
      <alignment horizontal="center" vertical="center"/>
    </xf>
    <xf numFmtId="0" fontId="111" fillId="16" borderId="19" xfId="0" applyFont="1" applyFill="1" applyBorder="1" applyAlignment="1">
      <alignment horizontal="center" vertical="center"/>
    </xf>
    <xf numFmtId="0" fontId="111" fillId="16" borderId="6" xfId="0" applyFont="1" applyFill="1" applyBorder="1" applyAlignment="1">
      <alignment horizontal="right" vertical="center"/>
    </xf>
    <xf numFmtId="0" fontId="30" fillId="11" borderId="11" xfId="3" applyFont="1" applyFill="1" applyBorder="1" applyAlignment="1">
      <alignment horizontal="left"/>
    </xf>
    <xf numFmtId="0" fontId="108" fillId="2" borderId="23" xfId="7" applyFont="1" applyFill="1" applyBorder="1" applyAlignment="1">
      <alignment horizontal="center"/>
    </xf>
    <xf numFmtId="2" fontId="30" fillId="2" borderId="17" xfId="7" applyNumberFormat="1" applyFont="1" applyFill="1" applyBorder="1" applyAlignment="1">
      <alignment horizontal="center"/>
    </xf>
    <xf numFmtId="0" fontId="80" fillId="2" borderId="21" xfId="3" applyFont="1" applyFill="1" applyBorder="1" applyAlignment="1">
      <alignment horizontal="left"/>
    </xf>
    <xf numFmtId="0" fontId="15"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11" fillId="2" borderId="23" xfId="3" applyFont="1" applyFill="1" applyBorder="1" applyAlignment="1">
      <alignment horizontal="center"/>
    </xf>
    <xf numFmtId="0" fontId="0" fillId="0" borderId="3" xfId="0" applyBorder="1" applyAlignment="1" applyProtection="1">
      <alignment horizontal="center"/>
      <protection locked="0"/>
    </xf>
    <xf numFmtId="0" fontId="73" fillId="14" borderId="3" xfId="0" applyFont="1" applyFill="1" applyBorder="1" applyAlignment="1" applyProtection="1">
      <alignment horizontal="center"/>
      <protection locked="0"/>
    </xf>
    <xf numFmtId="0" fontId="73" fillId="12" borderId="3" xfId="0" applyFont="1" applyFill="1" applyBorder="1" applyAlignment="1" applyProtection="1">
      <alignment horizontal="center"/>
      <protection locked="0"/>
    </xf>
    <xf numFmtId="0" fontId="73" fillId="0" borderId="3" xfId="0" applyFont="1" applyBorder="1" applyAlignment="1" applyProtection="1">
      <alignment horizontal="center"/>
      <protection locked="0"/>
    </xf>
    <xf numFmtId="0" fontId="10" fillId="18" borderId="3" xfId="0" applyFont="1" applyFill="1" applyBorder="1" applyProtection="1">
      <protection locked="0"/>
    </xf>
    <xf numFmtId="0" fontId="21" fillId="0" borderId="0" xfId="0" applyFont="1"/>
    <xf numFmtId="0" fontId="127" fillId="0" borderId="0" xfId="0" applyFont="1"/>
    <xf numFmtId="38" fontId="128" fillId="16" borderId="18" xfId="0" applyNumberFormat="1" applyFont="1" applyFill="1" applyBorder="1" applyAlignment="1">
      <alignment horizontal="center"/>
    </xf>
    <xf numFmtId="38" fontId="28" fillId="12" borderId="14" xfId="0" applyNumberFormat="1" applyFont="1" applyFill="1" applyBorder="1" applyAlignment="1" applyProtection="1">
      <alignment horizontal="center"/>
      <protection locked="0"/>
    </xf>
    <xf numFmtId="0" fontId="59" fillId="0" borderId="0" xfId="0" applyFont="1" applyProtection="1">
      <protection locked="0"/>
    </xf>
    <xf numFmtId="0" fontId="129" fillId="0" borderId="0" xfId="7" applyFont="1" applyProtection="1">
      <protection locked="0"/>
    </xf>
    <xf numFmtId="0" fontId="130" fillId="0" borderId="0" xfId="0" applyFont="1" applyProtection="1">
      <protection locked="0"/>
    </xf>
    <xf numFmtId="0" fontId="131" fillId="0" borderId="0" xfId="0" applyFont="1" applyProtection="1">
      <protection locked="0"/>
    </xf>
    <xf numFmtId="0" fontId="47" fillId="0" borderId="0" xfId="0" applyFont="1" applyProtection="1">
      <protection locked="0"/>
    </xf>
    <xf numFmtId="0" fontId="110" fillId="0" borderId="0" xfId="0" applyFont="1" applyAlignment="1">
      <alignment vertical="center"/>
    </xf>
    <xf numFmtId="2" fontId="15" fillId="12" borderId="0" xfId="3" applyNumberFormat="1" applyFont="1" applyFill="1" applyAlignment="1">
      <alignment horizontal="center" vertical="top"/>
    </xf>
    <xf numFmtId="2" fontId="28" fillId="2" borderId="0" xfId="3" applyNumberFormat="1" applyFont="1" applyFill="1" applyAlignment="1" applyProtection="1">
      <alignment horizontal="center" vertical="top"/>
      <protection locked="0"/>
    </xf>
    <xf numFmtId="0" fontId="0" fillId="2" borderId="0" xfId="0" applyFill="1" applyProtection="1">
      <protection locked="0"/>
    </xf>
    <xf numFmtId="0" fontId="46" fillId="0" borderId="0" xfId="0" applyFont="1" applyAlignment="1" applyProtection="1">
      <alignment horizontal="center"/>
      <protection locked="0"/>
    </xf>
    <xf numFmtId="0" fontId="133" fillId="0" borderId="0" xfId="3" applyFont="1" applyAlignment="1">
      <alignment horizontal="right" vertical="top"/>
    </xf>
    <xf numFmtId="0" fontId="133" fillId="0" borderId="0" xfId="7" applyFont="1" applyAlignment="1">
      <alignment horizontal="right"/>
    </xf>
    <xf numFmtId="0" fontId="133" fillId="0" borderId="0" xfId="3" applyFont="1" applyAlignment="1">
      <alignment horizontal="right"/>
    </xf>
    <xf numFmtId="0" fontId="134" fillId="0" borderId="0" xfId="0" applyFont="1" applyAlignment="1" applyProtection="1">
      <alignment horizontal="left"/>
      <protection locked="0"/>
    </xf>
    <xf numFmtId="0" fontId="135" fillId="0" borderId="0" xfId="0" applyFont="1" applyProtection="1">
      <protection locked="0"/>
    </xf>
    <xf numFmtId="2" fontId="15" fillId="16" borderId="6" xfId="0" applyNumberFormat="1" applyFont="1" applyFill="1" applyBorder="1" applyAlignment="1">
      <alignment horizontal="center" vertical="center"/>
    </xf>
    <xf numFmtId="49" fontId="136" fillId="16" borderId="20" xfId="0" applyNumberFormat="1" applyFont="1" applyFill="1" applyBorder="1" applyAlignment="1">
      <alignment horizontal="left"/>
    </xf>
    <xf numFmtId="40" fontId="14" fillId="0" borderId="3" xfId="1" applyNumberFormat="1" applyFont="1" applyFill="1" applyBorder="1" applyAlignment="1" applyProtection="1">
      <alignment horizontal="right"/>
      <protection locked="0"/>
    </xf>
    <xf numFmtId="40" fontId="137" fillId="0" borderId="3" xfId="1" applyNumberFormat="1" applyFont="1" applyFill="1" applyBorder="1" applyAlignment="1" applyProtection="1">
      <alignment horizontal="right"/>
      <protection locked="0"/>
    </xf>
    <xf numFmtId="4" fontId="17" fillId="3" borderId="8" xfId="3" applyNumberFormat="1" applyFont="1" applyFill="1" applyBorder="1" applyAlignment="1">
      <alignment horizontal="right"/>
    </xf>
    <xf numFmtId="4" fontId="17" fillId="3" borderId="9" xfId="3" applyNumberFormat="1" applyFont="1" applyFill="1" applyBorder="1" applyAlignment="1">
      <alignment horizontal="right"/>
    </xf>
    <xf numFmtId="0" fontId="138" fillId="16" borderId="19" xfId="0" applyFont="1" applyFill="1" applyBorder="1" applyAlignment="1">
      <alignment horizontal="left"/>
    </xf>
    <xf numFmtId="0" fontId="139" fillId="0" borderId="0" xfId="0" applyFont="1" applyAlignment="1" applyProtection="1">
      <alignment horizontal="left"/>
      <protection locked="0"/>
    </xf>
    <xf numFmtId="165" fontId="15" fillId="12" borderId="2" xfId="3" applyNumberFormat="1" applyFont="1" applyFill="1" applyBorder="1" applyAlignment="1" applyProtection="1">
      <alignment horizontal="center"/>
      <protection locked="0"/>
    </xf>
    <xf numFmtId="0" fontId="13" fillId="0" borderId="0" xfId="0" applyFont="1"/>
    <xf numFmtId="0" fontId="8" fillId="0" borderId="0" xfId="7" applyFont="1" applyAlignment="1">
      <alignment horizontal="right"/>
    </xf>
    <xf numFmtId="2" fontId="7" fillId="0" borderId="0" xfId="7" applyNumberFormat="1" applyFont="1"/>
    <xf numFmtId="0" fontId="11" fillId="0" borderId="0" xfId="7" applyFont="1" applyAlignment="1">
      <alignment horizontal="left"/>
    </xf>
    <xf numFmtId="0" fontId="7" fillId="0" borderId="0" xfId="7" applyFont="1" applyAlignment="1">
      <alignment horizontal="centerContinuous" vertical="center"/>
    </xf>
    <xf numFmtId="0" fontId="97" fillId="0" borderId="0" xfId="0" applyFont="1" applyAlignment="1">
      <alignment horizontal="right"/>
    </xf>
    <xf numFmtId="1" fontId="7" fillId="0" borderId="0" xfId="6" applyFont="1" applyAlignment="1">
      <alignment horizontal="center"/>
    </xf>
    <xf numFmtId="0" fontId="7" fillId="0" borderId="0" xfId="7" applyFont="1" applyAlignment="1">
      <alignment horizontal="centerContinuous"/>
    </xf>
    <xf numFmtId="0" fontId="7" fillId="0" borderId="0" xfId="7" applyFont="1"/>
    <xf numFmtId="0" fontId="8" fillId="0" borderId="0" xfId="3" applyFont="1" applyAlignment="1">
      <alignment horizontal="right"/>
    </xf>
    <xf numFmtId="1" fontId="7" fillId="0" borderId="0" xfId="6" applyFont="1"/>
    <xf numFmtId="0" fontId="51" fillId="0" borderId="0" xfId="0" applyFont="1"/>
    <xf numFmtId="0" fontId="11" fillId="0" borderId="0" xfId="2" applyNumberFormat="1" applyFont="1" applyBorder="1" applyAlignment="1" applyProtection="1"/>
    <xf numFmtId="14" fontId="11" fillId="0" borderId="0" xfId="7" applyNumberFormat="1" applyFont="1" applyAlignment="1">
      <alignment horizontal="left"/>
    </xf>
    <xf numFmtId="0" fontId="13" fillId="0" borderId="0" xfId="3" applyFont="1"/>
    <xf numFmtId="0" fontId="13" fillId="0" borderId="0" xfId="0" applyFont="1" applyAlignment="1">
      <alignment horizontal="centerContinuous"/>
    </xf>
    <xf numFmtId="0" fontId="8" fillId="0" borderId="0" xfId="2" applyNumberFormat="1" applyFont="1" applyBorder="1" applyAlignment="1" applyProtection="1">
      <alignment horizontal="centerContinuous"/>
    </xf>
    <xf numFmtId="0" fontId="51" fillId="2" borderId="29" xfId="0" applyFont="1" applyFill="1" applyBorder="1"/>
    <xf numFmtId="0" fontId="13" fillId="2" borderId="29" xfId="0" applyFont="1" applyFill="1" applyBorder="1"/>
    <xf numFmtId="2" fontId="7" fillId="2" borderId="29" xfId="7" applyNumberFormat="1" applyFont="1" applyFill="1" applyBorder="1"/>
    <xf numFmtId="0" fontId="13" fillId="2" borderId="29" xfId="7" applyFont="1" applyFill="1" applyBorder="1" applyAlignment="1">
      <alignment horizontal="centerContinuous" vertical="center"/>
    </xf>
    <xf numFmtId="0" fontId="7" fillId="2" borderId="29" xfId="7" applyFont="1" applyFill="1" applyBorder="1" applyAlignment="1">
      <alignment horizontal="centerContinuous"/>
    </xf>
    <xf numFmtId="0" fontId="52" fillId="2" borderId="29" xfId="2" applyNumberFormat="1" applyFont="1" applyFill="1" applyBorder="1" applyAlignment="1" applyProtection="1">
      <alignment horizontal="center"/>
    </xf>
    <xf numFmtId="0" fontId="56" fillId="2" borderId="29" xfId="2" applyNumberFormat="1" applyFont="1" applyFill="1" applyBorder="1" applyAlignment="1" applyProtection="1">
      <alignment horizontal="centerContinuous"/>
    </xf>
    <xf numFmtId="0" fontId="126" fillId="0" borderId="0" xfId="0" applyFont="1" applyAlignment="1">
      <alignment horizontal="center"/>
    </xf>
    <xf numFmtId="0" fontId="73" fillId="2" borderId="3" xfId="0" applyFont="1" applyFill="1" applyBorder="1" applyAlignment="1" applyProtection="1">
      <alignment horizontal="center"/>
      <protection locked="0"/>
    </xf>
    <xf numFmtId="0" fontId="74" fillId="0" borderId="3" xfId="0" applyFont="1" applyBorder="1" applyAlignment="1" applyProtection="1">
      <alignment horizontal="center"/>
      <protection locked="0"/>
    </xf>
    <xf numFmtId="167" fontId="140" fillId="0" borderId="3" xfId="7" applyNumberFormat="1" applyFont="1" applyBorder="1" applyAlignment="1">
      <alignment horizontal="right"/>
    </xf>
    <xf numFmtId="0" fontId="10" fillId="0" borderId="0" xfId="5" applyFont="1" applyAlignment="1">
      <alignment horizontal="center"/>
    </xf>
    <xf numFmtId="0" fontId="10" fillId="0" borderId="0" xfId="5" applyFont="1" applyAlignment="1" applyProtection="1">
      <alignment horizontal="center"/>
      <protection locked="0"/>
    </xf>
    <xf numFmtId="0" fontId="17" fillId="0" borderId="0" xfId="3" applyFont="1" applyAlignment="1">
      <alignment horizontal="center"/>
    </xf>
    <xf numFmtId="0" fontId="17" fillId="0" borderId="0" xfId="3" applyFont="1" applyAlignment="1">
      <alignment horizontal="left"/>
    </xf>
    <xf numFmtId="1" fontId="17" fillId="0" borderId="0" xfId="6" applyFont="1" applyAlignment="1" applyProtection="1">
      <alignment horizontal="center" vertical="top"/>
      <protection locked="0"/>
    </xf>
    <xf numFmtId="0" fontId="17" fillId="0" borderId="42" xfId="3" applyFont="1" applyBorder="1" applyAlignment="1">
      <alignment horizontal="center"/>
    </xf>
    <xf numFmtId="0" fontId="14" fillId="0" borderId="0" xfId="3" applyFont="1" applyAlignment="1">
      <alignment horizontal="left"/>
    </xf>
    <xf numFmtId="0" fontId="17" fillId="0" borderId="43" xfId="3" applyFont="1" applyBorder="1" applyAlignment="1">
      <alignment horizontal="center"/>
    </xf>
    <xf numFmtId="0" fontId="6" fillId="0" borderId="0" xfId="0" applyFont="1" applyProtection="1">
      <protection locked="0"/>
    </xf>
    <xf numFmtId="177" fontId="77" fillId="12" borderId="3" xfId="0" applyNumberFormat="1" applyFont="1" applyFill="1" applyBorder="1" applyAlignment="1" applyProtection="1">
      <alignment horizontal="center"/>
      <protection locked="0"/>
    </xf>
    <xf numFmtId="0" fontId="143" fillId="0" borderId="0" xfId="3" applyFont="1" applyProtection="1">
      <protection locked="0"/>
    </xf>
    <xf numFmtId="0" fontId="144" fillId="0" borderId="0" xfId="3" applyFont="1" applyAlignment="1" applyProtection="1">
      <alignment horizontal="right"/>
      <protection locked="0"/>
    </xf>
    <xf numFmtId="0" fontId="143" fillId="0" borderId="0" xfId="10" applyFont="1" applyProtection="1">
      <protection locked="0"/>
    </xf>
    <xf numFmtId="0" fontId="143" fillId="0" borderId="0" xfId="3" applyFont="1" applyAlignment="1" applyProtection="1">
      <alignment horizontal="left"/>
      <protection locked="0"/>
    </xf>
    <xf numFmtId="0" fontId="143" fillId="0" borderId="13" xfId="3" applyFont="1" applyBorder="1" applyProtection="1">
      <protection locked="0"/>
    </xf>
    <xf numFmtId="0" fontId="143" fillId="0" borderId="13" xfId="10" applyFont="1" applyBorder="1" applyProtection="1">
      <protection locked="0"/>
    </xf>
    <xf numFmtId="0" fontId="144" fillId="0" borderId="0" xfId="10" applyFont="1" applyAlignment="1" applyProtection="1">
      <alignment horizontal="right"/>
      <protection locked="0"/>
    </xf>
    <xf numFmtId="15" fontId="143" fillId="0" borderId="0" xfId="10" applyNumberFormat="1" applyFont="1" applyProtection="1">
      <protection locked="0"/>
    </xf>
    <xf numFmtId="0" fontId="143" fillId="16" borderId="0" xfId="3" applyFont="1" applyFill="1" applyAlignment="1" applyProtection="1">
      <alignment horizontal="left"/>
      <protection locked="0"/>
    </xf>
    <xf numFmtId="0" fontId="145" fillId="0" borderId="0" xfId="3" applyFont="1" applyProtection="1">
      <protection locked="0"/>
    </xf>
    <xf numFmtId="0" fontId="145" fillId="0" borderId="0" xfId="3" applyFont="1" applyAlignment="1" applyProtection="1">
      <alignment horizontal="right"/>
      <protection locked="0"/>
    </xf>
    <xf numFmtId="4" fontId="143" fillId="16" borderId="0" xfId="1" applyNumberFormat="1" applyFont="1" applyFill="1" applyBorder="1" applyAlignment="1" applyProtection="1">
      <alignment horizontal="centerContinuous"/>
      <protection locked="0"/>
    </xf>
    <xf numFmtId="0" fontId="143" fillId="0" borderId="0" xfId="10" applyFont="1"/>
    <xf numFmtId="0" fontId="144" fillId="0" borderId="0" xfId="3" applyFont="1" applyAlignment="1" applyProtection="1">
      <alignment horizontal="left"/>
      <protection locked="0"/>
    </xf>
    <xf numFmtId="0" fontId="145" fillId="0" borderId="0" xfId="3" applyFont="1" applyAlignment="1" applyProtection="1">
      <alignment horizontal="left"/>
      <protection locked="0"/>
    </xf>
    <xf numFmtId="0" fontId="144" fillId="0" borderId="0" xfId="3" applyFont="1" applyProtection="1">
      <protection locked="0"/>
    </xf>
    <xf numFmtId="0" fontId="143" fillId="0" borderId="0" xfId="3" applyFont="1" applyAlignment="1" applyProtection="1">
      <alignment horizontal="center"/>
      <protection locked="0"/>
    </xf>
    <xf numFmtId="0" fontId="143" fillId="0" borderId="22" xfId="3" applyFont="1" applyBorder="1" applyProtection="1">
      <protection locked="0"/>
    </xf>
    <xf numFmtId="0" fontId="143" fillId="0" borderId="34" xfId="3" applyFont="1" applyBorder="1" applyProtection="1">
      <protection locked="0"/>
    </xf>
    <xf numFmtId="0" fontId="143" fillId="0" borderId="35" xfId="3" applyFont="1" applyBorder="1" applyProtection="1">
      <protection locked="0"/>
    </xf>
    <xf numFmtId="0" fontId="143" fillId="0" borderId="36" xfId="3" applyFont="1" applyBorder="1" applyProtection="1">
      <protection locked="0"/>
    </xf>
    <xf numFmtId="0" fontId="143" fillId="0" borderId="37" xfId="3" applyFont="1" applyBorder="1" applyProtection="1">
      <protection locked="0"/>
    </xf>
    <xf numFmtId="0" fontId="145" fillId="0" borderId="0" xfId="7" applyFont="1" applyAlignment="1" applyProtection="1">
      <alignment horizontal="left" vertical="center"/>
      <protection locked="0"/>
    </xf>
    <xf numFmtId="0" fontId="143" fillId="0" borderId="38" xfId="3" applyFont="1" applyBorder="1" applyProtection="1">
      <protection locked="0"/>
    </xf>
    <xf numFmtId="0" fontId="143" fillId="0" borderId="39" xfId="3" applyFont="1" applyBorder="1" applyProtection="1">
      <protection locked="0"/>
    </xf>
    <xf numFmtId="0" fontId="146" fillId="0" borderId="0" xfId="3" applyFont="1" applyProtection="1">
      <protection locked="0"/>
    </xf>
    <xf numFmtId="0" fontId="144" fillId="0" borderId="0" xfId="7" applyFont="1" applyAlignment="1" applyProtection="1">
      <alignment horizontal="right"/>
      <protection locked="0"/>
    </xf>
    <xf numFmtId="0" fontId="144" fillId="0" borderId="13" xfId="7" applyFont="1" applyBorder="1" applyAlignment="1" applyProtection="1">
      <alignment horizontal="left"/>
      <protection locked="0"/>
    </xf>
    <xf numFmtId="0" fontId="144" fillId="0" borderId="0" xfId="7" applyFont="1" applyAlignment="1" applyProtection="1">
      <alignment horizontal="left"/>
      <protection locked="0"/>
    </xf>
    <xf numFmtId="0" fontId="147" fillId="0" borderId="0" xfId="3" applyFont="1" applyAlignment="1" applyProtection="1">
      <alignment horizontal="right"/>
      <protection locked="0"/>
    </xf>
    <xf numFmtId="0" fontId="146" fillId="0" borderId="0" xfId="3" applyFont="1" applyAlignment="1" applyProtection="1">
      <alignment horizontal="left"/>
      <protection locked="0"/>
    </xf>
    <xf numFmtId="165" fontId="148" fillId="0" borderId="0" xfId="11" applyNumberFormat="1" applyFont="1" applyAlignment="1">
      <alignment horizontal="center" wrapText="1"/>
    </xf>
    <xf numFmtId="0" fontId="149" fillId="0" borderId="0" xfId="11" applyFont="1" applyAlignment="1">
      <alignment wrapText="1"/>
    </xf>
    <xf numFmtId="0" fontId="148" fillId="0" borderId="0" xfId="11" applyFont="1" applyAlignment="1">
      <alignment horizontal="center" wrapText="1"/>
    </xf>
    <xf numFmtId="178" fontId="148" fillId="0" borderId="0" xfId="11" applyNumberFormat="1" applyFont="1" applyAlignment="1">
      <alignment horizontal="right" wrapText="1"/>
    </xf>
    <xf numFmtId="179" fontId="150" fillId="0" borderId="0" xfId="11" applyNumberFormat="1" applyFont="1" applyAlignment="1">
      <alignment horizontal="right" wrapText="1"/>
    </xf>
    <xf numFmtId="0" fontId="2" fillId="0" borderId="0" xfId="11" applyAlignment="1">
      <alignment wrapText="1"/>
    </xf>
    <xf numFmtId="0" fontId="2" fillId="0" borderId="0" xfId="11"/>
    <xf numFmtId="0" fontId="148" fillId="0" borderId="0" xfId="11" applyFont="1" applyAlignment="1">
      <alignment wrapText="1"/>
    </xf>
    <xf numFmtId="179" fontId="151" fillId="0" borderId="0" xfId="11" applyNumberFormat="1" applyFont="1" applyAlignment="1">
      <alignment horizontal="right" wrapText="1"/>
    </xf>
    <xf numFmtId="0" fontId="150" fillId="0" borderId="0" xfId="11" applyFont="1" applyAlignment="1">
      <alignment wrapText="1"/>
    </xf>
    <xf numFmtId="165" fontId="151" fillId="0" borderId="14" xfId="11" applyNumberFormat="1" applyFont="1" applyBorder="1" applyAlignment="1">
      <alignment horizontal="center" wrapText="1"/>
    </xf>
    <xf numFmtId="0" fontId="151" fillId="0" borderId="14" xfId="11" applyFont="1" applyBorder="1" applyAlignment="1">
      <alignment wrapText="1"/>
    </xf>
    <xf numFmtId="0" fontId="151" fillId="0" borderId="14" xfId="11" applyFont="1" applyBorder="1" applyAlignment="1">
      <alignment horizontal="center" wrapText="1"/>
    </xf>
    <xf numFmtId="178" fontId="151" fillId="0" borderId="14" xfId="11" applyNumberFormat="1" applyFont="1" applyBorder="1" applyAlignment="1">
      <alignment horizontal="right" wrapText="1"/>
    </xf>
    <xf numFmtId="179" fontId="151" fillId="0" borderId="14" xfId="11" applyNumberFormat="1" applyFont="1" applyBorder="1" applyAlignment="1">
      <alignment horizontal="right" wrapText="1"/>
    </xf>
    <xf numFmtId="0" fontId="2" fillId="0" borderId="14" xfId="11" applyBorder="1" applyAlignment="1">
      <alignment wrapText="1"/>
    </xf>
    <xf numFmtId="0" fontId="2" fillId="0" borderId="14" xfId="11" applyBorder="1"/>
    <xf numFmtId="165" fontId="148" fillId="0" borderId="14" xfId="11" applyNumberFormat="1" applyFont="1" applyBorder="1" applyAlignment="1">
      <alignment horizontal="center" wrapText="1"/>
    </xf>
    <xf numFmtId="0" fontId="148" fillId="0" borderId="14" xfId="11" applyFont="1" applyBorder="1" applyAlignment="1">
      <alignment horizontal="center" wrapText="1"/>
    </xf>
    <xf numFmtId="178" fontId="148" fillId="0" borderId="14" xfId="11" applyNumberFormat="1" applyFont="1" applyBorder="1" applyAlignment="1">
      <alignment horizontal="right" wrapText="1"/>
    </xf>
    <xf numFmtId="0" fontId="151" fillId="0" borderId="0" xfId="11" applyFont="1" applyAlignment="1">
      <alignment wrapText="1"/>
    </xf>
    <xf numFmtId="179" fontId="151" fillId="0" borderId="13" xfId="11" applyNumberFormat="1" applyFont="1" applyBorder="1" applyAlignment="1">
      <alignment horizontal="right" wrapText="1"/>
    </xf>
    <xf numFmtId="165" fontId="148" fillId="0" borderId="22" xfId="11" applyNumberFormat="1" applyFont="1" applyBorder="1" applyAlignment="1">
      <alignment horizontal="center" wrapText="1"/>
    </xf>
    <xf numFmtId="0" fontId="150" fillId="0" borderId="22" xfId="11" applyFont="1" applyBorder="1" applyAlignment="1">
      <alignment wrapText="1"/>
    </xf>
    <xf numFmtId="0" fontId="148" fillId="0" borderId="22" xfId="11" applyFont="1" applyBorder="1" applyAlignment="1">
      <alignment horizontal="center" wrapText="1"/>
    </xf>
    <xf numFmtId="178" fontId="148" fillId="0" borderId="22" xfId="11" applyNumberFormat="1" applyFont="1" applyBorder="1" applyAlignment="1">
      <alignment horizontal="right" wrapText="1"/>
    </xf>
    <xf numFmtId="0" fontId="2" fillId="0" borderId="22" xfId="11" applyBorder="1" applyAlignment="1">
      <alignment wrapText="1"/>
    </xf>
    <xf numFmtId="0" fontId="2" fillId="0" borderId="22" xfId="11" applyBorder="1"/>
    <xf numFmtId="0" fontId="2" fillId="0" borderId="0" xfId="11" applyAlignment="1">
      <alignment vertical="center" wrapText="1"/>
    </xf>
    <xf numFmtId="0" fontId="152" fillId="0" borderId="14" xfId="11" applyFont="1" applyBorder="1" applyAlignment="1">
      <alignment wrapText="1"/>
    </xf>
    <xf numFmtId="0" fontId="152" fillId="0" borderId="0" xfId="11" applyFont="1" applyAlignment="1">
      <alignment wrapText="1"/>
    </xf>
    <xf numFmtId="0" fontId="153" fillId="0" borderId="0" xfId="11" applyFont="1" applyAlignment="1">
      <alignment wrapText="1"/>
    </xf>
    <xf numFmtId="0" fontId="2" fillId="19" borderId="0" xfId="11" applyFill="1" applyAlignment="1">
      <alignment wrapText="1"/>
    </xf>
    <xf numFmtId="0" fontId="154" fillId="0" borderId="0" xfId="11" applyFont="1" applyAlignment="1">
      <alignment wrapText="1"/>
    </xf>
    <xf numFmtId="0" fontId="156" fillId="0" borderId="0" xfId="11" applyFont="1" applyAlignment="1">
      <alignment wrapText="1"/>
    </xf>
    <xf numFmtId="0" fontId="157" fillId="0" borderId="14" xfId="11" applyFont="1" applyBorder="1" applyAlignment="1">
      <alignment wrapText="1"/>
    </xf>
    <xf numFmtId="178" fontId="156" fillId="0" borderId="14" xfId="11" applyNumberFormat="1" applyFont="1" applyBorder="1" applyAlignment="1">
      <alignment horizontal="right" wrapText="1"/>
    </xf>
    <xf numFmtId="178" fontId="156" fillId="0" borderId="0" xfId="11" applyNumberFormat="1" applyFont="1" applyAlignment="1">
      <alignment horizontal="right" wrapText="1"/>
    </xf>
    <xf numFmtId="179" fontId="151" fillId="0" borderId="22" xfId="11" applyNumberFormat="1" applyFont="1" applyBorder="1" applyAlignment="1">
      <alignment horizontal="right" wrapText="1"/>
    </xf>
    <xf numFmtId="0" fontId="158" fillId="0" borderId="0" xfId="11" applyFont="1" applyAlignment="1">
      <alignment wrapText="1"/>
    </xf>
    <xf numFmtId="0" fontId="150" fillId="0" borderId="14" xfId="11" applyFont="1" applyBorder="1" applyAlignment="1">
      <alignment wrapText="1"/>
    </xf>
    <xf numFmtId="9" fontId="0" fillId="0" borderId="0" xfId="12" applyFont="1" applyAlignment="1">
      <alignment wrapText="1"/>
    </xf>
    <xf numFmtId="9" fontId="0" fillId="0" borderId="0" xfId="12" applyFont="1"/>
    <xf numFmtId="9" fontId="151" fillId="0" borderId="14" xfId="12" applyFont="1" applyBorder="1" applyAlignment="1">
      <alignment horizontal="center" wrapText="1"/>
    </xf>
    <xf numFmtId="9" fontId="151" fillId="0" borderId="14" xfId="12" applyFont="1" applyBorder="1" applyAlignment="1">
      <alignment wrapText="1"/>
    </xf>
    <xf numFmtId="9" fontId="151" fillId="0" borderId="14" xfId="12" applyFont="1" applyBorder="1" applyAlignment="1">
      <alignment horizontal="right" wrapText="1"/>
    </xf>
    <xf numFmtId="165" fontId="159" fillId="0" borderId="0" xfId="11" applyNumberFormat="1" applyFont="1" applyAlignment="1">
      <alignment horizontal="left"/>
    </xf>
    <xf numFmtId="165" fontId="151" fillId="0" borderId="0" xfId="11" applyNumberFormat="1" applyFont="1" applyAlignment="1">
      <alignment horizontal="center" wrapText="1"/>
    </xf>
    <xf numFmtId="0" fontId="151" fillId="0" borderId="0" xfId="11" applyFont="1"/>
    <xf numFmtId="178" fontId="151" fillId="0" borderId="0" xfId="13" applyNumberFormat="1" applyFont="1" applyAlignment="1">
      <alignment horizontal="right"/>
    </xf>
    <xf numFmtId="178" fontId="151" fillId="0" borderId="0" xfId="13" applyNumberFormat="1" applyFont="1"/>
    <xf numFmtId="178" fontId="160" fillId="0" borderId="14" xfId="13" applyNumberFormat="1" applyFont="1" applyBorder="1" applyAlignment="1">
      <alignment horizontal="right" wrapText="1"/>
    </xf>
    <xf numFmtId="165" fontId="161" fillId="0" borderId="14" xfId="11" applyNumberFormat="1" applyFont="1" applyBorder="1" applyAlignment="1">
      <alignment horizontal="center" wrapText="1"/>
    </xf>
    <xf numFmtId="0" fontId="161" fillId="0" borderId="14" xfId="11" applyFont="1" applyBorder="1" applyAlignment="1">
      <alignment wrapText="1"/>
    </xf>
    <xf numFmtId="0" fontId="161" fillId="0" borderId="14" xfId="11" applyFont="1" applyBorder="1" applyAlignment="1">
      <alignment horizontal="center" wrapText="1"/>
    </xf>
    <xf numFmtId="178" fontId="161" fillId="0" borderId="14" xfId="11" applyNumberFormat="1" applyFont="1" applyBorder="1" applyAlignment="1">
      <alignment horizontal="right" wrapText="1"/>
    </xf>
    <xf numFmtId="179" fontId="161" fillId="0" borderId="14" xfId="11" applyNumberFormat="1" applyFont="1" applyBorder="1" applyAlignment="1">
      <alignment horizontal="right" wrapText="1"/>
    </xf>
    <xf numFmtId="165" fontId="162" fillId="0" borderId="0" xfId="11" applyNumberFormat="1" applyFont="1" applyAlignment="1">
      <alignment horizontal="center" wrapText="1"/>
    </xf>
    <xf numFmtId="0" fontId="162" fillId="0" borderId="0" xfId="11" applyFont="1" applyAlignment="1">
      <alignment wrapText="1"/>
    </xf>
    <xf numFmtId="0" fontId="162" fillId="0" borderId="0" xfId="11" applyFont="1" applyAlignment="1">
      <alignment horizontal="center" wrapText="1"/>
    </xf>
    <xf numFmtId="178" fontId="162" fillId="0" borderId="0" xfId="11" applyNumberFormat="1" applyFont="1" applyAlignment="1">
      <alignment horizontal="right" wrapText="1"/>
    </xf>
    <xf numFmtId="179" fontId="161" fillId="0" borderId="0" xfId="11" applyNumberFormat="1" applyFont="1" applyAlignment="1">
      <alignment horizontal="right" wrapText="1"/>
    </xf>
    <xf numFmtId="0" fontId="163" fillId="0" borderId="0" xfId="11" applyFont="1" applyAlignment="1">
      <alignment wrapText="1"/>
    </xf>
    <xf numFmtId="165" fontId="162" fillId="0" borderId="14" xfId="11" applyNumberFormat="1" applyFont="1" applyBorder="1" applyAlignment="1">
      <alignment horizontal="center" wrapText="1"/>
    </xf>
    <xf numFmtId="0" fontId="164" fillId="0" borderId="14" xfId="11" applyFont="1" applyBorder="1" applyAlignment="1">
      <alignment wrapText="1"/>
    </xf>
    <xf numFmtId="0" fontId="162" fillId="0" borderId="14" xfId="11" applyFont="1" applyBorder="1" applyAlignment="1">
      <alignment horizontal="center" wrapText="1"/>
    </xf>
    <xf numFmtId="178" fontId="162" fillId="0" borderId="14" xfId="11" applyNumberFormat="1" applyFont="1" applyBorder="1" applyAlignment="1">
      <alignment horizontal="right" wrapText="1"/>
    </xf>
    <xf numFmtId="178" fontId="161" fillId="0" borderId="0" xfId="11" applyNumberFormat="1" applyFont="1" applyAlignment="1">
      <alignment horizontal="right" wrapText="1"/>
    </xf>
    <xf numFmtId="0" fontId="161" fillId="0" borderId="0" xfId="11" applyFont="1" applyAlignment="1">
      <alignment wrapText="1"/>
    </xf>
    <xf numFmtId="165" fontId="162" fillId="0" borderId="22" xfId="11" applyNumberFormat="1" applyFont="1" applyBorder="1" applyAlignment="1">
      <alignment horizontal="center" wrapText="1"/>
    </xf>
    <xf numFmtId="0" fontId="161" fillId="0" borderId="22" xfId="11" applyFont="1" applyBorder="1"/>
    <xf numFmtId="0" fontId="162" fillId="0" borderId="22" xfId="11" applyFont="1" applyBorder="1" applyAlignment="1">
      <alignment horizontal="center" wrapText="1"/>
    </xf>
    <xf numFmtId="178" fontId="162" fillId="0" borderId="22" xfId="11" applyNumberFormat="1" applyFont="1" applyBorder="1" applyAlignment="1">
      <alignment horizontal="right" wrapText="1"/>
    </xf>
    <xf numFmtId="179" fontId="161" fillId="0" borderId="22" xfId="11" applyNumberFormat="1" applyFont="1" applyBorder="1" applyAlignment="1">
      <alignment horizontal="right" wrapText="1"/>
    </xf>
    <xf numFmtId="0" fontId="161" fillId="0" borderId="22" xfId="11" applyFont="1" applyBorder="1" applyAlignment="1">
      <alignment wrapText="1"/>
    </xf>
    <xf numFmtId="3" fontId="162" fillId="0" borderId="0" xfId="11" applyNumberFormat="1" applyFont="1" applyAlignment="1">
      <alignment horizontal="center" wrapText="1"/>
    </xf>
    <xf numFmtId="9" fontId="162" fillId="0" borderId="0" xfId="12" applyFont="1" applyAlignment="1">
      <alignment horizontal="center" wrapText="1"/>
    </xf>
    <xf numFmtId="9" fontId="161" fillId="0" borderId="0" xfId="12" applyFont="1" applyAlignment="1">
      <alignment wrapText="1"/>
    </xf>
    <xf numFmtId="9" fontId="162" fillId="0" borderId="0" xfId="12" applyFont="1" applyAlignment="1">
      <alignment horizontal="right" wrapText="1"/>
    </xf>
    <xf numFmtId="9" fontId="161" fillId="0" borderId="0" xfId="12" applyFont="1" applyAlignment="1">
      <alignment horizontal="right" wrapText="1"/>
    </xf>
    <xf numFmtId="165" fontId="161" fillId="0" borderId="0" xfId="11" applyNumberFormat="1" applyFont="1" applyAlignment="1">
      <alignment horizontal="center" wrapText="1"/>
    </xf>
    <xf numFmtId="0" fontId="161" fillId="0" borderId="0" xfId="11" applyFont="1"/>
    <xf numFmtId="178" fontId="161" fillId="0" borderId="0" xfId="13" applyNumberFormat="1" applyFont="1"/>
    <xf numFmtId="0" fontId="9" fillId="0" borderId="0" xfId="3" applyFont="1" applyProtection="1">
      <protection locked="0"/>
    </xf>
    <xf numFmtId="1" fontId="9" fillId="0" borderId="0" xfId="3" applyNumberFormat="1" applyFont="1" applyProtection="1">
      <protection locked="0"/>
    </xf>
    <xf numFmtId="0" fontId="9" fillId="0" borderId="0" xfId="3" applyFont="1"/>
    <xf numFmtId="0" fontId="16" fillId="0" borderId="0" xfId="3" applyFont="1" applyProtection="1">
      <protection locked="0"/>
    </xf>
    <xf numFmtId="0" fontId="17" fillId="0" borderId="0" xfId="3" applyFont="1" applyAlignment="1" applyProtection="1">
      <alignment horizontal="right"/>
      <protection locked="0"/>
    </xf>
    <xf numFmtId="0" fontId="9" fillId="0" borderId="1" xfId="3" applyFont="1" applyBorder="1"/>
    <xf numFmtId="0" fontId="15" fillId="0" borderId="0" xfId="3" applyFont="1" applyAlignment="1" applyProtection="1">
      <alignment horizontal="center"/>
      <protection locked="0"/>
    </xf>
    <xf numFmtId="0" fontId="15" fillId="0" borderId="0" xfId="3" applyFont="1" applyAlignment="1">
      <alignment horizontal="center"/>
    </xf>
    <xf numFmtId="0" fontId="15" fillId="0" borderId="23" xfId="3" applyFont="1" applyBorder="1" applyAlignment="1">
      <alignment horizontal="right"/>
    </xf>
    <xf numFmtId="0" fontId="15" fillId="0" borderId="22" xfId="3" applyFont="1" applyBorder="1" applyAlignment="1">
      <alignment horizontal="right"/>
    </xf>
    <xf numFmtId="0" fontId="9" fillId="0" borderId="24" xfId="3" applyFont="1" applyBorder="1" applyAlignment="1">
      <alignment horizontal="right"/>
    </xf>
    <xf numFmtId="1" fontId="17" fillId="0" borderId="3" xfId="6" applyFont="1" applyBorder="1" applyAlignment="1" applyProtection="1">
      <alignment horizontal="center"/>
      <protection locked="0"/>
    </xf>
    <xf numFmtId="0" fontId="3" fillId="0" borderId="3" xfId="0" applyFont="1" applyBorder="1" applyAlignment="1">
      <alignment horizontal="center"/>
    </xf>
    <xf numFmtId="1" fontId="9" fillId="0" borderId="0" xfId="6" applyFont="1" applyAlignment="1" applyProtection="1">
      <alignment horizontal="center"/>
      <protection locked="0"/>
    </xf>
    <xf numFmtId="1" fontId="16" fillId="0" borderId="0" xfId="6" applyFont="1" applyAlignment="1" applyProtection="1">
      <alignment horizontal="left"/>
      <protection locked="0"/>
    </xf>
    <xf numFmtId="4" fontId="17" fillId="3" borderId="18" xfId="3" applyNumberFormat="1" applyFont="1" applyFill="1" applyBorder="1" applyAlignment="1">
      <alignment horizontal="right"/>
    </xf>
    <xf numFmtId="4" fontId="17" fillId="3" borderId="16" xfId="3" applyNumberFormat="1" applyFont="1" applyFill="1" applyBorder="1" applyAlignment="1">
      <alignment horizontal="right"/>
    </xf>
    <xf numFmtId="2" fontId="17" fillId="0" borderId="0" xfId="6" applyNumberFormat="1" applyFont="1" applyProtection="1">
      <protection locked="0"/>
    </xf>
    <xf numFmtId="1" fontId="17" fillId="0" borderId="0" xfId="6" applyFont="1"/>
    <xf numFmtId="2" fontId="9" fillId="3" borderId="3" xfId="3" applyNumberFormat="1" applyFont="1" applyFill="1" applyBorder="1" applyAlignment="1">
      <alignment horizontal="center"/>
    </xf>
    <xf numFmtId="0" fontId="9" fillId="16" borderId="0" xfId="3" applyFont="1" applyFill="1"/>
    <xf numFmtId="2" fontId="15" fillId="3" borderId="3" xfId="3" applyNumberFormat="1" applyFont="1" applyFill="1" applyBorder="1" applyAlignment="1" applyProtection="1">
      <alignment horizontal="center"/>
      <protection locked="0"/>
    </xf>
    <xf numFmtId="4" fontId="15" fillId="3" borderId="3" xfId="3" applyNumberFormat="1" applyFont="1" applyFill="1" applyBorder="1" applyAlignment="1">
      <alignment horizontal="center"/>
    </xf>
    <xf numFmtId="2" fontId="17" fillId="3" borderId="3" xfId="3" applyNumberFormat="1" applyFont="1" applyFill="1" applyBorder="1" applyAlignment="1">
      <alignment horizontal="center"/>
    </xf>
    <xf numFmtId="2" fontId="9" fillId="0" borderId="20" xfId="3" applyNumberFormat="1" applyFont="1" applyBorder="1" applyAlignment="1">
      <alignment horizontal="right"/>
    </xf>
    <xf numFmtId="2" fontId="9" fillId="0" borderId="13" xfId="3" applyNumberFormat="1" applyFont="1" applyBorder="1" applyAlignment="1">
      <alignment horizontal="right"/>
    </xf>
    <xf numFmtId="2" fontId="9" fillId="2" borderId="21" xfId="3" applyNumberFormat="1" applyFont="1" applyFill="1" applyBorder="1" applyAlignment="1">
      <alignment horizontal="right"/>
    </xf>
    <xf numFmtId="2" fontId="9" fillId="0" borderId="0" xfId="3" applyNumberFormat="1" applyFont="1" applyProtection="1">
      <protection locked="0"/>
    </xf>
    <xf numFmtId="165" fontId="17" fillId="0" borderId="0" xfId="6" applyNumberFormat="1" applyFont="1" applyProtection="1">
      <protection locked="0"/>
    </xf>
    <xf numFmtId="1" fontId="9" fillId="0" borderId="0" xfId="6" applyFont="1" applyProtection="1">
      <protection locked="0"/>
    </xf>
    <xf numFmtId="2" fontId="9" fillId="0" borderId="0" xfId="6" applyNumberFormat="1" applyFont="1" applyProtection="1">
      <protection locked="0"/>
    </xf>
    <xf numFmtId="2" fontId="9" fillId="13" borderId="0" xfId="6" applyNumberFormat="1" applyFont="1" applyFill="1"/>
    <xf numFmtId="2" fontId="9" fillId="17" borderId="0" xfId="6" applyNumberFormat="1" applyFont="1" applyFill="1"/>
    <xf numFmtId="1" fontId="9" fillId="0" borderId="8" xfId="6" applyFont="1" applyBorder="1" applyAlignment="1" applyProtection="1">
      <alignment horizontal="right"/>
      <protection locked="0"/>
    </xf>
    <xf numFmtId="2" fontId="9" fillId="0" borderId="9" xfId="6" applyNumberFormat="1" applyFont="1" applyBorder="1" applyAlignment="1" applyProtection="1">
      <alignment horizontal="left"/>
      <protection locked="0"/>
    </xf>
    <xf numFmtId="1" fontId="9" fillId="0" borderId="1" xfId="6" applyFont="1" applyBorder="1" applyProtection="1">
      <protection locked="0"/>
    </xf>
    <xf numFmtId="1" fontId="17" fillId="0" borderId="1" xfId="6" applyFont="1" applyBorder="1" applyProtection="1">
      <protection locked="0"/>
    </xf>
    <xf numFmtId="2" fontId="9" fillId="0" borderId="1" xfId="6" applyNumberFormat="1" applyFont="1" applyBorder="1" applyProtection="1">
      <protection locked="0"/>
    </xf>
    <xf numFmtId="1" fontId="9" fillId="0" borderId="1" xfId="6" applyFont="1" applyBorder="1"/>
    <xf numFmtId="165" fontId="9" fillId="0" borderId="1" xfId="6" applyNumberFormat="1" applyFont="1" applyBorder="1" applyProtection="1">
      <protection locked="0"/>
    </xf>
    <xf numFmtId="2" fontId="9" fillId="13" borderId="15" xfId="6" applyNumberFormat="1" applyFont="1" applyFill="1" applyBorder="1"/>
    <xf numFmtId="1" fontId="9" fillId="0" borderId="0" xfId="3" applyNumberFormat="1" applyFont="1"/>
    <xf numFmtId="2" fontId="9" fillId="0" borderId="10" xfId="6" applyNumberFormat="1" applyFont="1" applyBorder="1" applyAlignment="1" applyProtection="1">
      <alignment horizontal="center"/>
      <protection locked="0"/>
    </xf>
    <xf numFmtId="1" fontId="17" fillId="0" borderId="0" xfId="6" applyFont="1" applyAlignment="1" applyProtection="1">
      <alignment horizontal="left"/>
      <protection locked="0"/>
    </xf>
    <xf numFmtId="170" fontId="15" fillId="0" borderId="0" xfId="3" applyNumberFormat="1" applyFont="1"/>
    <xf numFmtId="4" fontId="9" fillId="7" borderId="0" xfId="3" applyNumberFormat="1" applyFont="1" applyFill="1"/>
    <xf numFmtId="0" fontId="165" fillId="0" borderId="0" xfId="3" applyFont="1" applyProtection="1">
      <protection locked="0"/>
    </xf>
    <xf numFmtId="0" fontId="17" fillId="0" borderId="11" xfId="3" applyFont="1" applyBorder="1" applyAlignment="1" applyProtection="1">
      <alignment horizontal="center"/>
      <protection locked="0"/>
    </xf>
    <xf numFmtId="0" fontId="17" fillId="0" borderId="0" xfId="3" applyFont="1" applyAlignment="1">
      <alignment horizontal="right"/>
    </xf>
    <xf numFmtId="165" fontId="9" fillId="0" borderId="0" xfId="6" applyNumberFormat="1" applyFont="1" applyProtection="1">
      <protection locked="0"/>
    </xf>
    <xf numFmtId="0" fontId="9" fillId="0" borderId="1" xfId="3" applyFont="1" applyBorder="1" applyProtection="1">
      <protection locked="0"/>
    </xf>
    <xf numFmtId="2" fontId="9" fillId="0" borderId="1" xfId="3" applyNumberFormat="1" applyFont="1" applyBorder="1"/>
    <xf numFmtId="0" fontId="165" fillId="0" borderId="1" xfId="3" applyFont="1" applyBorder="1" applyProtection="1">
      <protection locked="0"/>
    </xf>
    <xf numFmtId="0" fontId="0" fillId="0" borderId="0" xfId="0" applyAlignment="1">
      <alignment vertical="top" wrapText="1"/>
    </xf>
    <xf numFmtId="43" fontId="17" fillId="2" borderId="15" xfId="1" applyFont="1" applyFill="1" applyBorder="1"/>
    <xf numFmtId="2" fontId="15" fillId="2" borderId="0" xfId="3" applyNumberFormat="1" applyFont="1" applyFill="1" applyAlignment="1" applyProtection="1">
      <alignment horizontal="center"/>
      <protection locked="0"/>
    </xf>
    <xf numFmtId="0" fontId="166" fillId="0" borderId="0" xfId="3" applyFont="1" applyAlignment="1">
      <alignment horizontal="right"/>
    </xf>
    <xf numFmtId="4" fontId="9" fillId="13" borderId="0" xfId="6" applyNumberFormat="1" applyFont="1" applyFill="1" applyAlignment="1">
      <alignment horizontal="right"/>
    </xf>
    <xf numFmtId="2" fontId="9" fillId="0" borderId="0" xfId="6" applyNumberFormat="1" applyFont="1" applyAlignment="1">
      <alignment horizontal="right"/>
    </xf>
    <xf numFmtId="4" fontId="9" fillId="13" borderId="0" xfId="6" applyNumberFormat="1" applyFont="1" applyFill="1" applyAlignment="1" applyProtection="1">
      <alignment horizontal="right"/>
      <protection locked="0"/>
    </xf>
    <xf numFmtId="4" fontId="9" fillId="4" borderId="0" xfId="3" applyNumberFormat="1" applyFont="1" applyFill="1" applyAlignment="1">
      <alignment horizontal="right"/>
    </xf>
    <xf numFmtId="2" fontId="9" fillId="0" borderId="0" xfId="3" applyNumberFormat="1" applyFont="1" applyAlignment="1">
      <alignment horizontal="right"/>
    </xf>
    <xf numFmtId="0" fontId="9" fillId="0" borderId="0" xfId="3" applyFont="1" applyAlignment="1" applyProtection="1">
      <alignment horizontal="right"/>
      <protection locked="0"/>
    </xf>
    <xf numFmtId="4" fontId="9" fillId="4" borderId="0" xfId="3" applyNumberFormat="1" applyFont="1" applyFill="1" applyAlignment="1" applyProtection="1">
      <alignment horizontal="right"/>
      <protection locked="0"/>
    </xf>
    <xf numFmtId="4" fontId="9" fillId="5" borderId="0" xfId="3" applyNumberFormat="1" applyFont="1" applyFill="1" applyAlignment="1">
      <alignment horizontal="right"/>
    </xf>
    <xf numFmtId="1" fontId="9" fillId="0" borderId="0" xfId="6" applyFont="1"/>
    <xf numFmtId="4" fontId="9" fillId="5" borderId="0" xfId="3" applyNumberFormat="1" applyFont="1" applyFill="1" applyAlignment="1" applyProtection="1">
      <alignment horizontal="right"/>
      <protection locked="0"/>
    </xf>
    <xf numFmtId="4" fontId="9" fillId="6" borderId="0" xfId="3" applyNumberFormat="1" applyFont="1" applyFill="1" applyAlignment="1">
      <alignment horizontal="right"/>
    </xf>
    <xf numFmtId="4" fontId="9" fillId="6" borderId="0" xfId="3" applyNumberFormat="1" applyFont="1" applyFill="1" applyAlignment="1" applyProtection="1">
      <alignment horizontal="right"/>
      <protection locked="0"/>
    </xf>
    <xf numFmtId="4" fontId="9" fillId="2" borderId="0" xfId="3" applyNumberFormat="1" applyFont="1" applyFill="1" applyAlignment="1">
      <alignment horizontal="right"/>
    </xf>
    <xf numFmtId="4" fontId="9" fillId="2" borderId="0" xfId="3" applyNumberFormat="1" applyFont="1" applyFill="1" applyAlignment="1" applyProtection="1">
      <alignment horizontal="right"/>
      <protection locked="0"/>
    </xf>
    <xf numFmtId="4" fontId="9" fillId="7" borderId="0" xfId="3" applyNumberFormat="1" applyFont="1" applyFill="1" applyAlignment="1">
      <alignment horizontal="right"/>
    </xf>
    <xf numFmtId="4" fontId="9" fillId="7" borderId="0" xfId="3" applyNumberFormat="1" applyFont="1" applyFill="1" applyAlignment="1" applyProtection="1">
      <alignment horizontal="right"/>
      <protection locked="0"/>
    </xf>
    <xf numFmtId="4" fontId="9" fillId="8" borderId="0" xfId="3" applyNumberFormat="1" applyFont="1" applyFill="1" applyAlignment="1">
      <alignment horizontal="right"/>
    </xf>
    <xf numFmtId="4" fontId="9" fillId="8" borderId="0" xfId="3" applyNumberFormat="1" applyFont="1" applyFill="1" applyProtection="1">
      <protection locked="0"/>
    </xf>
    <xf numFmtId="4" fontId="9" fillId="9" borderId="0" xfId="3" applyNumberFormat="1" applyFont="1" applyFill="1" applyAlignment="1">
      <alignment horizontal="right"/>
    </xf>
    <xf numFmtId="4" fontId="9" fillId="9" borderId="0" xfId="3" applyNumberFormat="1" applyFont="1" applyFill="1" applyProtection="1">
      <protection locked="0"/>
    </xf>
    <xf numFmtId="4" fontId="9" fillId="10" borderId="0" xfId="3" applyNumberFormat="1" applyFont="1" applyFill="1" applyAlignment="1">
      <alignment horizontal="right"/>
    </xf>
    <xf numFmtId="4" fontId="9" fillId="10" borderId="0" xfId="3" applyNumberFormat="1" applyFont="1" applyFill="1" applyProtection="1">
      <protection locked="0"/>
    </xf>
    <xf numFmtId="4" fontId="9" fillId="11" borderId="13" xfId="3" applyNumberFormat="1" applyFont="1" applyFill="1" applyBorder="1" applyAlignment="1">
      <alignment horizontal="right"/>
    </xf>
    <xf numFmtId="4" fontId="9" fillId="11" borderId="0" xfId="3" applyNumberFormat="1" applyFont="1" applyFill="1" applyProtection="1">
      <protection locked="0"/>
    </xf>
    <xf numFmtId="0" fontId="17" fillId="0" borderId="1" xfId="3" applyFont="1" applyBorder="1" applyAlignment="1">
      <alignment horizontal="left"/>
    </xf>
    <xf numFmtId="0" fontId="167" fillId="0" borderId="1" xfId="3" applyFont="1" applyBorder="1" applyAlignment="1">
      <alignment horizontal="right"/>
    </xf>
    <xf numFmtId="0" fontId="5" fillId="0" borderId="1" xfId="3" applyFont="1" applyBorder="1"/>
    <xf numFmtId="0" fontId="17" fillId="0" borderId="1" xfId="3" applyFont="1" applyBorder="1" applyAlignment="1">
      <alignment horizontal="right"/>
    </xf>
    <xf numFmtId="4" fontId="17" fillId="2" borderId="1" xfId="3" applyNumberFormat="1" applyFont="1" applyFill="1" applyBorder="1" applyAlignment="1">
      <alignment horizontal="right"/>
    </xf>
    <xf numFmtId="1" fontId="17" fillId="2" borderId="1" xfId="6" applyFont="1" applyFill="1" applyBorder="1" applyProtection="1">
      <protection locked="0"/>
    </xf>
    <xf numFmtId="2" fontId="17" fillId="2" borderId="1" xfId="6" applyNumberFormat="1" applyFont="1" applyFill="1" applyBorder="1" applyProtection="1">
      <protection locked="0"/>
    </xf>
    <xf numFmtId="1" fontId="17" fillId="2" borderId="1" xfId="6" applyFont="1" applyFill="1" applyBorder="1"/>
    <xf numFmtId="2" fontId="17" fillId="2" borderId="1" xfId="3" applyNumberFormat="1" applyFont="1" applyFill="1" applyBorder="1"/>
    <xf numFmtId="0" fontId="168" fillId="2" borderId="1" xfId="3" applyFont="1" applyFill="1" applyBorder="1" applyProtection="1">
      <protection locked="0"/>
    </xf>
    <xf numFmtId="43" fontId="17" fillId="0" borderId="1" xfId="1" applyFont="1" applyFill="1" applyBorder="1"/>
    <xf numFmtId="0" fontId="167" fillId="0" borderId="0" xfId="3" applyFont="1" applyAlignment="1">
      <alignment horizontal="right"/>
    </xf>
    <xf numFmtId="0" fontId="5" fillId="0" borderId="0" xfId="3" applyFont="1" applyAlignment="1">
      <alignment horizontal="right"/>
    </xf>
    <xf numFmtId="2" fontId="17" fillId="0" borderId="0" xfId="3" applyNumberFormat="1" applyFont="1"/>
    <xf numFmtId="2" fontId="17" fillId="0" borderId="0" xfId="6" applyNumberFormat="1" applyFont="1"/>
    <xf numFmtId="2" fontId="168" fillId="0" borderId="0" xfId="3" applyNumberFormat="1" applyFont="1" applyProtection="1">
      <protection locked="0"/>
    </xf>
    <xf numFmtId="43" fontId="20" fillId="0" borderId="44" xfId="3" applyNumberFormat="1" applyFont="1" applyBorder="1"/>
    <xf numFmtId="0" fontId="17" fillId="12" borderId="0" xfId="3" applyFont="1" applyFill="1" applyAlignment="1" applyProtection="1">
      <alignment horizontal="left"/>
      <protection locked="0"/>
    </xf>
    <xf numFmtId="0" fontId="17" fillId="12" borderId="0" xfId="3" applyFont="1" applyFill="1" applyAlignment="1" applyProtection="1">
      <alignment horizontal="center"/>
      <protection locked="0"/>
    </xf>
    <xf numFmtId="2" fontId="9" fillId="0" borderId="0" xfId="3" applyNumberFormat="1" applyFont="1"/>
    <xf numFmtId="2" fontId="9" fillId="0" borderId="12" xfId="3" applyNumberFormat="1" applyFont="1" applyBorder="1"/>
    <xf numFmtId="2" fontId="9" fillId="0" borderId="12" xfId="3" applyNumberFormat="1" applyFont="1" applyBorder="1" applyProtection="1">
      <protection locked="0"/>
    </xf>
    <xf numFmtId="0" fontId="20" fillId="12" borderId="0" xfId="3" applyFont="1" applyFill="1" applyProtection="1">
      <protection locked="0"/>
    </xf>
    <xf numFmtId="2" fontId="9" fillId="2" borderId="0" xfId="3" applyNumberFormat="1" applyFont="1" applyFill="1" applyAlignment="1" applyProtection="1">
      <alignment horizontal="center"/>
      <protection locked="0"/>
    </xf>
    <xf numFmtId="4" fontId="9" fillId="13" borderId="12" xfId="6" applyNumberFormat="1" applyFont="1" applyFill="1" applyBorder="1" applyAlignment="1">
      <alignment horizontal="right"/>
    </xf>
    <xf numFmtId="2" fontId="9" fillId="13" borderId="12" xfId="6" applyNumberFormat="1" applyFont="1" applyFill="1" applyBorder="1"/>
    <xf numFmtId="2" fontId="9" fillId="0" borderId="12" xfId="6" applyNumberFormat="1" applyFont="1" applyBorder="1" applyProtection="1">
      <protection locked="0"/>
    </xf>
    <xf numFmtId="0" fontId="9" fillId="2" borderId="0" xfId="3" applyFont="1" applyFill="1" applyAlignment="1" applyProtection="1">
      <alignment horizontal="center"/>
      <protection locked="0"/>
    </xf>
    <xf numFmtId="1" fontId="3" fillId="0" borderId="0" xfId="6" applyFont="1" applyProtection="1">
      <protection locked="0"/>
    </xf>
    <xf numFmtId="1" fontId="17" fillId="0" borderId="0" xfId="6" applyFont="1" applyAlignment="1" applyProtection="1">
      <alignment horizontal="right"/>
      <protection locked="0"/>
    </xf>
    <xf numFmtId="4" fontId="9" fillId="7" borderId="12" xfId="3" applyNumberFormat="1" applyFont="1" applyFill="1" applyBorder="1"/>
    <xf numFmtId="2" fontId="9" fillId="7" borderId="12" xfId="3" applyNumberFormat="1" applyFont="1" applyFill="1" applyBorder="1"/>
    <xf numFmtId="2" fontId="165" fillId="0" borderId="12" xfId="3" applyNumberFormat="1" applyFont="1" applyBorder="1" applyProtection="1">
      <protection locked="0"/>
    </xf>
    <xf numFmtId="0" fontId="169" fillId="12" borderId="0" xfId="3" applyFont="1" applyFill="1" applyProtection="1">
      <protection locked="0"/>
    </xf>
    <xf numFmtId="4" fontId="9" fillId="6" borderId="12" xfId="3" applyNumberFormat="1" applyFont="1" applyFill="1" applyBorder="1"/>
    <xf numFmtId="2" fontId="9" fillId="6" borderId="12" xfId="3" applyNumberFormat="1" applyFont="1" applyFill="1" applyBorder="1"/>
    <xf numFmtId="2" fontId="17" fillId="0" borderId="1" xfId="3" applyNumberFormat="1" applyFont="1" applyBorder="1" applyAlignment="1">
      <alignment horizontal="right"/>
    </xf>
    <xf numFmtId="2" fontId="9" fillId="0" borderId="1" xfId="3" applyNumberFormat="1" applyFont="1" applyBorder="1" applyProtection="1">
      <protection locked="0"/>
    </xf>
    <xf numFmtId="2" fontId="17" fillId="0" borderId="1" xfId="3" applyNumberFormat="1" applyFont="1" applyBorder="1" applyAlignment="1" applyProtection="1">
      <alignment horizontal="right"/>
      <protection locked="0"/>
    </xf>
    <xf numFmtId="0" fontId="9" fillId="20" borderId="0" xfId="3" applyFont="1" applyFill="1" applyProtection="1">
      <protection locked="0"/>
    </xf>
    <xf numFmtId="0" fontId="6" fillId="20" borderId="0" xfId="3" applyFill="1"/>
    <xf numFmtId="1" fontId="9" fillId="20" borderId="0" xfId="3" applyNumberFormat="1" applyFont="1" applyFill="1" applyProtection="1">
      <protection locked="0"/>
    </xf>
    <xf numFmtId="0" fontId="16" fillId="20" borderId="0" xfId="3" applyFont="1" applyFill="1" applyProtection="1">
      <protection locked="0"/>
    </xf>
    <xf numFmtId="0" fontId="17" fillId="20" borderId="0" xfId="3" applyFont="1" applyFill="1" applyAlignment="1" applyProtection="1">
      <alignment horizontal="right"/>
      <protection locked="0"/>
    </xf>
    <xf numFmtId="0" fontId="9" fillId="20" borderId="1" xfId="3" applyFont="1" applyFill="1" applyBorder="1"/>
    <xf numFmtId="1" fontId="6" fillId="20" borderId="0" xfId="3" applyNumberFormat="1" applyFill="1"/>
    <xf numFmtId="1" fontId="16" fillId="20" borderId="0" xfId="6" applyFont="1" applyFill="1" applyAlignment="1" applyProtection="1">
      <alignment horizontal="left"/>
      <protection locked="0"/>
    </xf>
    <xf numFmtId="0" fontId="16" fillId="0" borderId="0" xfId="3" applyFont="1" applyAlignment="1" applyProtection="1">
      <alignment horizontal="centerContinuous" vertical="top" wrapText="1"/>
      <protection locked="0"/>
    </xf>
    <xf numFmtId="0" fontId="9" fillId="0" borderId="13" xfId="0" applyFont="1" applyBorder="1" applyAlignment="1">
      <alignment horizontal="right"/>
    </xf>
    <xf numFmtId="49" fontId="172" fillId="0" borderId="14" xfId="0" applyNumberFormat="1" applyFont="1" applyBorder="1" applyAlignment="1">
      <alignment horizontal="left"/>
    </xf>
    <xf numFmtId="0" fontId="5" fillId="0" borderId="13" xfId="0" applyFont="1" applyBorder="1"/>
    <xf numFmtId="0" fontId="17" fillId="0" borderId="13" xfId="0" applyFont="1" applyBorder="1" applyAlignment="1">
      <alignment horizontal="right"/>
    </xf>
    <xf numFmtId="1" fontId="0" fillId="0" borderId="13" xfId="0" applyNumberFormat="1" applyBorder="1"/>
    <xf numFmtId="0" fontId="3" fillId="0" borderId="13" xfId="0" applyFont="1" applyBorder="1"/>
    <xf numFmtId="2" fontId="3" fillId="2" borderId="14" xfId="0" applyNumberFormat="1" applyFont="1" applyFill="1" applyBorder="1" applyAlignment="1">
      <alignment horizontal="right"/>
    </xf>
    <xf numFmtId="165" fontId="3" fillId="2" borderId="14" xfId="0" applyNumberFormat="1" applyFont="1" applyFill="1" applyBorder="1"/>
    <xf numFmtId="0" fontId="9" fillId="0" borderId="0" xfId="0" applyFont="1"/>
    <xf numFmtId="0" fontId="9" fillId="0" borderId="0" xfId="0" applyFont="1" applyAlignment="1">
      <alignment horizontal="right"/>
    </xf>
    <xf numFmtId="0" fontId="138" fillId="0" borderId="0" xfId="0" applyFont="1" applyAlignment="1">
      <alignment horizontal="left"/>
    </xf>
    <xf numFmtId="0" fontId="3" fillId="0" borderId="0" xfId="0" applyFont="1" applyAlignment="1">
      <alignment horizontal="center"/>
    </xf>
    <xf numFmtId="2" fontId="6" fillId="0" borderId="0" xfId="0" applyNumberFormat="1" applyFont="1"/>
    <xf numFmtId="165" fontId="0" fillId="0" borderId="0" xfId="0" applyNumberFormat="1"/>
    <xf numFmtId="0" fontId="6" fillId="0" borderId="0" xfId="0" applyFont="1"/>
    <xf numFmtId="0" fontId="9" fillId="0" borderId="1" xfId="0" applyFont="1" applyBorder="1" applyAlignment="1">
      <alignment horizontal="right"/>
    </xf>
    <xf numFmtId="0" fontId="23" fillId="0" borderId="1" xfId="0" applyFont="1" applyBorder="1" applyAlignment="1">
      <alignment horizontal="left"/>
    </xf>
    <xf numFmtId="0" fontId="9" fillId="0" borderId="1" xfId="0" applyFont="1" applyBorder="1"/>
    <xf numFmtId="0" fontId="0" fillId="0" borderId="1" xfId="0" applyBorder="1"/>
    <xf numFmtId="0" fontId="3" fillId="0" borderId="1" xfId="0" applyFont="1" applyBorder="1" applyAlignment="1">
      <alignment horizontal="center"/>
    </xf>
    <xf numFmtId="1" fontId="0" fillId="0" borderId="1" xfId="0" applyNumberFormat="1" applyBorder="1"/>
    <xf numFmtId="2" fontId="6" fillId="0" borderId="1" xfId="0" applyNumberFormat="1" applyFont="1" applyBorder="1"/>
    <xf numFmtId="165" fontId="0" fillId="0" borderId="1" xfId="0" applyNumberFormat="1" applyBorder="1"/>
    <xf numFmtId="0" fontId="24" fillId="0" borderId="0" xfId="0" applyFont="1"/>
    <xf numFmtId="0" fontId="3" fillId="0" borderId="0" xfId="0" applyFont="1" applyAlignment="1">
      <alignment horizontal="left"/>
    </xf>
    <xf numFmtId="0" fontId="25" fillId="0" borderId="0" xfId="0" applyFont="1" applyAlignment="1">
      <alignment horizontal="center"/>
    </xf>
    <xf numFmtId="0" fontId="24" fillId="0" borderId="1" xfId="0" applyFont="1" applyBorder="1"/>
    <xf numFmtId="0" fontId="3" fillId="0" borderId="15" xfId="0" applyFont="1" applyBorder="1" applyAlignment="1">
      <alignment horizontal="left"/>
    </xf>
    <xf numFmtId="0" fontId="26" fillId="0" borderId="15" xfId="0" applyFont="1" applyBorder="1" applyAlignment="1">
      <alignment horizontal="center"/>
    </xf>
    <xf numFmtId="0" fontId="0" fillId="0" borderId="15" xfId="0" applyBorder="1"/>
    <xf numFmtId="1" fontId="0" fillId="0" borderId="15" xfId="0" applyNumberFormat="1" applyBorder="1"/>
    <xf numFmtId="2" fontId="6" fillId="0" borderId="15" xfId="0" applyNumberFormat="1" applyFont="1" applyBorder="1" applyAlignment="1">
      <alignment horizontal="right"/>
    </xf>
    <xf numFmtId="165" fontId="0" fillId="0" borderId="15" xfId="0" applyNumberFormat="1" applyBorder="1"/>
    <xf numFmtId="4" fontId="0" fillId="0" borderId="0" xfId="0" applyNumberFormat="1" applyProtection="1">
      <protection locked="0"/>
    </xf>
    <xf numFmtId="0" fontId="16" fillId="0" borderId="0" xfId="0" applyFont="1"/>
    <xf numFmtId="2" fontId="9" fillId="14" borderId="3" xfId="3" applyNumberFormat="1" applyFont="1" applyFill="1" applyBorder="1"/>
    <xf numFmtId="1" fontId="58" fillId="0" borderId="0" xfId="0" applyNumberFormat="1" applyFont="1"/>
    <xf numFmtId="0" fontId="1" fillId="0" borderId="0" xfId="11" applyFont="1" applyAlignment="1">
      <alignment horizontal="left" vertical="top" wrapText="1"/>
    </xf>
    <xf numFmtId="0" fontId="174" fillId="0" borderId="0" xfId="0" applyFont="1"/>
    <xf numFmtId="0" fontId="174" fillId="16" borderId="0" xfId="0" applyFont="1" applyFill="1"/>
    <xf numFmtId="0" fontId="174" fillId="16" borderId="0" xfId="0" applyFont="1" applyFill="1" applyAlignment="1">
      <alignment horizontal="center"/>
    </xf>
    <xf numFmtId="0" fontId="175" fillId="16" borderId="0" xfId="0" applyFont="1" applyFill="1" applyAlignment="1">
      <alignment horizontal="center"/>
    </xf>
    <xf numFmtId="169" fontId="174" fillId="0" borderId="0" xfId="0" applyNumberFormat="1" applyFont="1"/>
    <xf numFmtId="2" fontId="174" fillId="0" borderId="0" xfId="0" applyNumberFormat="1" applyFont="1"/>
    <xf numFmtId="2" fontId="174" fillId="3" borderId="0" xfId="0" applyNumberFormat="1" applyFont="1" applyFill="1"/>
    <xf numFmtId="2" fontId="174" fillId="17" borderId="0" xfId="0" applyNumberFormat="1" applyFont="1" applyFill="1"/>
    <xf numFmtId="0" fontId="174" fillId="0" borderId="0" xfId="0" applyFont="1" applyAlignment="1">
      <alignment horizontal="centerContinuous" wrapText="1"/>
    </xf>
    <xf numFmtId="0" fontId="1" fillId="0" borderId="0" xfId="14"/>
    <xf numFmtId="0" fontId="1" fillId="0" borderId="47" xfId="14" applyBorder="1"/>
    <xf numFmtId="0" fontId="1" fillId="0" borderId="48" xfId="14" applyBorder="1"/>
    <xf numFmtId="0" fontId="1" fillId="0" borderId="49" xfId="14" applyBorder="1"/>
    <xf numFmtId="0" fontId="1" fillId="0" borderId="53" xfId="14" applyBorder="1"/>
    <xf numFmtId="0" fontId="1" fillId="0" borderId="25" xfId="14" applyBorder="1"/>
    <xf numFmtId="0" fontId="1" fillId="0" borderId="25" xfId="14" applyBorder="1" applyAlignment="1">
      <alignment horizontal="center"/>
    </xf>
    <xf numFmtId="0" fontId="177" fillId="0" borderId="25" xfId="14" applyFont="1" applyBorder="1"/>
    <xf numFmtId="0" fontId="1" fillId="0" borderId="54" xfId="14" applyBorder="1"/>
    <xf numFmtId="0" fontId="173" fillId="0" borderId="53" xfId="14" applyFont="1" applyBorder="1" applyAlignment="1">
      <alignment horizontal="center"/>
    </xf>
    <xf numFmtId="0" fontId="173" fillId="0" borderId="25" xfId="14" applyFont="1" applyBorder="1" applyAlignment="1">
      <alignment horizontal="center"/>
    </xf>
    <xf numFmtId="0" fontId="177" fillId="0" borderId="25" xfId="14" applyFont="1" applyBorder="1" applyAlignment="1">
      <alignment horizontal="center"/>
    </xf>
    <xf numFmtId="0" fontId="173" fillId="0" borderId="54" xfId="14" applyFont="1" applyBorder="1" applyAlignment="1">
      <alignment horizontal="center"/>
    </xf>
    <xf numFmtId="0" fontId="1" fillId="0" borderId="53" xfId="14" applyBorder="1" applyAlignment="1">
      <alignment horizontal="center"/>
    </xf>
    <xf numFmtId="0" fontId="1" fillId="0" borderId="25" xfId="14" applyBorder="1" applyAlignment="1">
      <alignment horizontal="right"/>
    </xf>
    <xf numFmtId="165" fontId="178" fillId="0" borderId="25" xfId="14" applyNumberFormat="1" applyFont="1" applyBorder="1"/>
    <xf numFmtId="2" fontId="1" fillId="0" borderId="54" xfId="14" applyNumberFormat="1" applyBorder="1"/>
    <xf numFmtId="0" fontId="1" fillId="0" borderId="38" xfId="14" applyBorder="1" applyAlignment="1">
      <alignment horizontal="center"/>
    </xf>
    <xf numFmtId="0" fontId="1" fillId="0" borderId="55" xfId="14" applyBorder="1"/>
    <xf numFmtId="0" fontId="1" fillId="0" borderId="56" xfId="14" applyBorder="1"/>
    <xf numFmtId="2" fontId="173" fillId="0" borderId="43" xfId="14" applyNumberFormat="1" applyFont="1" applyBorder="1"/>
    <xf numFmtId="2" fontId="1" fillId="0" borderId="0" xfId="14" applyNumberFormat="1"/>
    <xf numFmtId="0" fontId="173" fillId="0" borderId="0" xfId="14" applyFont="1" applyAlignment="1">
      <alignment horizontal="center"/>
    </xf>
    <xf numFmtId="0" fontId="1" fillId="0" borderId="0" xfId="14" applyAlignment="1">
      <alignment horizontal="right"/>
    </xf>
    <xf numFmtId="2" fontId="173" fillId="19" borderId="0" xfId="14" applyNumberFormat="1" applyFont="1" applyFill="1"/>
    <xf numFmtId="0" fontId="173" fillId="19" borderId="0" xfId="14" applyFont="1" applyFill="1"/>
    <xf numFmtId="0" fontId="173" fillId="0" borderId="0" xfId="14" applyFont="1" applyAlignment="1">
      <alignment horizontal="right"/>
    </xf>
    <xf numFmtId="0" fontId="173" fillId="0" borderId="0" xfId="14" applyFont="1"/>
    <xf numFmtId="2" fontId="173" fillId="0" borderId="0" xfId="14" applyNumberFormat="1" applyFont="1"/>
    <xf numFmtId="2" fontId="179" fillId="0" borderId="0" xfId="14" applyNumberFormat="1" applyFont="1"/>
    <xf numFmtId="0" fontId="178" fillId="0" borderId="0" xfId="14" applyFont="1" applyAlignment="1">
      <alignment horizontal="right"/>
    </xf>
    <xf numFmtId="0" fontId="178" fillId="0" borderId="0" xfId="14" applyFont="1"/>
    <xf numFmtId="2" fontId="17" fillId="0" borderId="0" xfId="15" applyNumberFormat="1" applyFont="1" applyProtection="1">
      <protection locked="0"/>
    </xf>
    <xf numFmtId="1" fontId="17" fillId="0" borderId="0" xfId="15" applyFont="1" applyProtection="1">
      <protection locked="0"/>
    </xf>
    <xf numFmtId="1" fontId="17" fillId="2" borderId="0" xfId="15" applyFont="1" applyFill="1" applyProtection="1">
      <protection locked="0"/>
    </xf>
    <xf numFmtId="17" fontId="17" fillId="2" borderId="0" xfId="15" applyNumberFormat="1" applyFont="1" applyFill="1" applyProtection="1">
      <protection locked="0"/>
    </xf>
    <xf numFmtId="1" fontId="17" fillId="0" borderId="0" xfId="15" applyFont="1" applyAlignment="1" applyProtection="1">
      <alignment horizontal="center"/>
      <protection locked="0"/>
    </xf>
    <xf numFmtId="2" fontId="58" fillId="0" borderId="0" xfId="15" applyNumberFormat="1" applyFont="1"/>
    <xf numFmtId="2" fontId="9" fillId="3" borderId="0" xfId="15" applyNumberFormat="1" applyFont="1" applyFill="1"/>
    <xf numFmtId="2" fontId="9" fillId="3" borderId="0" xfId="6" applyNumberFormat="1" applyFont="1" applyFill="1"/>
    <xf numFmtId="1" fontId="9" fillId="0" borderId="0" xfId="15" applyFont="1" applyProtection="1">
      <protection locked="0"/>
    </xf>
    <xf numFmtId="1" fontId="9" fillId="0" borderId="0" xfId="15" applyFont="1" applyAlignment="1" applyProtection="1">
      <alignment horizontal="right"/>
      <protection locked="0"/>
    </xf>
    <xf numFmtId="2" fontId="9" fillId="0" borderId="0" xfId="15" applyNumberFormat="1" applyFont="1" applyProtection="1">
      <protection locked="0"/>
    </xf>
    <xf numFmtId="1" fontId="58" fillId="0" borderId="0" xfId="15" applyFont="1" applyProtection="1">
      <protection locked="0"/>
    </xf>
    <xf numFmtId="1" fontId="9" fillId="2" borderId="0" xfId="15" applyFont="1" applyFill="1" applyProtection="1">
      <protection locked="0"/>
    </xf>
    <xf numFmtId="17" fontId="9" fillId="2" borderId="0" xfId="15" applyNumberFormat="1" applyFont="1" applyFill="1" applyProtection="1">
      <protection locked="0"/>
    </xf>
    <xf numFmtId="1" fontId="9" fillId="0" borderId="0" xfId="15" applyFont="1" applyAlignment="1" applyProtection="1">
      <alignment horizontal="center"/>
      <protection locked="0"/>
    </xf>
    <xf numFmtId="2" fontId="58" fillId="3" borderId="0" xfId="15" applyNumberFormat="1" applyFont="1" applyFill="1"/>
    <xf numFmtId="0" fontId="9" fillId="0" borderId="0" xfId="0" applyFont="1" applyProtection="1">
      <protection locked="0"/>
    </xf>
    <xf numFmtId="2" fontId="9" fillId="2" borderId="0" xfId="3" applyNumberFormat="1" applyFont="1" applyFill="1" applyAlignment="1" applyProtection="1">
      <alignment vertical="top"/>
      <protection locked="0"/>
    </xf>
    <xf numFmtId="2" fontId="17" fillId="3" borderId="0" xfId="3" applyNumberFormat="1" applyFont="1" applyFill="1" applyAlignment="1" applyProtection="1">
      <alignment vertical="top"/>
      <protection locked="0"/>
    </xf>
    <xf numFmtId="2" fontId="58" fillId="15" borderId="1" xfId="6" applyNumberFormat="1" applyFont="1" applyFill="1" applyBorder="1" applyAlignment="1">
      <alignment horizontal="right" vertical="top"/>
    </xf>
    <xf numFmtId="2" fontId="9" fillId="0" borderId="0" xfId="6" applyNumberFormat="1" applyFont="1" applyAlignment="1" applyProtection="1">
      <alignment horizontal="right" vertical="top"/>
      <protection locked="0"/>
    </xf>
    <xf numFmtId="1" fontId="15" fillId="0" borderId="1" xfId="6" applyFont="1" applyBorder="1" applyAlignment="1" applyProtection="1">
      <alignment horizontal="right"/>
      <protection locked="0"/>
    </xf>
    <xf numFmtId="1" fontId="17" fillId="0" borderId="0" xfId="6" applyFont="1" applyAlignment="1">
      <alignment horizontal="center"/>
    </xf>
    <xf numFmtId="0" fontId="15" fillId="0" borderId="0" xfId="0" applyFont="1"/>
    <xf numFmtId="0" fontId="17" fillId="0" borderId="3" xfId="0" applyFont="1" applyBorder="1" applyAlignment="1">
      <alignment horizontal="center"/>
    </xf>
    <xf numFmtId="0" fontId="180" fillId="0" borderId="3" xfId="0" applyFont="1" applyBorder="1" applyAlignment="1">
      <alignment horizontal="center"/>
    </xf>
    <xf numFmtId="4" fontId="17" fillId="3" borderId="3" xfId="3" applyNumberFormat="1" applyFont="1" applyFill="1" applyBorder="1" applyAlignment="1">
      <alignment horizontal="right"/>
    </xf>
    <xf numFmtId="1" fontId="17" fillId="0" borderId="0" xfId="6" applyFont="1" applyAlignment="1" applyProtection="1">
      <alignment horizontal="center"/>
      <protection locked="0"/>
    </xf>
    <xf numFmtId="0" fontId="181" fillId="0" borderId="0" xfId="0" applyFont="1"/>
    <xf numFmtId="1" fontId="17" fillId="7" borderId="0" xfId="6" applyFont="1" applyFill="1"/>
    <xf numFmtId="0" fontId="181" fillId="0" borderId="0" xfId="0" applyFont="1" applyAlignment="1">
      <alignment horizontal="center"/>
    </xf>
    <xf numFmtId="1" fontId="17" fillId="7" borderId="0" xfId="6" applyFont="1" applyFill="1" applyAlignment="1">
      <alignment horizontal="center"/>
    </xf>
    <xf numFmtId="1" fontId="17" fillId="0" borderId="1" xfId="6" applyFont="1" applyBorder="1" applyAlignment="1" applyProtection="1">
      <alignment horizontal="center"/>
      <protection locked="0"/>
    </xf>
    <xf numFmtId="1" fontId="9" fillId="0" borderId="1" xfId="6" applyFont="1" applyBorder="1" applyAlignment="1">
      <alignment horizontal="center"/>
    </xf>
    <xf numFmtId="179" fontId="151" fillId="0" borderId="0" xfId="11" quotePrefix="1" applyNumberFormat="1" applyFont="1" applyAlignment="1">
      <alignment horizontal="right" wrapText="1"/>
    </xf>
    <xf numFmtId="4" fontId="17" fillId="4" borderId="18" xfId="3" applyNumberFormat="1" applyFont="1" applyFill="1" applyBorder="1" applyAlignment="1">
      <alignment horizontal="right"/>
    </xf>
    <xf numFmtId="4" fontId="17" fillId="4" borderId="16" xfId="3" applyNumberFormat="1" applyFont="1" applyFill="1" applyBorder="1" applyAlignment="1">
      <alignment horizontal="right"/>
    </xf>
    <xf numFmtId="2" fontId="15" fillId="4" borderId="3" xfId="3" applyNumberFormat="1" applyFont="1" applyFill="1" applyBorder="1" applyAlignment="1" applyProtection="1">
      <alignment horizontal="center"/>
      <protection locked="0"/>
    </xf>
    <xf numFmtId="4" fontId="15" fillId="4" borderId="3" xfId="3" applyNumberFormat="1" applyFont="1" applyFill="1" applyBorder="1" applyAlignment="1">
      <alignment horizontal="center"/>
    </xf>
    <xf numFmtId="2" fontId="17" fillId="4" borderId="3" xfId="3" applyNumberFormat="1" applyFont="1" applyFill="1" applyBorder="1" applyAlignment="1">
      <alignment horizontal="center"/>
    </xf>
    <xf numFmtId="2" fontId="9" fillId="4" borderId="3" xfId="3" applyNumberFormat="1" applyFont="1" applyFill="1" applyBorder="1" applyAlignment="1">
      <alignment horizontal="center"/>
    </xf>
    <xf numFmtId="1" fontId="9" fillId="0" borderId="0" xfId="6" applyFont="1" applyAlignment="1" applyProtection="1">
      <alignment horizontal="left"/>
      <protection locked="0"/>
    </xf>
    <xf numFmtId="0" fontId="174" fillId="0" borderId="0" xfId="0" applyFont="1" applyAlignment="1">
      <alignment horizontal="right"/>
    </xf>
    <xf numFmtId="0" fontId="0" fillId="3" borderId="0" xfId="0" applyFill="1"/>
    <xf numFmtId="0" fontId="6" fillId="0" borderId="0" xfId="10"/>
    <xf numFmtId="0" fontId="6" fillId="21" borderId="47" xfId="16" applyFill="1" applyBorder="1"/>
    <xf numFmtId="0" fontId="17" fillId="21" borderId="28" xfId="16" applyFont="1" applyFill="1" applyBorder="1" applyAlignment="1">
      <alignment horizontal="centerContinuous"/>
    </xf>
    <xf numFmtId="0" fontId="6" fillId="21" borderId="57" xfId="16" applyFill="1" applyBorder="1" applyAlignment="1">
      <alignment horizontal="centerContinuous"/>
    </xf>
    <xf numFmtId="0" fontId="6" fillId="0" borderId="0" xfId="16"/>
    <xf numFmtId="0" fontId="6" fillId="21" borderId="38" xfId="16" applyFill="1" applyBorder="1"/>
    <xf numFmtId="0" fontId="15" fillId="12" borderId="6" xfId="16" applyFont="1" applyFill="1" applyBorder="1" applyAlignment="1">
      <alignment horizontal="center"/>
    </xf>
    <xf numFmtId="0" fontId="15" fillId="21" borderId="6" xfId="16" applyFont="1" applyFill="1" applyBorder="1"/>
    <xf numFmtId="0" fontId="17" fillId="21" borderId="43" xfId="16" applyFont="1" applyFill="1" applyBorder="1" applyAlignment="1">
      <alignment horizontal="center"/>
    </xf>
    <xf numFmtId="0" fontId="6" fillId="0" borderId="3" xfId="16" applyBorder="1"/>
    <xf numFmtId="0" fontId="6" fillId="0" borderId="3" xfId="16" applyBorder="1" applyAlignment="1">
      <alignment horizontal="center"/>
    </xf>
    <xf numFmtId="0" fontId="17" fillId="0" borderId="58" xfId="16" applyFont="1" applyBorder="1" applyAlignment="1">
      <alignment horizontal="center"/>
    </xf>
    <xf numFmtId="0" fontId="182" fillId="0" borderId="3" xfId="16" applyFont="1" applyBorder="1" applyAlignment="1">
      <alignment horizontal="center"/>
    </xf>
    <xf numFmtId="0" fontId="6" fillId="0" borderId="59" xfId="16" applyBorder="1"/>
    <xf numFmtId="0" fontId="6" fillId="2" borderId="16" xfId="16" applyFill="1" applyBorder="1"/>
    <xf numFmtId="0" fontId="182" fillId="2" borderId="3" xfId="16" applyFont="1" applyFill="1" applyBorder="1" applyAlignment="1">
      <alignment horizontal="center"/>
    </xf>
    <xf numFmtId="0" fontId="6" fillId="2" borderId="3" xfId="16" applyFill="1" applyBorder="1" applyAlignment="1">
      <alignment horizontal="center"/>
    </xf>
    <xf numFmtId="0" fontId="6" fillId="2" borderId="3" xfId="16" applyFill="1" applyBorder="1"/>
    <xf numFmtId="0" fontId="6" fillId="0" borderId="3" xfId="16" applyBorder="1" applyAlignment="1">
      <alignment horizontal="centerContinuous"/>
    </xf>
    <xf numFmtId="0" fontId="6" fillId="0" borderId="61" xfId="16" applyBorder="1"/>
    <xf numFmtId="0" fontId="6" fillId="0" borderId="61" xfId="16" applyBorder="1" applyAlignment="1">
      <alignment horizontal="centerContinuous"/>
    </xf>
    <xf numFmtId="0" fontId="6" fillId="0" borderId="61" xfId="16" applyBorder="1" applyAlignment="1">
      <alignment horizontal="center"/>
    </xf>
    <xf numFmtId="0" fontId="17" fillId="0" borderId="43" xfId="16" applyFont="1" applyBorder="1" applyAlignment="1">
      <alignment horizontal="center"/>
    </xf>
    <xf numFmtId="49" fontId="15" fillId="12" borderId="6" xfId="16" applyNumberFormat="1" applyFont="1" applyFill="1" applyBorder="1" applyAlignment="1">
      <alignment horizontal="center"/>
    </xf>
    <xf numFmtId="1" fontId="17" fillId="0" borderId="58" xfId="16" applyNumberFormat="1" applyFont="1" applyBorder="1" applyAlignment="1">
      <alignment horizontal="center"/>
    </xf>
    <xf numFmtId="1" fontId="17" fillId="2" borderId="58" xfId="16" applyNumberFormat="1" applyFont="1" applyFill="1" applyBorder="1" applyAlignment="1">
      <alignment horizontal="center"/>
    </xf>
    <xf numFmtId="1" fontId="17" fillId="0" borderId="60" xfId="16" applyNumberFormat="1" applyFont="1" applyBorder="1" applyAlignment="1">
      <alignment horizontal="center"/>
    </xf>
    <xf numFmtId="1" fontId="0" fillId="3" borderId="0" xfId="0" applyNumberFormat="1" applyFill="1"/>
    <xf numFmtId="0" fontId="6" fillId="0" borderId="0" xfId="0" applyFont="1" applyAlignment="1">
      <alignment horizontal="left" vertical="top" wrapText="1"/>
    </xf>
    <xf numFmtId="0" fontId="6" fillId="0" borderId="0" xfId="0" applyFont="1" applyAlignment="1">
      <alignment vertical="top"/>
    </xf>
    <xf numFmtId="0" fontId="21" fillId="0" borderId="0" xfId="0" applyFont="1" applyAlignment="1">
      <alignment horizontal="center" vertical="top"/>
    </xf>
    <xf numFmtId="1" fontId="14" fillId="3" borderId="0" xfId="6" applyFont="1" applyFill="1" applyProtection="1">
      <protection locked="0"/>
    </xf>
    <xf numFmtId="0" fontId="9" fillId="3" borderId="0" xfId="3" applyFont="1" applyFill="1" applyProtection="1">
      <protection locked="0"/>
    </xf>
    <xf numFmtId="0" fontId="138" fillId="16" borderId="11" xfId="0" applyFont="1" applyFill="1" applyBorder="1" applyAlignment="1">
      <alignment horizontal="left"/>
    </xf>
    <xf numFmtId="1" fontId="22" fillId="0" borderId="13" xfId="6" applyFont="1" applyBorder="1" applyAlignment="1" applyProtection="1">
      <alignment horizontal="center"/>
      <protection locked="0"/>
    </xf>
    <xf numFmtId="0" fontId="3" fillId="16" borderId="13" xfId="0" applyFont="1" applyFill="1" applyBorder="1" applyAlignment="1">
      <alignment horizontal="center"/>
    </xf>
    <xf numFmtId="0" fontId="63" fillId="0" borderId="13" xfId="0" applyFont="1" applyBorder="1" applyAlignment="1" applyProtection="1">
      <alignment horizontal="center"/>
      <protection locked="0"/>
    </xf>
    <xf numFmtId="177" fontId="183" fillId="12" borderId="3" xfId="0" applyNumberFormat="1" applyFont="1" applyFill="1" applyBorder="1" applyAlignment="1" applyProtection="1">
      <alignment horizontal="center"/>
      <protection locked="0"/>
    </xf>
    <xf numFmtId="0" fontId="17" fillId="0" borderId="0" xfId="7" applyFont="1" applyProtection="1">
      <protection locked="0"/>
    </xf>
    <xf numFmtId="4" fontId="17" fillId="6" borderId="18" xfId="3" applyNumberFormat="1" applyFont="1" applyFill="1" applyBorder="1" applyAlignment="1">
      <alignment horizontal="right"/>
    </xf>
    <xf numFmtId="4" fontId="17" fillId="6" borderId="16" xfId="3" applyNumberFormat="1" applyFont="1" applyFill="1" applyBorder="1" applyAlignment="1">
      <alignment horizontal="right"/>
    </xf>
    <xf numFmtId="2" fontId="15" fillId="6" borderId="3" xfId="3" applyNumberFormat="1" applyFont="1" applyFill="1" applyBorder="1" applyAlignment="1" applyProtection="1">
      <alignment horizontal="center"/>
      <protection locked="0"/>
    </xf>
    <xf numFmtId="4" fontId="15" fillId="6" borderId="3" xfId="3" applyNumberFormat="1" applyFont="1" applyFill="1" applyBorder="1" applyAlignment="1">
      <alignment horizontal="center"/>
    </xf>
    <xf numFmtId="2" fontId="17" fillId="6" borderId="3" xfId="3" applyNumberFormat="1" applyFont="1" applyFill="1" applyBorder="1" applyAlignment="1">
      <alignment horizontal="center"/>
    </xf>
    <xf numFmtId="2" fontId="9" fillId="6" borderId="3" xfId="3" applyNumberFormat="1" applyFont="1" applyFill="1" applyBorder="1" applyAlignment="1">
      <alignment horizontal="center"/>
    </xf>
    <xf numFmtId="0" fontId="9" fillId="0" borderId="0" xfId="3" applyFont="1" applyAlignment="1" applyProtection="1">
      <alignment horizontal="center"/>
      <protection locked="0"/>
    </xf>
    <xf numFmtId="4" fontId="184" fillId="2" borderId="18" xfId="17" applyNumberFormat="1" applyFont="1" applyFill="1" applyBorder="1" applyAlignment="1">
      <alignment horizontal="right"/>
    </xf>
    <xf numFmtId="4" fontId="184" fillId="2" borderId="16" xfId="17" applyNumberFormat="1" applyFont="1" applyFill="1" applyBorder="1" applyAlignment="1">
      <alignment horizontal="right"/>
    </xf>
    <xf numFmtId="1" fontId="17" fillId="0" borderId="0" xfId="17" applyFont="1" applyAlignment="1" applyProtection="1">
      <alignment vertical="top"/>
      <protection locked="0"/>
    </xf>
    <xf numFmtId="1" fontId="17" fillId="0" borderId="0" xfId="17" applyFont="1" applyProtection="1">
      <protection locked="0"/>
    </xf>
    <xf numFmtId="2" fontId="17" fillId="0" borderId="0" xfId="17" applyNumberFormat="1" applyFont="1" applyProtection="1">
      <protection locked="0"/>
    </xf>
    <xf numFmtId="0" fontId="3" fillId="0" borderId="0" xfId="3" applyFont="1"/>
    <xf numFmtId="1" fontId="17" fillId="0" borderId="0" xfId="17" applyFont="1" applyAlignment="1">
      <alignment horizontal="center"/>
    </xf>
    <xf numFmtId="1" fontId="17" fillId="0" borderId="0" xfId="17" applyFont="1"/>
    <xf numFmtId="2" fontId="185" fillId="2" borderId="3" xfId="17" applyNumberFormat="1" applyFont="1" applyFill="1" applyBorder="1" applyAlignment="1">
      <alignment horizontal="center"/>
    </xf>
    <xf numFmtId="2" fontId="15" fillId="2" borderId="3" xfId="3" applyNumberFormat="1" applyFont="1" applyFill="1" applyBorder="1" applyAlignment="1" applyProtection="1">
      <alignment horizontal="center"/>
      <protection locked="0"/>
    </xf>
    <xf numFmtId="2" fontId="17" fillId="2" borderId="3" xfId="3" applyNumberFormat="1" applyFont="1" applyFill="1" applyBorder="1" applyAlignment="1" applyProtection="1">
      <alignment horizontal="center"/>
      <protection locked="0"/>
    </xf>
    <xf numFmtId="1" fontId="20" fillId="0" borderId="0" xfId="17" applyFont="1" applyAlignment="1" applyProtection="1">
      <alignment vertical="center"/>
      <protection locked="0"/>
    </xf>
    <xf numFmtId="1" fontId="20" fillId="0" borderId="0" xfId="17" applyFont="1" applyAlignment="1" applyProtection="1">
      <alignment horizontal="centerContinuous" vertical="center"/>
      <protection locked="0"/>
    </xf>
    <xf numFmtId="1" fontId="9" fillId="0" borderId="0" xfId="17" applyFont="1" applyProtection="1">
      <protection locked="0"/>
    </xf>
    <xf numFmtId="2" fontId="186" fillId="0" borderId="62" xfId="3" applyNumberFormat="1" applyFont="1" applyBorder="1" applyAlignment="1">
      <alignment horizontal="right"/>
    </xf>
    <xf numFmtId="2" fontId="187" fillId="0" borderId="0" xfId="3" applyNumberFormat="1" applyFont="1" applyAlignment="1">
      <alignment horizontal="left"/>
    </xf>
    <xf numFmtId="1" fontId="9" fillId="0" borderId="63" xfId="17" applyFont="1" applyBorder="1" applyProtection="1">
      <protection locked="0"/>
    </xf>
    <xf numFmtId="2" fontId="9" fillId="0" borderId="63" xfId="17" applyNumberFormat="1" applyFont="1" applyBorder="1" applyProtection="1">
      <protection locked="0"/>
    </xf>
    <xf numFmtId="1" fontId="17" fillId="0" borderId="63" xfId="17" applyFont="1" applyBorder="1" applyAlignment="1">
      <alignment horizontal="center"/>
    </xf>
    <xf numFmtId="1" fontId="17" fillId="0" borderId="63" xfId="17" applyFont="1" applyBorder="1"/>
    <xf numFmtId="2" fontId="9" fillId="0" borderId="64" xfId="17" applyNumberFormat="1" applyFont="1" applyBorder="1" applyProtection="1">
      <protection locked="0"/>
    </xf>
    <xf numFmtId="2" fontId="9" fillId="0" borderId="64" xfId="3" applyNumberFormat="1" applyFont="1" applyBorder="1"/>
    <xf numFmtId="2" fontId="9" fillId="0" borderId="64" xfId="17" applyNumberFormat="1" applyFont="1" applyBorder="1"/>
    <xf numFmtId="0" fontId="9" fillId="22" borderId="18" xfId="3" applyFont="1" applyFill="1" applyBorder="1" applyProtection="1">
      <protection locked="0"/>
    </xf>
    <xf numFmtId="1" fontId="9" fillId="0" borderId="0" xfId="3" applyNumberFormat="1" applyFont="1" applyAlignment="1" applyProtection="1">
      <alignment horizontal="center"/>
      <protection locked="0"/>
    </xf>
    <xf numFmtId="1" fontId="17" fillId="0" borderId="65" xfId="17" applyFont="1" applyBorder="1" applyProtection="1">
      <protection locked="0"/>
    </xf>
    <xf numFmtId="1" fontId="9" fillId="0" borderId="65" xfId="17" applyFont="1" applyBorder="1" applyAlignment="1">
      <alignment horizontal="center"/>
    </xf>
    <xf numFmtId="0" fontId="188" fillId="0" borderId="0" xfId="3" applyFont="1" applyAlignment="1" applyProtection="1">
      <alignment horizontal="left"/>
      <protection locked="0"/>
    </xf>
    <xf numFmtId="17" fontId="9" fillId="0" borderId="0" xfId="3" applyNumberFormat="1" applyFont="1" applyAlignment="1" applyProtection="1">
      <alignment horizontal="center"/>
      <protection locked="0"/>
    </xf>
    <xf numFmtId="2" fontId="9" fillId="0" borderId="0" xfId="3" applyNumberFormat="1" applyFont="1" applyAlignment="1" applyProtection="1">
      <alignment horizontal="center"/>
      <protection locked="0"/>
    </xf>
    <xf numFmtId="2" fontId="9" fillId="3" borderId="0" xfId="3" applyNumberFormat="1" applyFont="1" applyFill="1"/>
    <xf numFmtId="2" fontId="9" fillId="17" borderId="0" xfId="17" applyNumberFormat="1" applyFont="1" applyFill="1"/>
    <xf numFmtId="1" fontId="9" fillId="0" borderId="23" xfId="17" applyFont="1" applyBorder="1" applyAlignment="1" applyProtection="1">
      <alignment horizontal="right"/>
      <protection locked="0"/>
    </xf>
    <xf numFmtId="2" fontId="9" fillId="0" borderId="24" xfId="17" applyNumberFormat="1" applyFont="1" applyBorder="1" applyAlignment="1" applyProtection="1">
      <alignment horizontal="left"/>
      <protection locked="0"/>
    </xf>
    <xf numFmtId="165" fontId="9" fillId="0" borderId="63" xfId="17" applyNumberFormat="1" applyFont="1" applyBorder="1" applyProtection="1">
      <protection locked="0"/>
    </xf>
    <xf numFmtId="1" fontId="17" fillId="0" borderId="63" xfId="17" applyFont="1" applyBorder="1" applyProtection="1">
      <protection locked="0"/>
    </xf>
    <xf numFmtId="1" fontId="9" fillId="0" borderId="63" xfId="17" applyFont="1" applyBorder="1" applyAlignment="1">
      <alignment horizontal="center"/>
    </xf>
    <xf numFmtId="165" fontId="9" fillId="0" borderId="64" xfId="17" applyNumberFormat="1" applyFont="1" applyBorder="1" applyProtection="1">
      <protection locked="0"/>
    </xf>
    <xf numFmtId="2" fontId="9" fillId="3" borderId="66" xfId="17" applyNumberFormat="1" applyFont="1" applyFill="1" applyBorder="1"/>
    <xf numFmtId="1" fontId="9" fillId="0" borderId="64" xfId="17" applyFont="1" applyBorder="1" applyProtection="1">
      <protection locked="0"/>
    </xf>
    <xf numFmtId="0" fontId="9" fillId="2" borderId="3" xfId="3" applyFont="1" applyFill="1" applyBorder="1" applyProtection="1">
      <protection locked="0"/>
    </xf>
    <xf numFmtId="4" fontId="23" fillId="4" borderId="14" xfId="3" applyNumberFormat="1" applyFont="1" applyFill="1" applyBorder="1" applyAlignment="1">
      <alignment horizontal="right"/>
    </xf>
    <xf numFmtId="2" fontId="9" fillId="0" borderId="0" xfId="17" applyNumberFormat="1" applyFont="1" applyProtection="1">
      <protection locked="0"/>
    </xf>
    <xf numFmtId="2" fontId="9" fillId="0" borderId="0" xfId="17" applyNumberFormat="1" applyFont="1"/>
    <xf numFmtId="1" fontId="9" fillId="0" borderId="0" xfId="0" applyNumberFormat="1" applyFont="1"/>
    <xf numFmtId="0" fontId="181" fillId="0" borderId="0" xfId="18" applyFont="1" applyAlignment="1">
      <alignment horizontal="center" vertical="center"/>
    </xf>
    <xf numFmtId="180" fontId="191" fillId="0" borderId="0" xfId="19" applyFont="1"/>
    <xf numFmtId="180" fontId="191" fillId="23" borderId="0" xfId="19" applyFont="1" applyFill="1" applyAlignment="1">
      <alignment horizontal="center"/>
    </xf>
    <xf numFmtId="0" fontId="181" fillId="16" borderId="0" xfId="18" applyFont="1" applyFill="1" applyAlignment="1">
      <alignment horizontal="center" vertical="center"/>
    </xf>
    <xf numFmtId="0" fontId="181" fillId="0" borderId="0" xfId="18" applyFont="1" applyAlignment="1">
      <alignment horizontal="left" vertical="center"/>
    </xf>
    <xf numFmtId="0" fontId="192" fillId="0" borderId="0" xfId="18" applyFont="1" applyAlignment="1">
      <alignment horizontal="center" vertical="center"/>
    </xf>
    <xf numFmtId="2" fontId="193" fillId="0" borderId="0" xfId="18" applyNumberFormat="1" applyFont="1" applyAlignment="1">
      <alignment horizontal="center" vertical="center"/>
    </xf>
    <xf numFmtId="171" fontId="193" fillId="0" borderId="0" xfId="18" applyNumberFormat="1" applyFont="1" applyAlignment="1">
      <alignment horizontal="center" vertical="center"/>
    </xf>
    <xf numFmtId="1" fontId="194" fillId="16" borderId="0" xfId="18" applyNumberFormat="1" applyFont="1" applyFill="1" applyAlignment="1">
      <alignment horizontal="center" vertical="center"/>
    </xf>
    <xf numFmtId="169" fontId="181" fillId="0" borderId="0" xfId="18" applyNumberFormat="1" applyFont="1" applyAlignment="1">
      <alignment horizontal="center" vertical="center"/>
    </xf>
    <xf numFmtId="2" fontId="181" fillId="0" borderId="0" xfId="18" applyNumberFormat="1" applyFont="1" applyAlignment="1">
      <alignment vertical="center"/>
    </xf>
    <xf numFmtId="0" fontId="181" fillId="0" borderId="0" xfId="18" applyFont="1" applyAlignment="1">
      <alignment vertical="center"/>
    </xf>
    <xf numFmtId="1" fontId="9" fillId="0" borderId="18" xfId="17" applyFont="1" applyBorder="1" applyAlignment="1" applyProtection="1">
      <alignment horizontal="right"/>
      <protection locked="0"/>
    </xf>
    <xf numFmtId="2" fontId="9" fillId="0" borderId="16" xfId="17" applyNumberFormat="1" applyFont="1" applyBorder="1" applyAlignment="1" applyProtection="1">
      <alignment horizontal="left"/>
      <protection locked="0"/>
    </xf>
    <xf numFmtId="0" fontId="9" fillId="0" borderId="64" xfId="3" applyFont="1" applyBorder="1"/>
    <xf numFmtId="1" fontId="17" fillId="0" borderId="64" xfId="17" applyFont="1" applyBorder="1" applyProtection="1">
      <protection locked="0"/>
    </xf>
    <xf numFmtId="1" fontId="9" fillId="0" borderId="64" xfId="17" applyFont="1" applyBorder="1" applyAlignment="1">
      <alignment horizontal="center"/>
    </xf>
    <xf numFmtId="4" fontId="15" fillId="4" borderId="67" xfId="3" applyNumberFormat="1" applyFont="1" applyFill="1" applyBorder="1"/>
    <xf numFmtId="1" fontId="88" fillId="2" borderId="22" xfId="17" applyFont="1" applyFill="1" applyBorder="1" applyAlignment="1" applyProtection="1">
      <alignment vertical="center"/>
      <protection locked="0"/>
    </xf>
    <xf numFmtId="0" fontId="9" fillId="2" borderId="0" xfId="3" applyFont="1" applyFill="1"/>
    <xf numFmtId="2" fontId="17" fillId="0" borderId="0" xfId="3" applyNumberFormat="1" applyFont="1" applyAlignment="1">
      <alignment horizontal="right"/>
    </xf>
    <xf numFmtId="1" fontId="9" fillId="0" borderId="0" xfId="17" applyFont="1" applyAlignment="1">
      <alignment horizontal="center"/>
    </xf>
    <xf numFmtId="1" fontId="9" fillId="0" borderId="0" xfId="17" applyFont="1"/>
    <xf numFmtId="165" fontId="9" fillId="0" borderId="0" xfId="17" applyNumberFormat="1" applyFont="1" applyProtection="1">
      <protection locked="0"/>
    </xf>
    <xf numFmtId="1" fontId="195" fillId="2" borderId="1" xfId="17" applyFont="1" applyFill="1" applyBorder="1" applyAlignment="1" applyProtection="1">
      <alignment horizontal="left" vertical="center"/>
      <protection locked="0"/>
    </xf>
    <xf numFmtId="0" fontId="9" fillId="2" borderId="1" xfId="3" applyFont="1" applyFill="1" applyBorder="1"/>
    <xf numFmtId="1" fontId="9" fillId="0" borderId="1" xfId="17" applyFont="1" applyBorder="1" applyProtection="1">
      <protection locked="0"/>
    </xf>
    <xf numFmtId="1" fontId="17" fillId="0" borderId="1" xfId="17" applyFont="1" applyBorder="1" applyProtection="1">
      <protection locked="0"/>
    </xf>
    <xf numFmtId="2" fontId="9" fillId="0" borderId="1" xfId="17" applyNumberFormat="1" applyFont="1" applyBorder="1" applyProtection="1">
      <protection locked="0"/>
    </xf>
    <xf numFmtId="1" fontId="9" fillId="0" borderId="1" xfId="17" applyFont="1" applyBorder="1" applyAlignment="1">
      <alignment horizontal="center"/>
    </xf>
    <xf numFmtId="1" fontId="9" fillId="0" borderId="1" xfId="17" applyFont="1" applyBorder="1"/>
    <xf numFmtId="165" fontId="9" fillId="0" borderId="1" xfId="17" applyNumberFormat="1" applyFont="1" applyBorder="1" applyProtection="1">
      <protection locked="0"/>
    </xf>
    <xf numFmtId="2" fontId="168" fillId="2" borderId="15" xfId="17" applyNumberFormat="1" applyFont="1" applyFill="1" applyBorder="1"/>
    <xf numFmtId="4" fontId="23" fillId="4" borderId="18" xfId="3" applyNumberFormat="1" applyFont="1" applyFill="1" applyBorder="1" applyAlignment="1">
      <alignment horizontal="right"/>
    </xf>
    <xf numFmtId="4" fontId="23" fillId="4" borderId="16" xfId="3" applyNumberFormat="1" applyFont="1" applyFill="1" applyBorder="1" applyAlignment="1">
      <alignment horizontal="right"/>
    </xf>
    <xf numFmtId="4" fontId="88" fillId="5" borderId="18" xfId="3" applyNumberFormat="1" applyFont="1" applyFill="1" applyBorder="1" applyAlignment="1">
      <alignment horizontal="left"/>
    </xf>
    <xf numFmtId="4" fontId="23" fillId="5" borderId="14" xfId="3" applyNumberFormat="1" applyFont="1" applyFill="1" applyBorder="1" applyAlignment="1">
      <alignment horizontal="right"/>
    </xf>
    <xf numFmtId="4" fontId="23" fillId="24" borderId="16" xfId="3" applyNumberFormat="1" applyFont="1" applyFill="1" applyBorder="1" applyAlignment="1">
      <alignment horizontal="right"/>
    </xf>
    <xf numFmtId="4" fontId="15" fillId="5" borderId="67" xfId="3" applyNumberFormat="1" applyFont="1" applyFill="1" applyBorder="1"/>
    <xf numFmtId="0" fontId="176" fillId="0" borderId="42" xfId="14" applyFont="1" applyBorder="1" applyAlignment="1">
      <alignment horizontal="center"/>
    </xf>
    <xf numFmtId="0" fontId="176" fillId="0" borderId="45" xfId="14" applyFont="1" applyBorder="1" applyAlignment="1">
      <alignment horizontal="center"/>
    </xf>
    <xf numFmtId="0" fontId="176" fillId="0" borderId="46" xfId="14" applyFont="1" applyBorder="1" applyAlignment="1">
      <alignment horizontal="center"/>
    </xf>
    <xf numFmtId="0" fontId="173" fillId="0" borderId="50" xfId="14" applyFont="1" applyBorder="1" applyAlignment="1">
      <alignment horizontal="center"/>
    </xf>
    <xf numFmtId="0" fontId="173" fillId="0" borderId="51" xfId="14" applyFont="1" applyBorder="1" applyAlignment="1">
      <alignment horizontal="center"/>
    </xf>
    <xf numFmtId="0" fontId="173" fillId="0" borderId="52" xfId="14" applyFont="1" applyBorder="1" applyAlignment="1">
      <alignment horizontal="center"/>
    </xf>
    <xf numFmtId="0" fontId="132" fillId="0" borderId="0" xfId="0" applyFont="1" applyAlignment="1">
      <alignment horizontal="center"/>
    </xf>
    <xf numFmtId="0" fontId="15" fillId="0" borderId="17" xfId="0" applyFont="1" applyBorder="1" applyAlignment="1" applyProtection="1">
      <alignment horizontal="center"/>
      <protection locked="0"/>
    </xf>
    <xf numFmtId="0" fontId="15" fillId="0" borderId="0" xfId="0" applyFont="1" applyAlignment="1" applyProtection="1">
      <alignment horizontal="center"/>
      <protection locked="0"/>
    </xf>
    <xf numFmtId="0" fontId="39" fillId="0" borderId="23" xfId="8" applyFont="1" applyBorder="1" applyAlignment="1" applyProtection="1">
      <alignment horizontal="center"/>
      <protection locked="0"/>
    </xf>
    <xf numFmtId="0" fontId="39" fillId="0" borderId="22" xfId="8" applyFont="1" applyBorder="1" applyAlignment="1" applyProtection="1">
      <alignment horizontal="center"/>
      <protection locked="0"/>
    </xf>
    <xf numFmtId="0" fontId="39" fillId="0" borderId="24" xfId="8" applyFont="1" applyBorder="1" applyAlignment="1" applyProtection="1">
      <alignment horizontal="center"/>
      <protection locked="0"/>
    </xf>
    <xf numFmtId="0" fontId="21" fillId="0" borderId="20" xfId="8" applyFont="1" applyBorder="1" applyAlignment="1" applyProtection="1">
      <alignment horizontal="center" vertical="center"/>
      <protection locked="0"/>
    </xf>
    <xf numFmtId="0" fontId="21" fillId="0" borderId="13" xfId="8" applyFont="1" applyBorder="1" applyAlignment="1" applyProtection="1">
      <alignment horizontal="center" vertical="center"/>
      <protection locked="0"/>
    </xf>
    <xf numFmtId="0" fontId="21" fillId="0" borderId="0" xfId="8" applyFont="1" applyAlignment="1" applyProtection="1">
      <alignment horizontal="center" vertical="center"/>
      <protection locked="0"/>
    </xf>
    <xf numFmtId="0" fontId="21" fillId="0" borderId="19" xfId="8" applyFont="1" applyBorder="1" applyAlignment="1" applyProtection="1">
      <alignment horizontal="center" vertical="center"/>
      <protection locked="0"/>
    </xf>
    <xf numFmtId="0" fontId="28" fillId="0" borderId="0" xfId="3" applyFont="1" applyAlignment="1" applyProtection="1">
      <alignment horizontal="left"/>
      <protection locked="0"/>
    </xf>
    <xf numFmtId="0" fontId="47" fillId="0" borderId="0" xfId="8" applyFont="1" applyAlignment="1" applyProtection="1">
      <alignment horizontal="left"/>
      <protection locked="0"/>
    </xf>
    <xf numFmtId="0" fontId="110" fillId="0" borderId="14" xfId="0" applyFont="1" applyBorder="1" applyAlignment="1">
      <alignment horizontal="center" vertical="center"/>
    </xf>
    <xf numFmtId="0" fontId="109" fillId="0" borderId="0" xfId="0" applyFont="1" applyAlignment="1">
      <alignment horizontal="left" vertical="center"/>
    </xf>
    <xf numFmtId="0" fontId="15" fillId="0" borderId="0" xfId="3" applyFont="1" applyAlignment="1" applyProtection="1">
      <alignment horizontal="left" vertical="top" wrapText="1"/>
      <protection locked="0"/>
    </xf>
    <xf numFmtId="0" fontId="29" fillId="0" borderId="0" xfId="3" applyFont="1" applyAlignment="1" applyProtection="1">
      <alignment horizontal="left" vertical="top" wrapText="1"/>
      <protection locked="0"/>
    </xf>
    <xf numFmtId="0" fontId="114" fillId="0" borderId="0" xfId="0" applyFont="1" applyAlignment="1">
      <alignment horizontal="center"/>
    </xf>
    <xf numFmtId="0" fontId="105" fillId="7" borderId="0" xfId="7" applyFont="1" applyFill="1" applyAlignment="1">
      <alignment horizontal="center" vertical="top" wrapText="1"/>
    </xf>
    <xf numFmtId="0" fontId="144" fillId="0" borderId="0" xfId="3" applyFont="1" applyAlignment="1">
      <alignment horizontal="center"/>
    </xf>
    <xf numFmtId="0" fontId="143" fillId="0" borderId="0" xfId="3" applyFont="1" applyAlignment="1">
      <alignment horizontal="center"/>
    </xf>
    <xf numFmtId="0" fontId="148" fillId="0" borderId="0" xfId="11" applyFont="1" applyAlignment="1">
      <alignment horizontal="center" wrapText="1"/>
    </xf>
    <xf numFmtId="178" fontId="148" fillId="0" borderId="0" xfId="11" applyNumberFormat="1" applyFont="1" applyAlignment="1">
      <alignment horizontal="center" wrapText="1"/>
    </xf>
    <xf numFmtId="2" fontId="0" fillId="0" borderId="0" xfId="0" applyNumberFormat="1"/>
    <xf numFmtId="2" fontId="0" fillId="0" borderId="53" xfId="0" applyNumberFormat="1" applyBorder="1"/>
    <xf numFmtId="0" fontId="0" fillId="0" borderId="25" xfId="0" applyBorder="1"/>
    <xf numFmtId="0" fontId="6" fillId="0" borderId="25" xfId="0" applyFont="1" applyBorder="1"/>
    <xf numFmtId="0" fontId="0" fillId="0" borderId="54" xfId="0" applyBorder="1" applyAlignment="1">
      <alignment horizontal="center"/>
    </xf>
    <xf numFmtId="2" fontId="39" fillId="25" borderId="42" xfId="0" applyNumberFormat="1" applyFont="1" applyFill="1" applyBorder="1" applyAlignment="1">
      <alignment horizontal="center" vertical="center"/>
    </xf>
    <xf numFmtId="2" fontId="39" fillId="25" borderId="45" xfId="0" applyNumberFormat="1" applyFont="1" applyFill="1" applyBorder="1" applyAlignment="1">
      <alignment horizontal="center" vertical="center"/>
    </xf>
    <xf numFmtId="2" fontId="39" fillId="25" borderId="46" xfId="0" applyNumberFormat="1" applyFont="1" applyFill="1" applyBorder="1" applyAlignment="1">
      <alignment horizontal="center" vertical="center"/>
    </xf>
    <xf numFmtId="2" fontId="38" fillId="0" borderId="53" xfId="0" applyNumberFormat="1" applyFont="1" applyBorder="1"/>
    <xf numFmtId="0" fontId="38" fillId="0" borderId="25" xfId="0" applyFont="1" applyBorder="1"/>
    <xf numFmtId="2" fontId="38" fillId="0" borderId="25" xfId="0" applyNumberFormat="1" applyFont="1" applyBorder="1"/>
    <xf numFmtId="0" fontId="38" fillId="0" borderId="54" xfId="0" applyFont="1" applyBorder="1" applyAlignment="1">
      <alignment horizontal="center"/>
    </xf>
    <xf numFmtId="2" fontId="38" fillId="0" borderId="38" xfId="0" applyNumberFormat="1" applyFont="1" applyBorder="1"/>
    <xf numFmtId="0" fontId="38" fillId="0" borderId="55" xfId="0" applyFont="1" applyBorder="1"/>
    <xf numFmtId="0" fontId="38" fillId="0" borderId="56" xfId="0" applyFont="1" applyBorder="1" applyAlignment="1">
      <alignment horizontal="center"/>
    </xf>
    <xf numFmtId="2" fontId="47" fillId="25" borderId="50" xfId="0" applyNumberFormat="1" applyFont="1" applyFill="1" applyBorder="1" applyAlignment="1">
      <alignment horizontal="center" vertical="center"/>
    </xf>
    <xf numFmtId="0" fontId="47" fillId="25" borderId="51" xfId="0" applyFont="1" applyFill="1" applyBorder="1" applyAlignment="1">
      <alignment horizontal="center" vertical="center"/>
    </xf>
    <xf numFmtId="0" fontId="47" fillId="25" borderId="52" xfId="0" applyFont="1" applyFill="1" applyBorder="1" applyAlignment="1">
      <alignment horizontal="center" vertical="center"/>
    </xf>
  </cellXfs>
  <cellStyles count="20">
    <cellStyle name="Comma" xfId="1" builtinId="3"/>
    <cellStyle name="Currency 2" xfId="13" xr:uid="{00000000-0005-0000-0000-000001000000}"/>
    <cellStyle name="Currency_Estimate" xfId="2" xr:uid="{00000000-0005-0000-0000-000002000000}"/>
    <cellStyle name="Normal" xfId="0" builtinId="0"/>
    <cellStyle name="Normal 2" xfId="9" xr:uid="{00000000-0005-0000-0000-000004000000}"/>
    <cellStyle name="Normal 3" xfId="10" xr:uid="{00000000-0005-0000-0000-000005000000}"/>
    <cellStyle name="Normal 4" xfId="11" xr:uid="{00000000-0005-0000-0000-000006000000}"/>
    <cellStyle name="Normal 5" xfId="14" xr:uid="{8CA7C26F-D11E-48A5-BCB5-651E1D98E1FD}"/>
    <cellStyle name="Normal_BLOCKS" xfId="3" xr:uid="{00000000-0005-0000-0000-000007000000}"/>
    <cellStyle name="Normal_CABLE" xfId="4" xr:uid="{00000000-0005-0000-0000-000008000000}"/>
    <cellStyle name="Normal_E11_0126_Seabank_Hotel_Electrical" xfId="5" xr:uid="{00000000-0005-0000-0000-000009000000}"/>
    <cellStyle name="Normal_Estimate" xfId="6" xr:uid="{00000000-0005-0000-0000-00000A000000}"/>
    <cellStyle name="Normal_Estimate 2" xfId="17" xr:uid="{5182BAA9-9474-4685-839F-15AC228ECB5C}"/>
    <cellStyle name="Normal_Mark_up" xfId="7" xr:uid="{00000000-0005-0000-0000-00000B000000}"/>
    <cellStyle name="Normal_Price Lists" xfId="18" xr:uid="{95D71599-2687-449C-BD19-0CA07AED832F}"/>
    <cellStyle name="Normal_Prince_Est" xfId="19" xr:uid="{D8E6CABF-1306-437B-871B-042F775CEF4D}"/>
    <cellStyle name="Normal_RATES" xfId="15" xr:uid="{48D36D8E-12FB-472C-ADE3-0EF2DBC4C973}"/>
    <cellStyle name="Normal_STANDARD" xfId="8" xr:uid="{00000000-0005-0000-0000-00000C000000}"/>
    <cellStyle name="Normal_Take_off" xfId="16" xr:uid="{98497D60-BBD8-40D9-B479-2D1A7BC3F62C}"/>
    <cellStyle name="Percent 2" xfId="12" xr:uid="{00000000-0005-0000-0000-00000D000000}"/>
  </cellStyles>
  <dxfs count="24">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13"/>
      </font>
      <fill>
        <patternFill>
          <bgColor indexed="10"/>
        </patternFill>
      </fill>
    </dxf>
    <dxf>
      <font>
        <condense val="0"/>
        <extend val="0"/>
        <color indexed="9"/>
      </font>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
      <font>
        <condense val="0"/>
        <extend val="0"/>
        <color indexed="56"/>
      </font>
    </dxf>
    <dxf>
      <font>
        <condense val="0"/>
        <extend val="0"/>
        <color indexed="1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ctrlProps/ctrlProp1.xml><?xml version="1.0" encoding="utf-8"?>
<formControlPr xmlns="http://schemas.microsoft.com/office/spreadsheetml/2009/9/main" objectType="CheckBox" checked="Checked" fmlaLink="$G$1" lockText="1" noThreeD="1"/>
</file>

<file path=xl/ctrlProps/ctrlProp2.xml><?xml version="1.0" encoding="utf-8"?>
<formControlPr xmlns="http://schemas.microsoft.com/office/spreadsheetml/2009/9/main" objectType="CheckBox" checked="Checked" fmlaLink="$G$2" lockText="1" noThreeD="1"/>
</file>

<file path=xl/ctrlProps/ctrlProp3.xml><?xml version="1.0" encoding="utf-8"?>
<formControlPr xmlns="http://schemas.microsoft.com/office/spreadsheetml/2009/9/main" objectType="CheckBox" checked="Checked" fmlaLink="$G$3" lockText="1" noThreeD="1"/>
</file>

<file path=xl/ctrlProps/ctrlProp4.xml><?xml version="1.0" encoding="utf-8"?>
<formControlPr xmlns="http://schemas.microsoft.com/office/spreadsheetml/2009/9/main" objectType="CheckBox" checked="Checked" fmlaLink="$G$4" lockText="1" noThreeD="1"/>
</file>

<file path=xl/ctrlProps/ctrlProp5.xml><?xml version="1.0" encoding="utf-8"?>
<formControlPr xmlns="http://schemas.microsoft.com/office/spreadsheetml/2009/9/main" objectType="CheckBox" checked="Checked" fmlaLink="$G$5" lockText="1" noThreeD="1"/>
</file>

<file path=xl/ctrlProps/ctrlProp6.xml><?xml version="1.0" encoding="utf-8"?>
<formControlPr xmlns="http://schemas.microsoft.com/office/spreadsheetml/2009/9/main" objectType="CheckBox" checked="Checked" fmlaLink="$G$6" lockText="1" noThreeD="1"/>
</file>

<file path=xl/ctrlProps/ctrlProp7.xml><?xml version="1.0" encoding="utf-8"?>
<formControlPr xmlns="http://schemas.microsoft.com/office/spreadsheetml/2009/9/main" objectType="CheckBox" checked="Checked" fmlaLink="$G$7" lockText="1" noThreeD="1"/>
</file>

<file path=xl/ctrlProps/ctrlProp8.xml><?xml version="1.0" encoding="utf-8"?>
<formControlPr xmlns="http://schemas.microsoft.com/office/spreadsheetml/2009/9/main" objectType="CheckBox" checked="Checked" fmlaLink="$G$8" lockText="1" noThreeD="1"/>
</file>

<file path=xl/ctrlProps/ctrlProp9.xml><?xml version="1.0" encoding="utf-8"?>
<formControlPr xmlns="http://schemas.microsoft.com/office/spreadsheetml/2009/9/main" objectType="CheckBox" checked="Checked" fmlaLink="$G$9" lockText="1" noThreeD="1"/>
</file>

<file path=xl/ctrlProps/ctrlProp10.xml><?xml version="1.0" encoding="utf-8"?>
<formControlPr xmlns="http://schemas.microsoft.com/office/spreadsheetml/2009/9/main" objectType="CheckBox" checked="Checked" fmlaLink="$H$1" lockText="1" noThreeD="1"/>
</file>

<file path=xl/ctrlProps/ctrlProp11.xml><?xml version="1.0" encoding="utf-8"?>
<formControlPr xmlns="http://schemas.microsoft.com/office/spreadsheetml/2009/9/main" objectType="CheckBox" checked="Checked"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266700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5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5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1</xdr:col>
          <xdr:colOff>137160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5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342900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5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335280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5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274320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5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251460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5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5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1</xdr:col>
          <xdr:colOff>68580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5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190500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5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563880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5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MT"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28575</xdr:colOff>
      <xdr:row>24</xdr:row>
      <xdr:rowOff>19050</xdr:rowOff>
    </xdr:from>
    <xdr:to>
      <xdr:col>18</xdr:col>
      <xdr:colOff>655320</xdr:colOff>
      <xdr:row>47</xdr:row>
      <xdr:rowOff>9525</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28575" y="4042410"/>
          <a:ext cx="6014085" cy="384619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As per attached notes for covering letter.</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rtl="0"/>
          <a:r>
            <a:rPr lang="en-GB" sz="1000" b="0" i="0" u="none" strike="noStrike" baseline="0">
              <a:solidFill>
                <a:srgbClr val="000000"/>
              </a:solidFill>
              <a:latin typeface="Mark Pro Book" panose="020B0604020201010104" pitchFamily="34" charset="0"/>
              <a:cs typeface="Arial"/>
            </a:rPr>
            <a:t>1) </a:t>
          </a:r>
          <a:r>
            <a:rPr lang="en-GB" sz="1100" b="0" i="0" baseline="0">
              <a:effectLst/>
              <a:latin typeface="+mn-lt"/>
              <a:ea typeface="+mn-ea"/>
              <a:cs typeface="+mn-cs"/>
            </a:rPr>
            <a:t>As per attached notes for covering letter.</a:t>
          </a:r>
          <a:endParaRPr lang="en-IE" sz="1000">
            <a:effectLst/>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18</xdr:col>
      <xdr:colOff>693420</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752600"/>
          <a:ext cx="6052185" cy="149923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MECH\ADRIAN\PROJECTS\2004\Prince%20of%20Wales\Prince_E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t/BOV/Bov_proc/Copy%20of%20BOV_BMS9_xp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t/CBOM/Annex%20II/Estimates/E14_XXXX_Estimate_LightningProtectio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K:\est\Brittania%20Hotel\Estimates\EL25_0662_Brittania_Hotel_Elec_Estim.xlsx" TargetMode="External"/><Relationship Id="rId1" Type="http://schemas.openxmlformats.org/officeDocument/2006/relationships/externalLinkPath" Target="/est/Brittania%20Hotel/Estimates/EL25_0662_Brittania_Hotel_Elec_Estim.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Y:\Shared%20drives\0837%20-%20LTM%20New%20Hangar_LTM\20-PM\35_Proc\0837-LTM-24000%20-%20Civil%20Works\05-Tender%20Compilation\04%20-%20Works\BoQ\BoQ-08%20-%20Priced.xlsm" TargetMode="External"/><Relationship Id="rId1" Type="http://schemas.openxmlformats.org/officeDocument/2006/relationships/externalLinkPath" Target="file:///Y:\Shared%20drives\0837%20-%20LTM%20New%20Hangar_LTM\20-PM\35_Proc\0837-LTM-24000%20-%20Civil%20Works\05-Tender%20Compilation\04%20-%20Works\BoQ\BoQ-08%20-%20Priced.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WINDOWS\Temporary%20Internet%20Files\Content.IE5\CLERY7QZ\Estimate%20and%20BOQ.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
      <sheetName val="Rates"/>
      <sheetName val="Summary Sheet."/>
      <sheetName val="Variations."/>
      <sheetName val="Input document"/>
      <sheetName val="EstimatedLabour"/>
      <sheetName val="Estimate_Sheet_"/>
      <sheetName val="Summary_Sheet_"/>
      <sheetName val="Variations_"/>
      <sheetName val="Input_document"/>
      <sheetName val="Estimate_Sheet_1"/>
      <sheetName val="Summary_Sheet_1"/>
      <sheetName val="Variations_1"/>
      <sheetName val="Input_document1"/>
      <sheetName val="Estimate_Sheet_2"/>
      <sheetName val="Summary_Sheet_2"/>
      <sheetName val="Variations_2"/>
      <sheetName val="Input_document2"/>
      <sheetName val="Estimate_Sheet_3"/>
      <sheetName val="Summary_Sheet_3"/>
      <sheetName val="Variations_3"/>
      <sheetName val="Input_document3"/>
      <sheetName val="Estimate_Sheet_4"/>
      <sheetName val="Summary_Sheet_4"/>
      <sheetName val="Variations_4"/>
      <sheetName val="Input_document4"/>
      <sheetName val="Estimate_Sheet_5"/>
      <sheetName val="Summary_Sheet_5"/>
      <sheetName val="Variations_5"/>
      <sheetName val="Input_document5"/>
      <sheetName val="Estimate_Sheet_6"/>
      <sheetName val="Summary_Sheet_6"/>
      <sheetName val="Variations_6"/>
      <sheetName val="Input_document6"/>
      <sheetName val="Summary of Tasks-M"/>
      <sheetName val="Summary of Tasks-E"/>
      <sheetName val="Summary of Tasks-A"/>
      <sheetName val="WK-Ending- xx.xx.xx"/>
      <sheetName val="Estimate_Sheet_7"/>
      <sheetName val="Summary_Sheet_7"/>
      <sheetName val="Variations_7"/>
      <sheetName val="Input_document7"/>
      <sheetName val="Summary_of_Tasks-M"/>
      <sheetName val="Summary_of_Tasks-E"/>
      <sheetName val="Summary_of_Tasks-A"/>
      <sheetName val="WK-Ending-_xx_xx_xx"/>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els (2)"/>
      <sheetName val="Labels"/>
      <sheetName val="Lapp"/>
      <sheetName val="BMS_cables"/>
      <sheetName val="Sheet1"/>
      <sheetName val="BMS_Material"/>
      <sheetName val="BMS_Schem"/>
      <sheetName val="MCPs_Power_Rates"/>
      <sheetName val="BMS_Rates"/>
      <sheetName val="MCPs_Power"/>
      <sheetName val="BMS_Estimate"/>
      <sheetName val="Lighting_Panels"/>
      <sheetName val="BMS9_BOQ"/>
      <sheetName val="ML_Sum"/>
      <sheetName val="Int_Qu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LSZH_Conduit"/>
      <sheetName val="HDG_Tray_Brackets"/>
      <sheetName val="Elec_Rates"/>
      <sheetName val="Elec_Est"/>
      <sheetName val="ML_Sum"/>
      <sheetName val="Quote"/>
      <sheetName val="Preliminaries"/>
      <sheetName val="Electrical"/>
      <sheetName val="Emergency Standby Generator"/>
      <sheetName val="FIRE STOPPING"/>
      <sheetName val="Fire Detection"/>
      <sheetName val="CCTV"/>
      <sheetName val="Structured Cabling"/>
      <sheetName val="Access Control"/>
      <sheetName val="AC cut-out switches"/>
      <sheetName val="COMMISSIONING"/>
      <sheetName val="SUMMARY PG"/>
    </sheetNames>
    <sheetDataSet>
      <sheetData sheetId="0" refreshError="1"/>
      <sheetData sheetId="1" refreshError="1"/>
      <sheetData sheetId="2" refreshError="1"/>
      <sheetData sheetId="3" refreshError="1"/>
      <sheetData sheetId="4" refreshError="1"/>
      <sheetData sheetId="5">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ill - 00 - Summary"/>
      <sheetName val="Bill - 01"/>
      <sheetName val="Bill - 03"/>
      <sheetName val="Bill - 05"/>
      <sheetName val="Bill - 07"/>
      <sheetName val="Bill - 11"/>
      <sheetName val="Bill - 13"/>
      <sheetName val="Bill - 14"/>
      <sheetName val="Bill - 19"/>
      <sheetName val="Bill - 28"/>
      <sheetName val="Bill - 33"/>
      <sheetName val="Bill - 34"/>
      <sheetName val="Bill - 35"/>
      <sheetName val="Library"/>
      <sheetName val="Preambles"/>
      <sheetName val="TakeOff-Copy"/>
      <sheetName val="ExtData"/>
      <sheetName val="Evaluation"/>
      <sheetName val="BoQ-08 - Pric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BOQ"/>
      <sheetName val="Summary Page"/>
      <sheetName val="Rates"/>
      <sheetName val="Codes"/>
      <sheetName val="SummarySheet"/>
      <sheetName val="CostCoding"/>
      <sheetName val="Input document"/>
      <sheetName val="EstimatedLabour"/>
      <sheetName val="Cost Codes"/>
      <sheetName val="PriceLists"/>
      <sheetName val="Price Factors"/>
      <sheetName val="Adjustments"/>
      <sheetName val="MU Adjustments"/>
      <sheetName val="Stores"/>
      <sheetName val="Stocks"/>
      <sheetName val="Workings"/>
      <sheetName val="Est_For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2.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6.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C21"/>
  <sheetViews>
    <sheetView topLeftCell="A9" workbookViewId="0">
      <selection activeCell="C21" sqref="C21"/>
    </sheetView>
  </sheetViews>
  <sheetFormatPr defaultRowHeight="13.2"/>
  <cols>
    <col min="1" max="1" width="7.109375" style="436" customWidth="1"/>
    <col min="2" max="2" width="15.6640625" customWidth="1"/>
    <col min="3" max="3" width="57.44140625" customWidth="1"/>
    <col min="4" max="4" width="9.5546875" customWidth="1"/>
    <col min="6" max="6" width="10.109375" customWidth="1"/>
    <col min="9" max="9" width="7.6640625" customWidth="1"/>
  </cols>
  <sheetData>
    <row r="1" spans="1:3" ht="17.399999999999999">
      <c r="A1" s="437" t="s">
        <v>226</v>
      </c>
      <c r="C1" s="267"/>
    </row>
    <row r="3" spans="1:3" ht="26.4">
      <c r="A3" s="898">
        <v>1</v>
      </c>
      <c r="B3" s="897" t="s">
        <v>819</v>
      </c>
      <c r="C3" s="896" t="s">
        <v>850</v>
      </c>
    </row>
    <row r="4" spans="1:3">
      <c r="A4" s="898"/>
    </row>
    <row r="5" spans="1:3" ht="26.4">
      <c r="A5" s="898">
        <v>2</v>
      </c>
      <c r="B5" s="897" t="s">
        <v>820</v>
      </c>
      <c r="C5" s="896" t="s">
        <v>821</v>
      </c>
    </row>
    <row r="6" spans="1:3">
      <c r="A6" s="898"/>
    </row>
    <row r="7" spans="1:3">
      <c r="A7" s="898">
        <v>3</v>
      </c>
      <c r="B7" s="897" t="s">
        <v>822</v>
      </c>
      <c r="C7" s="759" t="s">
        <v>823</v>
      </c>
    </row>
    <row r="8" spans="1:3">
      <c r="A8" s="898"/>
    </row>
    <row r="9" spans="1:3" ht="39.6">
      <c r="A9" s="898">
        <v>4</v>
      </c>
      <c r="B9" s="897" t="s">
        <v>825</v>
      </c>
      <c r="C9" s="896" t="s">
        <v>826</v>
      </c>
    </row>
    <row r="11" spans="1:3" ht="26.4">
      <c r="A11" s="898">
        <v>5</v>
      </c>
      <c r="B11" s="897" t="s">
        <v>824</v>
      </c>
      <c r="C11" s="896" t="s">
        <v>834</v>
      </c>
    </row>
    <row r="13" spans="1:3" ht="26.4">
      <c r="A13" s="898">
        <v>6</v>
      </c>
      <c r="B13" s="897" t="s">
        <v>827</v>
      </c>
      <c r="C13" s="896" t="s">
        <v>851</v>
      </c>
    </row>
    <row r="14" spans="1:3">
      <c r="B14" s="897"/>
    </row>
    <row r="15" spans="1:3" ht="52.8">
      <c r="A15" s="898">
        <v>7</v>
      </c>
      <c r="B15" s="897" t="s">
        <v>828</v>
      </c>
      <c r="C15" s="896" t="s">
        <v>829</v>
      </c>
    </row>
    <row r="17" spans="1:3" ht="52.8">
      <c r="A17" s="898">
        <v>8</v>
      </c>
      <c r="B17" s="897" t="s">
        <v>830</v>
      </c>
      <c r="C17" s="896" t="s">
        <v>831</v>
      </c>
    </row>
    <row r="19" spans="1:3" ht="39.6">
      <c r="A19" s="898">
        <v>9</v>
      </c>
      <c r="B19" s="897" t="s">
        <v>832</v>
      </c>
      <c r="C19" s="896" t="s">
        <v>833</v>
      </c>
    </row>
    <row r="21" spans="1:3" ht="39.6">
      <c r="A21" s="898">
        <v>10</v>
      </c>
      <c r="C21" s="896" t="s">
        <v>845</v>
      </c>
    </row>
  </sheetData>
  <phoneticPr fontId="29"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7E9B0-E047-4920-8167-8F5BB492C5EF}">
  <dimension ref="A1:D120"/>
  <sheetViews>
    <sheetView tabSelected="1" topLeftCell="A50" workbookViewId="0">
      <selection activeCell="C88" sqref="C88"/>
    </sheetView>
  </sheetViews>
  <sheetFormatPr defaultRowHeight="13.2" outlineLevelRow="2"/>
  <cols>
    <col min="1" max="1" width="8.88671875" style="1026"/>
    <col min="2" max="2" width="7.5546875" customWidth="1"/>
    <col min="3" max="3" width="73.88671875" style="759" bestFit="1" customWidth="1"/>
    <col min="4" max="4" width="10.21875" style="287" customWidth="1"/>
  </cols>
  <sheetData>
    <row r="1" spans="1:4" ht="18" customHeight="1" thickBot="1">
      <c r="A1" s="1031" t="s">
        <v>965</v>
      </c>
      <c r="B1" s="1032"/>
      <c r="C1" s="1032"/>
      <c r="D1" s="1033"/>
    </row>
    <row r="2" spans="1:4" ht="18.600000000000001" customHeight="1" thickBot="1">
      <c r="A2" s="1041" t="s">
        <v>178</v>
      </c>
      <c r="B2" s="1042" t="s">
        <v>179</v>
      </c>
      <c r="C2" s="1042" t="s">
        <v>910</v>
      </c>
      <c r="D2" s="1043" t="s">
        <v>911</v>
      </c>
    </row>
    <row r="3" spans="1:4" hidden="1" outlineLevel="2">
      <c r="A3" s="1027">
        <v>5</v>
      </c>
      <c r="B3" s="1028" t="s">
        <v>134</v>
      </c>
      <c r="C3" s="1029" t="s">
        <v>866</v>
      </c>
      <c r="D3" s="1030">
        <v>510</v>
      </c>
    </row>
    <row r="4" spans="1:4" ht="13.8" outlineLevel="1" collapsed="1">
      <c r="A4" s="1034">
        <f>SUBTOTAL(9,A3:A3)</f>
        <v>5</v>
      </c>
      <c r="B4" s="1035" t="s">
        <v>134</v>
      </c>
      <c r="C4" s="1036" t="s">
        <v>912</v>
      </c>
      <c r="D4" s="1037">
        <v>510</v>
      </c>
    </row>
    <row r="5" spans="1:4" ht="13.8" hidden="1" outlineLevel="2">
      <c r="A5" s="1034">
        <v>5</v>
      </c>
      <c r="B5" s="1035" t="s">
        <v>134</v>
      </c>
      <c r="C5" s="1035" t="s">
        <v>861</v>
      </c>
      <c r="D5" s="1037">
        <v>510</v>
      </c>
    </row>
    <row r="6" spans="1:4" ht="13.8" outlineLevel="1" collapsed="1">
      <c r="A6" s="1034">
        <f>SUBTOTAL(9,A5:A5)</f>
        <v>5</v>
      </c>
      <c r="B6" s="1035" t="s">
        <v>134</v>
      </c>
      <c r="C6" s="1035" t="s">
        <v>913</v>
      </c>
      <c r="D6" s="1037">
        <v>510</v>
      </c>
    </row>
    <row r="7" spans="1:4" ht="13.8" hidden="1" outlineLevel="2">
      <c r="A7" s="1034">
        <v>1</v>
      </c>
      <c r="B7" s="1035" t="s">
        <v>134</v>
      </c>
      <c r="C7" s="1035" t="s">
        <v>858</v>
      </c>
      <c r="D7" s="1037">
        <v>510</v>
      </c>
    </row>
    <row r="8" spans="1:4" ht="13.8" outlineLevel="1" collapsed="1">
      <c r="A8" s="1034">
        <f>SUBTOTAL(9,A7:A7)</f>
        <v>1</v>
      </c>
      <c r="B8" s="1035" t="s">
        <v>134</v>
      </c>
      <c r="C8" s="1035" t="s">
        <v>914</v>
      </c>
      <c r="D8" s="1037">
        <v>510</v>
      </c>
    </row>
    <row r="9" spans="1:4" ht="13.8" hidden="1" outlineLevel="2">
      <c r="A9" s="1034">
        <v>2</v>
      </c>
      <c r="B9" s="1035" t="s">
        <v>134</v>
      </c>
      <c r="C9" s="1035" t="s">
        <v>862</v>
      </c>
      <c r="D9" s="1037">
        <v>510</v>
      </c>
    </row>
    <row r="10" spans="1:4" ht="13.8" outlineLevel="1" collapsed="1">
      <c r="A10" s="1034">
        <f>SUBTOTAL(9,A9:A9)</f>
        <v>2</v>
      </c>
      <c r="B10" s="1035" t="s">
        <v>134</v>
      </c>
      <c r="C10" s="1035" t="s">
        <v>915</v>
      </c>
      <c r="D10" s="1037">
        <v>510</v>
      </c>
    </row>
    <row r="11" spans="1:4" ht="13.8" hidden="1" outlineLevel="2">
      <c r="A11" s="1034">
        <v>2</v>
      </c>
      <c r="B11" s="1035" t="s">
        <v>134</v>
      </c>
      <c r="C11" s="1035" t="s">
        <v>863</v>
      </c>
      <c r="D11" s="1037">
        <v>510</v>
      </c>
    </row>
    <row r="12" spans="1:4" ht="13.8" outlineLevel="1" collapsed="1">
      <c r="A12" s="1034">
        <f>SUBTOTAL(9,A11:A11)</f>
        <v>2</v>
      </c>
      <c r="B12" s="1035" t="s">
        <v>134</v>
      </c>
      <c r="C12" s="1035" t="s">
        <v>916</v>
      </c>
      <c r="D12" s="1037">
        <v>510</v>
      </c>
    </row>
    <row r="13" spans="1:4" ht="13.8" hidden="1" outlineLevel="2">
      <c r="A13" s="1034">
        <v>1</v>
      </c>
      <c r="B13" s="1035" t="s">
        <v>134</v>
      </c>
      <c r="C13" s="1035" t="s">
        <v>859</v>
      </c>
      <c r="D13" s="1037">
        <v>510</v>
      </c>
    </row>
    <row r="14" spans="1:4" ht="13.8" outlineLevel="1" collapsed="1">
      <c r="A14" s="1034">
        <f>SUBTOTAL(9,A13:A13)</f>
        <v>1</v>
      </c>
      <c r="B14" s="1035" t="s">
        <v>134</v>
      </c>
      <c r="C14" s="1035" t="s">
        <v>917</v>
      </c>
      <c r="D14" s="1037">
        <v>510</v>
      </c>
    </row>
    <row r="15" spans="1:4" ht="13.8" hidden="1" outlineLevel="2">
      <c r="A15" s="1034">
        <v>1</v>
      </c>
      <c r="B15" s="1035" t="s">
        <v>134</v>
      </c>
      <c r="C15" s="1035" t="s">
        <v>857</v>
      </c>
      <c r="D15" s="1037">
        <v>510</v>
      </c>
    </row>
    <row r="16" spans="1:4" ht="13.8" outlineLevel="1" collapsed="1">
      <c r="A16" s="1034">
        <f>SUBTOTAL(9,A15:A15)</f>
        <v>1</v>
      </c>
      <c r="B16" s="1035" t="s">
        <v>134</v>
      </c>
      <c r="C16" s="1035" t="s">
        <v>918</v>
      </c>
      <c r="D16" s="1037">
        <v>510</v>
      </c>
    </row>
    <row r="17" spans="1:4" ht="13.8" hidden="1" outlineLevel="2">
      <c r="A17" s="1034">
        <v>1</v>
      </c>
      <c r="B17" s="1035" t="s">
        <v>134</v>
      </c>
      <c r="C17" s="1035" t="s">
        <v>864</v>
      </c>
      <c r="D17" s="1037">
        <v>510</v>
      </c>
    </row>
    <row r="18" spans="1:4" ht="13.8" outlineLevel="1" collapsed="1">
      <c r="A18" s="1034">
        <f>SUBTOTAL(9,A17:A17)</f>
        <v>1</v>
      </c>
      <c r="B18" s="1035" t="s">
        <v>134</v>
      </c>
      <c r="C18" s="1035" t="s">
        <v>919</v>
      </c>
      <c r="D18" s="1037">
        <v>510</v>
      </c>
    </row>
    <row r="19" spans="1:4" ht="13.8" hidden="1" outlineLevel="2">
      <c r="A19" s="1034">
        <v>1</v>
      </c>
      <c r="B19" s="1035" t="s">
        <v>134</v>
      </c>
      <c r="C19" s="1035" t="s">
        <v>860</v>
      </c>
      <c r="D19" s="1037">
        <v>510</v>
      </c>
    </row>
    <row r="20" spans="1:4" ht="13.8" outlineLevel="1" collapsed="1">
      <c r="A20" s="1034">
        <f>SUBTOTAL(9,A19:A19)</f>
        <v>1</v>
      </c>
      <c r="B20" s="1035" t="s">
        <v>134</v>
      </c>
      <c r="C20" s="1035" t="s">
        <v>920</v>
      </c>
      <c r="D20" s="1037">
        <v>510</v>
      </c>
    </row>
    <row r="21" spans="1:4" ht="13.8" hidden="1" outlineLevel="2">
      <c r="A21" s="1034">
        <v>2</v>
      </c>
      <c r="B21" s="1035" t="s">
        <v>134</v>
      </c>
      <c r="C21" s="1035" t="s">
        <v>867</v>
      </c>
      <c r="D21" s="1037">
        <v>510</v>
      </c>
    </row>
    <row r="22" spans="1:4" ht="13.8" outlineLevel="1" collapsed="1">
      <c r="A22" s="1034">
        <f>SUBTOTAL(9,A21:A21)</f>
        <v>2</v>
      </c>
      <c r="B22" s="1035" t="s">
        <v>134</v>
      </c>
      <c r="C22" s="1035" t="s">
        <v>921</v>
      </c>
      <c r="D22" s="1037">
        <v>510</v>
      </c>
    </row>
    <row r="23" spans="1:4" ht="13.8" hidden="1" outlineLevel="2">
      <c r="A23" s="1034">
        <v>30</v>
      </c>
      <c r="B23" s="1035" t="s">
        <v>134</v>
      </c>
      <c r="C23" s="1035" t="s">
        <v>865</v>
      </c>
      <c r="D23" s="1037">
        <v>510</v>
      </c>
    </row>
    <row r="24" spans="1:4" ht="13.8" outlineLevel="1" collapsed="1">
      <c r="A24" s="1034">
        <f>SUBTOTAL(9,A23:A23)</f>
        <v>30</v>
      </c>
      <c r="B24" s="1035" t="s">
        <v>134</v>
      </c>
      <c r="C24" s="1035" t="s">
        <v>922</v>
      </c>
      <c r="D24" s="1037">
        <v>510</v>
      </c>
    </row>
    <row r="25" spans="1:4" ht="13.8" hidden="1" outlineLevel="2">
      <c r="A25" s="1034">
        <v>496.51724137931035</v>
      </c>
      <c r="B25" s="1035" t="s">
        <v>284</v>
      </c>
      <c r="C25" s="1035" t="s">
        <v>868</v>
      </c>
      <c r="D25" s="1037">
        <v>615</v>
      </c>
    </row>
    <row r="26" spans="1:4" ht="13.8" hidden="1" outlineLevel="2">
      <c r="A26" s="1034">
        <v>99</v>
      </c>
      <c r="B26" s="1035" t="s">
        <v>284</v>
      </c>
      <c r="C26" s="1035" t="s">
        <v>868</v>
      </c>
      <c r="D26" s="1037">
        <v>615</v>
      </c>
    </row>
    <row r="27" spans="1:4" ht="13.8" outlineLevel="1" collapsed="1">
      <c r="A27" s="1034">
        <f>SUBTOTAL(9,A25:A26)</f>
        <v>595.51724137931035</v>
      </c>
      <c r="B27" s="1035" t="s">
        <v>284</v>
      </c>
      <c r="C27" s="1035" t="s">
        <v>923</v>
      </c>
      <c r="D27" s="1037">
        <v>615</v>
      </c>
    </row>
    <row r="28" spans="1:4" ht="13.8" hidden="1" outlineLevel="2">
      <c r="A28" s="1034">
        <v>302.16666666666669</v>
      </c>
      <c r="B28" s="1035" t="s">
        <v>284</v>
      </c>
      <c r="C28" s="1035" t="s">
        <v>869</v>
      </c>
      <c r="D28" s="1037">
        <v>615</v>
      </c>
    </row>
    <row r="29" spans="1:4" ht="13.8" outlineLevel="1" collapsed="1">
      <c r="A29" s="1034">
        <f>SUBTOTAL(9,A28:A28)</f>
        <v>302.16666666666669</v>
      </c>
      <c r="B29" s="1035" t="s">
        <v>284</v>
      </c>
      <c r="C29" s="1035" t="s">
        <v>924</v>
      </c>
      <c r="D29" s="1037">
        <v>615</v>
      </c>
    </row>
    <row r="30" spans="1:4" ht="13.8" hidden="1" outlineLevel="2">
      <c r="A30" s="1034">
        <v>66.5</v>
      </c>
      <c r="B30" s="1035" t="s">
        <v>284</v>
      </c>
      <c r="C30" s="1035" t="s">
        <v>870</v>
      </c>
      <c r="D30" s="1037">
        <v>615</v>
      </c>
    </row>
    <row r="31" spans="1:4" ht="13.8" outlineLevel="1" collapsed="1">
      <c r="A31" s="1034">
        <f>SUBTOTAL(9,A30:A30)</f>
        <v>66.5</v>
      </c>
      <c r="B31" s="1035" t="s">
        <v>284</v>
      </c>
      <c r="C31" s="1035" t="s">
        <v>925</v>
      </c>
      <c r="D31" s="1037">
        <v>615</v>
      </c>
    </row>
    <row r="32" spans="1:4" ht="13.8" hidden="1" outlineLevel="2">
      <c r="A32" s="1034">
        <v>209.53285714285715</v>
      </c>
      <c r="B32" s="1035" t="s">
        <v>284</v>
      </c>
      <c r="C32" s="1035" t="s">
        <v>871</v>
      </c>
      <c r="D32" s="1037">
        <v>616</v>
      </c>
    </row>
    <row r="33" spans="1:4" ht="13.8" outlineLevel="1" collapsed="1">
      <c r="A33" s="1034">
        <f>SUBTOTAL(9,A32:A32)</f>
        <v>209.53285714285715</v>
      </c>
      <c r="B33" s="1035" t="s">
        <v>284</v>
      </c>
      <c r="C33" s="1035" t="s">
        <v>926</v>
      </c>
      <c r="D33" s="1037">
        <v>616</v>
      </c>
    </row>
    <row r="34" spans="1:4" ht="13.8" hidden="1" outlineLevel="2">
      <c r="A34" s="1034">
        <v>25</v>
      </c>
      <c r="B34" s="1035" t="s">
        <v>284</v>
      </c>
      <c r="C34" s="1035" t="s">
        <v>872</v>
      </c>
      <c r="D34" s="1037">
        <v>616</v>
      </c>
    </row>
    <row r="35" spans="1:4" ht="13.8" outlineLevel="1" collapsed="1">
      <c r="A35" s="1034">
        <f>SUBTOTAL(9,A34:A34)</f>
        <v>25</v>
      </c>
      <c r="B35" s="1035" t="s">
        <v>284</v>
      </c>
      <c r="C35" s="1035" t="s">
        <v>927</v>
      </c>
      <c r="D35" s="1037">
        <v>616</v>
      </c>
    </row>
    <row r="36" spans="1:4" ht="13.8" hidden="1" outlineLevel="2">
      <c r="A36" s="1034">
        <v>52</v>
      </c>
      <c r="B36" s="1035" t="s">
        <v>284</v>
      </c>
      <c r="C36" s="1035" t="s">
        <v>873</v>
      </c>
      <c r="D36" s="1037">
        <v>617</v>
      </c>
    </row>
    <row r="37" spans="1:4" ht="13.8" hidden="1" outlineLevel="2">
      <c r="A37" s="1034">
        <v>5</v>
      </c>
      <c r="B37" s="1035" t="s">
        <v>284</v>
      </c>
      <c r="C37" s="1035" t="s">
        <v>873</v>
      </c>
      <c r="D37" s="1037">
        <v>617</v>
      </c>
    </row>
    <row r="38" spans="1:4" ht="13.8" outlineLevel="1" collapsed="1">
      <c r="A38" s="1034">
        <f>SUBTOTAL(9,A36:A37)</f>
        <v>57</v>
      </c>
      <c r="B38" s="1035" t="s">
        <v>284</v>
      </c>
      <c r="C38" s="1035" t="s">
        <v>928</v>
      </c>
      <c r="D38" s="1037">
        <v>617</v>
      </c>
    </row>
    <row r="39" spans="1:4" ht="13.8" hidden="1" outlineLevel="2">
      <c r="A39" s="1034">
        <v>6</v>
      </c>
      <c r="B39" s="1035" t="s">
        <v>134</v>
      </c>
      <c r="C39" s="1035" t="s">
        <v>875</v>
      </c>
      <c r="D39" s="1037">
        <v>620</v>
      </c>
    </row>
    <row r="40" spans="1:4" ht="13.8" outlineLevel="1" collapsed="1">
      <c r="A40" s="1034">
        <f>SUBTOTAL(9,A39:A39)</f>
        <v>6</v>
      </c>
      <c r="B40" s="1035" t="s">
        <v>134</v>
      </c>
      <c r="C40" s="1035" t="s">
        <v>929</v>
      </c>
      <c r="D40" s="1037">
        <v>620</v>
      </c>
    </row>
    <row r="41" spans="1:4" ht="13.8" hidden="1" outlineLevel="2">
      <c r="A41" s="1034">
        <v>2</v>
      </c>
      <c r="B41" s="1035" t="s">
        <v>134</v>
      </c>
      <c r="C41" s="1035" t="s">
        <v>876</v>
      </c>
      <c r="D41" s="1037">
        <v>620</v>
      </c>
    </row>
    <row r="42" spans="1:4" ht="13.8" outlineLevel="1" collapsed="1">
      <c r="A42" s="1034">
        <f>SUBTOTAL(9,A41:A41)</f>
        <v>2</v>
      </c>
      <c r="B42" s="1035" t="s">
        <v>134</v>
      </c>
      <c r="C42" s="1035" t="s">
        <v>930</v>
      </c>
      <c r="D42" s="1037">
        <v>620</v>
      </c>
    </row>
    <row r="43" spans="1:4" ht="13.8" hidden="1" outlineLevel="2">
      <c r="A43" s="1034">
        <v>2</v>
      </c>
      <c r="B43" s="1035" t="s">
        <v>134</v>
      </c>
      <c r="C43" s="1035" t="s">
        <v>874</v>
      </c>
      <c r="D43" s="1037">
        <v>620</v>
      </c>
    </row>
    <row r="44" spans="1:4" ht="13.8" outlineLevel="1" collapsed="1">
      <c r="A44" s="1034">
        <f>SUBTOTAL(9,A43:A43)</f>
        <v>2</v>
      </c>
      <c r="B44" s="1035" t="s">
        <v>134</v>
      </c>
      <c r="C44" s="1035" t="s">
        <v>931</v>
      </c>
      <c r="D44" s="1037">
        <v>620</v>
      </c>
    </row>
    <row r="45" spans="1:4" ht="13.8" hidden="1" outlineLevel="2">
      <c r="A45" s="1034">
        <v>18</v>
      </c>
      <c r="B45" s="1035" t="s">
        <v>284</v>
      </c>
      <c r="C45" s="1035" t="s">
        <v>877</v>
      </c>
      <c r="D45" s="1037">
        <v>700</v>
      </c>
    </row>
    <row r="46" spans="1:4" ht="13.8" hidden="1" outlineLevel="2">
      <c r="A46" s="1034">
        <v>60.344827586206897</v>
      </c>
      <c r="B46" s="1035" t="s">
        <v>284</v>
      </c>
      <c r="C46" s="1035" t="s">
        <v>877</v>
      </c>
      <c r="D46" s="1037">
        <v>700</v>
      </c>
    </row>
    <row r="47" spans="1:4" ht="13.8" hidden="1" outlineLevel="2">
      <c r="A47" s="1034">
        <v>112</v>
      </c>
      <c r="B47" s="1035" t="s">
        <v>284</v>
      </c>
      <c r="C47" s="1035" t="s">
        <v>877</v>
      </c>
      <c r="D47" s="1037">
        <v>700</v>
      </c>
    </row>
    <row r="48" spans="1:4" ht="13.8" hidden="1" outlineLevel="2">
      <c r="A48" s="1034">
        <v>22</v>
      </c>
      <c r="B48" s="1035" t="s">
        <v>284</v>
      </c>
      <c r="C48" s="1035" t="s">
        <v>877</v>
      </c>
      <c r="D48" s="1037">
        <v>700</v>
      </c>
    </row>
    <row r="49" spans="1:4" ht="13.8" hidden="1" outlineLevel="2">
      <c r="A49" s="1034">
        <v>45</v>
      </c>
      <c r="B49" s="1035" t="s">
        <v>284</v>
      </c>
      <c r="C49" s="1035" t="s">
        <v>877</v>
      </c>
      <c r="D49" s="1037">
        <v>700</v>
      </c>
    </row>
    <row r="50" spans="1:4" ht="13.8" outlineLevel="1" collapsed="1">
      <c r="A50" s="1034">
        <f>SUBTOTAL(9,A45:A49)</f>
        <v>257.34482758620686</v>
      </c>
      <c r="B50" s="1035" t="s">
        <v>284</v>
      </c>
      <c r="C50" s="1035" t="s">
        <v>932</v>
      </c>
      <c r="D50" s="1037">
        <v>700</v>
      </c>
    </row>
    <row r="51" spans="1:4" ht="13.8" hidden="1" outlineLevel="2">
      <c r="A51" s="1034">
        <v>12</v>
      </c>
      <c r="B51" s="1035" t="s">
        <v>284</v>
      </c>
      <c r="C51" s="1035" t="s">
        <v>879</v>
      </c>
      <c r="D51" s="1037">
        <v>700</v>
      </c>
    </row>
    <row r="52" spans="1:4" ht="13.8" hidden="1" outlineLevel="2">
      <c r="A52" s="1034">
        <v>35</v>
      </c>
      <c r="B52" s="1035" t="s">
        <v>284</v>
      </c>
      <c r="C52" s="1035" t="s">
        <v>879</v>
      </c>
      <c r="D52" s="1037">
        <v>700</v>
      </c>
    </row>
    <row r="53" spans="1:4" ht="13.8" hidden="1" outlineLevel="2">
      <c r="A53" s="1034">
        <v>11</v>
      </c>
      <c r="B53" s="1035" t="s">
        <v>284</v>
      </c>
      <c r="C53" s="1035" t="s">
        <v>879</v>
      </c>
      <c r="D53" s="1037">
        <v>700</v>
      </c>
    </row>
    <row r="54" spans="1:4" ht="13.8" outlineLevel="1" collapsed="1">
      <c r="A54" s="1034">
        <f>SUBTOTAL(9,A51:A53)</f>
        <v>58</v>
      </c>
      <c r="B54" s="1035" t="s">
        <v>284</v>
      </c>
      <c r="C54" s="1035" t="s">
        <v>933</v>
      </c>
      <c r="D54" s="1037">
        <v>700</v>
      </c>
    </row>
    <row r="55" spans="1:4" ht="13.8" hidden="1" outlineLevel="2">
      <c r="A55" s="1034">
        <v>17</v>
      </c>
      <c r="B55" s="1035" t="s">
        <v>284</v>
      </c>
      <c r="C55" s="1035" t="s">
        <v>878</v>
      </c>
      <c r="D55" s="1037">
        <v>700</v>
      </c>
    </row>
    <row r="56" spans="1:4" ht="13.8" hidden="1" outlineLevel="2">
      <c r="A56" s="1034">
        <v>15</v>
      </c>
      <c r="B56" s="1035" t="s">
        <v>284</v>
      </c>
      <c r="C56" s="1035" t="s">
        <v>878</v>
      </c>
      <c r="D56" s="1037">
        <v>700</v>
      </c>
    </row>
    <row r="57" spans="1:4" ht="13.8" outlineLevel="1" collapsed="1">
      <c r="A57" s="1034">
        <f>SUBTOTAL(9,A55:A56)</f>
        <v>32</v>
      </c>
      <c r="B57" s="1035" t="s">
        <v>284</v>
      </c>
      <c r="C57" s="1035" t="s">
        <v>934</v>
      </c>
      <c r="D57" s="1037">
        <v>700</v>
      </c>
    </row>
    <row r="58" spans="1:4" ht="13.8" hidden="1" outlineLevel="2">
      <c r="A58" s="1034">
        <v>1</v>
      </c>
      <c r="B58" s="1035" t="s">
        <v>134</v>
      </c>
      <c r="C58" s="1035" t="s">
        <v>880</v>
      </c>
      <c r="D58" s="1037">
        <v>700</v>
      </c>
    </row>
    <row r="59" spans="1:4" ht="13.8" hidden="1" outlineLevel="2">
      <c r="A59" s="1034">
        <v>8</v>
      </c>
      <c r="B59" s="1035" t="s">
        <v>134</v>
      </c>
      <c r="C59" s="1035" t="s">
        <v>880</v>
      </c>
      <c r="D59" s="1037">
        <v>700</v>
      </c>
    </row>
    <row r="60" spans="1:4" ht="13.8" outlineLevel="1" collapsed="1">
      <c r="A60" s="1034">
        <f>SUBTOTAL(9,A58:A59)</f>
        <v>9</v>
      </c>
      <c r="B60" s="1035" t="s">
        <v>134</v>
      </c>
      <c r="C60" s="1035" t="s">
        <v>935</v>
      </c>
      <c r="D60" s="1037">
        <v>700</v>
      </c>
    </row>
    <row r="61" spans="1:4" ht="13.8" hidden="1" outlineLevel="2">
      <c r="A61" s="1034">
        <v>4</v>
      </c>
      <c r="B61" s="1035" t="s">
        <v>134</v>
      </c>
      <c r="C61" s="1035" t="s">
        <v>887</v>
      </c>
      <c r="D61" s="1037">
        <v>705</v>
      </c>
    </row>
    <row r="62" spans="1:4" ht="13.8" outlineLevel="1" collapsed="1">
      <c r="A62" s="1034">
        <f>SUBTOTAL(9,A61:A61)</f>
        <v>4</v>
      </c>
      <c r="B62" s="1035" t="s">
        <v>134</v>
      </c>
      <c r="C62" s="1035" t="s">
        <v>936</v>
      </c>
      <c r="D62" s="1037">
        <v>705</v>
      </c>
    </row>
    <row r="63" spans="1:4" ht="13.8" hidden="1" outlineLevel="2">
      <c r="A63" s="1034">
        <v>1</v>
      </c>
      <c r="B63" s="1035" t="s">
        <v>134</v>
      </c>
      <c r="C63" s="1035" t="s">
        <v>891</v>
      </c>
      <c r="D63" s="1037">
        <v>705</v>
      </c>
    </row>
    <row r="64" spans="1:4" ht="13.8" outlineLevel="1" collapsed="1">
      <c r="A64" s="1034">
        <f>SUBTOTAL(9,A63:A63)</f>
        <v>1</v>
      </c>
      <c r="B64" s="1035" t="s">
        <v>134</v>
      </c>
      <c r="C64" s="1035" t="s">
        <v>937</v>
      </c>
      <c r="D64" s="1037">
        <v>705</v>
      </c>
    </row>
    <row r="65" spans="1:4" ht="13.8" hidden="1" outlineLevel="2">
      <c r="A65" s="1034">
        <v>7</v>
      </c>
      <c r="B65" s="1035" t="s">
        <v>134</v>
      </c>
      <c r="C65" s="1035" t="s">
        <v>885</v>
      </c>
      <c r="D65" s="1037">
        <v>705</v>
      </c>
    </row>
    <row r="66" spans="1:4" ht="13.8" outlineLevel="1" collapsed="1">
      <c r="A66" s="1034">
        <f>SUBTOTAL(9,A65:A65)</f>
        <v>7</v>
      </c>
      <c r="B66" s="1035" t="s">
        <v>134</v>
      </c>
      <c r="C66" s="1035" t="s">
        <v>938</v>
      </c>
      <c r="D66" s="1037">
        <v>705</v>
      </c>
    </row>
    <row r="67" spans="1:4" ht="13.8" hidden="1" outlineLevel="2">
      <c r="A67" s="1034">
        <v>2</v>
      </c>
      <c r="B67" s="1035" t="s">
        <v>134</v>
      </c>
      <c r="C67" s="1035" t="s">
        <v>883</v>
      </c>
      <c r="D67" s="1037">
        <v>705</v>
      </c>
    </row>
    <row r="68" spans="1:4" ht="13.8" outlineLevel="1" collapsed="1">
      <c r="A68" s="1034">
        <f>SUBTOTAL(9,A67:A67)</f>
        <v>2</v>
      </c>
      <c r="B68" s="1035" t="s">
        <v>134</v>
      </c>
      <c r="C68" s="1035" t="s">
        <v>939</v>
      </c>
      <c r="D68" s="1037">
        <v>705</v>
      </c>
    </row>
    <row r="69" spans="1:4" ht="13.8" hidden="1" outlineLevel="2">
      <c r="A69" s="1034">
        <v>3</v>
      </c>
      <c r="B69" s="1035" t="s">
        <v>134</v>
      </c>
      <c r="C69" s="1035" t="s">
        <v>884</v>
      </c>
      <c r="D69" s="1037">
        <v>705</v>
      </c>
    </row>
    <row r="70" spans="1:4" ht="13.8" outlineLevel="1" collapsed="1">
      <c r="A70" s="1034">
        <f>SUBTOTAL(9,A69:A69)</f>
        <v>3</v>
      </c>
      <c r="B70" s="1035" t="s">
        <v>134</v>
      </c>
      <c r="C70" s="1035" t="s">
        <v>940</v>
      </c>
      <c r="D70" s="1037">
        <v>705</v>
      </c>
    </row>
    <row r="71" spans="1:4" ht="13.8" hidden="1" outlineLevel="2">
      <c r="A71" s="1034">
        <v>3</v>
      </c>
      <c r="B71" s="1035" t="s">
        <v>134</v>
      </c>
      <c r="C71" s="1035" t="s">
        <v>888</v>
      </c>
      <c r="D71" s="1037">
        <v>705</v>
      </c>
    </row>
    <row r="72" spans="1:4" ht="13.8" outlineLevel="1" collapsed="1">
      <c r="A72" s="1034">
        <f>SUBTOTAL(9,A71:A71)</f>
        <v>3</v>
      </c>
      <c r="B72" s="1035" t="s">
        <v>134</v>
      </c>
      <c r="C72" s="1035" t="s">
        <v>941</v>
      </c>
      <c r="D72" s="1037">
        <v>705</v>
      </c>
    </row>
    <row r="73" spans="1:4" ht="13.8" hidden="1" outlineLevel="2">
      <c r="A73" s="1034">
        <v>1</v>
      </c>
      <c r="B73" s="1035" t="s">
        <v>134</v>
      </c>
      <c r="C73" s="1035" t="s">
        <v>889</v>
      </c>
      <c r="D73" s="1037">
        <v>705</v>
      </c>
    </row>
    <row r="74" spans="1:4" ht="13.8" outlineLevel="1" collapsed="1">
      <c r="A74" s="1034">
        <f>SUBTOTAL(9,A73:A73)</f>
        <v>1</v>
      </c>
      <c r="B74" s="1035" t="s">
        <v>134</v>
      </c>
      <c r="C74" s="1035" t="s">
        <v>942</v>
      </c>
      <c r="D74" s="1037">
        <v>705</v>
      </c>
    </row>
    <row r="75" spans="1:4" ht="13.8" hidden="1" outlineLevel="2">
      <c r="A75" s="1034">
        <v>1</v>
      </c>
      <c r="B75" s="1035" t="s">
        <v>134</v>
      </c>
      <c r="C75" s="1035" t="s">
        <v>886</v>
      </c>
      <c r="D75" s="1037">
        <v>705</v>
      </c>
    </row>
    <row r="76" spans="1:4" ht="13.8" outlineLevel="1" collapsed="1">
      <c r="A76" s="1034">
        <f>SUBTOTAL(9,A75:A75)</f>
        <v>1</v>
      </c>
      <c r="B76" s="1035" t="s">
        <v>134</v>
      </c>
      <c r="C76" s="1035" t="s">
        <v>943</v>
      </c>
      <c r="D76" s="1037">
        <v>705</v>
      </c>
    </row>
    <row r="77" spans="1:4" ht="13.8" hidden="1" outlineLevel="2">
      <c r="A77" s="1034">
        <v>5</v>
      </c>
      <c r="B77" s="1035" t="s">
        <v>134</v>
      </c>
      <c r="C77" s="1035" t="s">
        <v>890</v>
      </c>
      <c r="D77" s="1037">
        <v>705</v>
      </c>
    </row>
    <row r="78" spans="1:4" ht="13.8" outlineLevel="1" collapsed="1">
      <c r="A78" s="1034">
        <f>SUBTOTAL(9,A77:A77)</f>
        <v>5</v>
      </c>
      <c r="B78" s="1035" t="s">
        <v>134</v>
      </c>
      <c r="C78" s="1035" t="s">
        <v>944</v>
      </c>
      <c r="D78" s="1037">
        <v>705</v>
      </c>
    </row>
    <row r="79" spans="1:4" ht="13.8" hidden="1" outlineLevel="2">
      <c r="A79" s="1034">
        <v>1</v>
      </c>
      <c r="B79" s="1035" t="s">
        <v>134</v>
      </c>
      <c r="C79" s="1035" t="s">
        <v>882</v>
      </c>
      <c r="D79" s="1037">
        <v>705</v>
      </c>
    </row>
    <row r="80" spans="1:4" ht="13.8" outlineLevel="1" collapsed="1">
      <c r="A80" s="1034">
        <f>SUBTOTAL(9,A79:A79)</f>
        <v>1</v>
      </c>
      <c r="B80" s="1035" t="s">
        <v>134</v>
      </c>
      <c r="C80" s="1035" t="s">
        <v>945</v>
      </c>
      <c r="D80" s="1037">
        <v>705</v>
      </c>
    </row>
    <row r="81" spans="1:4" ht="13.8" hidden="1" outlineLevel="2">
      <c r="A81" s="1034">
        <v>7</v>
      </c>
      <c r="B81" s="1035" t="s">
        <v>134</v>
      </c>
      <c r="C81" s="1035" t="s">
        <v>881</v>
      </c>
      <c r="D81" s="1037">
        <v>705</v>
      </c>
    </row>
    <row r="82" spans="1:4" ht="13.8" outlineLevel="1" collapsed="1">
      <c r="A82" s="1034">
        <f>SUBTOTAL(9,A81:A81)</f>
        <v>7</v>
      </c>
      <c r="B82" s="1035" t="s">
        <v>134</v>
      </c>
      <c r="C82" s="1035" t="s">
        <v>946</v>
      </c>
      <c r="D82" s="1037">
        <v>705</v>
      </c>
    </row>
    <row r="83" spans="1:4" ht="13.8" hidden="1" outlineLevel="2">
      <c r="A83" s="1034">
        <v>1</v>
      </c>
      <c r="B83" s="1035" t="s">
        <v>134</v>
      </c>
      <c r="C83" s="1035" t="s">
        <v>893</v>
      </c>
      <c r="D83" s="1037">
        <v>725</v>
      </c>
    </row>
    <row r="84" spans="1:4" ht="13.8" outlineLevel="1" collapsed="1">
      <c r="A84" s="1034">
        <f>SUBTOTAL(9,A83:A83)</f>
        <v>1</v>
      </c>
      <c r="B84" s="1035" t="s">
        <v>134</v>
      </c>
      <c r="C84" s="1035" t="s">
        <v>947</v>
      </c>
      <c r="D84" s="1037">
        <v>725</v>
      </c>
    </row>
    <row r="85" spans="1:4" ht="13.8" hidden="1" outlineLevel="2">
      <c r="A85" s="1034">
        <v>2</v>
      </c>
      <c r="B85" s="1035" t="s">
        <v>134</v>
      </c>
      <c r="C85" s="1035" t="s">
        <v>895</v>
      </c>
      <c r="D85" s="1037">
        <v>725</v>
      </c>
    </row>
    <row r="86" spans="1:4" ht="13.8" outlineLevel="1" collapsed="1">
      <c r="A86" s="1034">
        <f>SUBTOTAL(9,A85:A85)</f>
        <v>2</v>
      </c>
      <c r="B86" s="1035" t="s">
        <v>134</v>
      </c>
      <c r="C86" s="1035" t="s">
        <v>948</v>
      </c>
      <c r="D86" s="1037">
        <v>725</v>
      </c>
    </row>
    <row r="87" spans="1:4" ht="13.8" hidden="1" outlineLevel="2">
      <c r="A87" s="1034">
        <v>1</v>
      </c>
      <c r="B87" s="1035" t="s">
        <v>134</v>
      </c>
      <c r="C87" s="1035" t="s">
        <v>894</v>
      </c>
      <c r="D87" s="1037">
        <v>725</v>
      </c>
    </row>
    <row r="88" spans="1:4" ht="13.8" outlineLevel="1" collapsed="1">
      <c r="A88" s="1034">
        <f>SUBTOTAL(9,A87:A87)</f>
        <v>1</v>
      </c>
      <c r="B88" s="1035" t="s">
        <v>134</v>
      </c>
      <c r="C88" s="1035" t="s">
        <v>949</v>
      </c>
      <c r="D88" s="1037">
        <v>725</v>
      </c>
    </row>
    <row r="89" spans="1:4" ht="13.8" hidden="1" outlineLevel="2">
      <c r="A89" s="1034">
        <v>5</v>
      </c>
      <c r="B89" s="1035" t="s">
        <v>134</v>
      </c>
      <c r="C89" s="1035" t="s">
        <v>892</v>
      </c>
      <c r="D89" s="1037">
        <v>725</v>
      </c>
    </row>
    <row r="90" spans="1:4" ht="13.8" outlineLevel="1" collapsed="1">
      <c r="A90" s="1034">
        <f>SUBTOTAL(9,A89:A89)</f>
        <v>5</v>
      </c>
      <c r="B90" s="1035" t="s">
        <v>134</v>
      </c>
      <c r="C90" s="1035" t="s">
        <v>950</v>
      </c>
      <c r="D90" s="1037">
        <v>725</v>
      </c>
    </row>
    <row r="91" spans="1:4" ht="13.8" hidden="1" outlineLevel="2">
      <c r="A91" s="1034">
        <v>6</v>
      </c>
      <c r="B91" s="1035" t="s">
        <v>134</v>
      </c>
      <c r="C91" s="1035" t="s">
        <v>898</v>
      </c>
      <c r="D91" s="1037">
        <v>726</v>
      </c>
    </row>
    <row r="92" spans="1:4" ht="13.8" outlineLevel="1" collapsed="1">
      <c r="A92" s="1034">
        <f>SUBTOTAL(9,A91:A91)</f>
        <v>6</v>
      </c>
      <c r="B92" s="1035" t="s">
        <v>134</v>
      </c>
      <c r="C92" s="1035" t="s">
        <v>951</v>
      </c>
      <c r="D92" s="1037">
        <v>726</v>
      </c>
    </row>
    <row r="93" spans="1:4" ht="13.8" hidden="1" outlineLevel="2">
      <c r="A93" s="1034">
        <v>6</v>
      </c>
      <c r="B93" s="1035" t="s">
        <v>134</v>
      </c>
      <c r="C93" s="1035" t="s">
        <v>896</v>
      </c>
      <c r="D93" s="1037">
        <v>726</v>
      </c>
    </row>
    <row r="94" spans="1:4" ht="13.8" hidden="1" outlineLevel="2">
      <c r="A94" s="1034">
        <v>6</v>
      </c>
      <c r="B94" s="1035" t="s">
        <v>134</v>
      </c>
      <c r="C94" s="1035" t="s">
        <v>896</v>
      </c>
      <c r="D94" s="1037">
        <v>726</v>
      </c>
    </row>
    <row r="95" spans="1:4" ht="13.8" outlineLevel="1" collapsed="1">
      <c r="A95" s="1034">
        <f>SUBTOTAL(9,A93:A94)</f>
        <v>12</v>
      </c>
      <c r="B95" s="1035" t="s">
        <v>134</v>
      </c>
      <c r="C95" s="1035" t="s">
        <v>952</v>
      </c>
      <c r="D95" s="1037">
        <v>726</v>
      </c>
    </row>
    <row r="96" spans="1:4" ht="13.8" hidden="1" outlineLevel="2">
      <c r="A96" s="1034">
        <v>1</v>
      </c>
      <c r="B96" s="1035" t="s">
        <v>134</v>
      </c>
      <c r="C96" s="1035" t="s">
        <v>897</v>
      </c>
      <c r="D96" s="1037">
        <v>726</v>
      </c>
    </row>
    <row r="97" spans="1:4" ht="13.8" outlineLevel="1" collapsed="1">
      <c r="A97" s="1034">
        <f>SUBTOTAL(9,A96:A96)</f>
        <v>1</v>
      </c>
      <c r="B97" s="1035" t="s">
        <v>134</v>
      </c>
      <c r="C97" s="1035" t="s">
        <v>953</v>
      </c>
      <c r="D97" s="1037">
        <v>726</v>
      </c>
    </row>
    <row r="98" spans="1:4" ht="13.8" hidden="1" outlineLevel="2">
      <c r="A98" s="1034">
        <v>5</v>
      </c>
      <c r="B98" s="1035" t="s">
        <v>134</v>
      </c>
      <c r="C98" s="1035" t="s">
        <v>900</v>
      </c>
      <c r="D98" s="1037">
        <v>752</v>
      </c>
    </row>
    <row r="99" spans="1:4" ht="13.8" outlineLevel="1" collapsed="1">
      <c r="A99" s="1034">
        <f>SUBTOTAL(9,A98:A98)</f>
        <v>5</v>
      </c>
      <c r="B99" s="1035" t="s">
        <v>134</v>
      </c>
      <c r="C99" s="1035" t="s">
        <v>954</v>
      </c>
      <c r="D99" s="1037">
        <v>752</v>
      </c>
    </row>
    <row r="100" spans="1:4" ht="13.8" hidden="1" outlineLevel="2">
      <c r="A100" s="1034">
        <v>1</v>
      </c>
      <c r="B100" s="1035" t="s">
        <v>134</v>
      </c>
      <c r="C100" s="1035" t="s">
        <v>903</v>
      </c>
      <c r="D100" s="1037">
        <v>752</v>
      </c>
    </row>
    <row r="101" spans="1:4" ht="13.8" outlineLevel="1" collapsed="1">
      <c r="A101" s="1034">
        <f>SUBTOTAL(9,A100:A100)</f>
        <v>1</v>
      </c>
      <c r="B101" s="1035" t="s">
        <v>134</v>
      </c>
      <c r="C101" s="1035" t="s">
        <v>955</v>
      </c>
      <c r="D101" s="1037">
        <v>752</v>
      </c>
    </row>
    <row r="102" spans="1:4" ht="13.8" hidden="1" outlineLevel="2">
      <c r="A102" s="1034">
        <v>5</v>
      </c>
      <c r="B102" s="1035" t="s">
        <v>134</v>
      </c>
      <c r="C102" s="1035" t="s">
        <v>902</v>
      </c>
      <c r="D102" s="1037">
        <v>752</v>
      </c>
    </row>
    <row r="103" spans="1:4" ht="13.8" outlineLevel="1" collapsed="1">
      <c r="A103" s="1034">
        <f>SUBTOTAL(9,A102:A102)</f>
        <v>5</v>
      </c>
      <c r="B103" s="1035" t="s">
        <v>134</v>
      </c>
      <c r="C103" s="1035" t="s">
        <v>956</v>
      </c>
      <c r="D103" s="1037">
        <v>752</v>
      </c>
    </row>
    <row r="104" spans="1:4" ht="13.8" hidden="1" outlineLevel="2">
      <c r="A104" s="1034">
        <v>1</v>
      </c>
      <c r="B104" s="1035" t="s">
        <v>134</v>
      </c>
      <c r="C104" s="1035" t="s">
        <v>901</v>
      </c>
      <c r="D104" s="1037">
        <v>752</v>
      </c>
    </row>
    <row r="105" spans="1:4" ht="13.8" hidden="1" outlineLevel="2">
      <c r="A105" s="1034">
        <v>1</v>
      </c>
      <c r="B105" s="1035" t="s">
        <v>134</v>
      </c>
      <c r="C105" s="1035" t="s">
        <v>901</v>
      </c>
      <c r="D105" s="1037">
        <v>752</v>
      </c>
    </row>
    <row r="106" spans="1:4" ht="13.8" outlineLevel="1" collapsed="1">
      <c r="A106" s="1034">
        <f>SUBTOTAL(9,A104:A105)</f>
        <v>2</v>
      </c>
      <c r="B106" s="1035" t="s">
        <v>134</v>
      </c>
      <c r="C106" s="1035" t="s">
        <v>957</v>
      </c>
      <c r="D106" s="1037">
        <v>752</v>
      </c>
    </row>
    <row r="107" spans="1:4" ht="13.8" hidden="1" outlineLevel="2">
      <c r="A107" s="1034">
        <v>1</v>
      </c>
      <c r="B107" s="1035" t="s">
        <v>134</v>
      </c>
      <c r="C107" s="1035" t="s">
        <v>899</v>
      </c>
      <c r="D107" s="1037">
        <v>752</v>
      </c>
    </row>
    <row r="108" spans="1:4" ht="13.8" outlineLevel="1" collapsed="1">
      <c r="A108" s="1034">
        <f>SUBTOTAL(9,A107:A107)</f>
        <v>1</v>
      </c>
      <c r="B108" s="1035" t="s">
        <v>134</v>
      </c>
      <c r="C108" s="1035" t="s">
        <v>958</v>
      </c>
      <c r="D108" s="1037">
        <v>752</v>
      </c>
    </row>
    <row r="109" spans="1:4" ht="13.8" hidden="1" outlineLevel="2">
      <c r="A109" s="1034">
        <v>1</v>
      </c>
      <c r="B109" s="1035" t="s">
        <v>134</v>
      </c>
      <c r="C109" s="1035" t="s">
        <v>904</v>
      </c>
      <c r="D109" s="1037">
        <v>752</v>
      </c>
    </row>
    <row r="110" spans="1:4" ht="13.8" outlineLevel="1" collapsed="1">
      <c r="A110" s="1034">
        <f>SUBTOTAL(9,A109:A109)</f>
        <v>1</v>
      </c>
      <c r="B110" s="1035" t="s">
        <v>134</v>
      </c>
      <c r="C110" s="1035" t="s">
        <v>959</v>
      </c>
      <c r="D110" s="1037">
        <v>752</v>
      </c>
    </row>
    <row r="111" spans="1:4" ht="13.8" hidden="1" outlineLevel="2">
      <c r="A111" s="1034">
        <v>25</v>
      </c>
      <c r="B111" s="1035" t="s">
        <v>134</v>
      </c>
      <c r="C111" s="1035" t="s">
        <v>905</v>
      </c>
      <c r="D111" s="1037">
        <v>875</v>
      </c>
    </row>
    <row r="112" spans="1:4" ht="13.8" outlineLevel="1" collapsed="1">
      <c r="A112" s="1034">
        <f>SUBTOTAL(9,A111:A111)</f>
        <v>25</v>
      </c>
      <c r="B112" s="1035" t="s">
        <v>134</v>
      </c>
      <c r="C112" s="1035" t="s">
        <v>960</v>
      </c>
      <c r="D112" s="1037">
        <v>875</v>
      </c>
    </row>
    <row r="113" spans="1:4" ht="13.8" hidden="1" outlineLevel="2">
      <c r="A113" s="1034">
        <v>1</v>
      </c>
      <c r="B113" s="1035" t="s">
        <v>134</v>
      </c>
      <c r="C113" s="1035" t="s">
        <v>906</v>
      </c>
      <c r="D113" s="1037">
        <v>875</v>
      </c>
    </row>
    <row r="114" spans="1:4" ht="13.8" outlineLevel="1" collapsed="1">
      <c r="A114" s="1034">
        <f>SUBTOTAL(9,A113:A113)</f>
        <v>1</v>
      </c>
      <c r="B114" s="1035" t="s">
        <v>134</v>
      </c>
      <c r="C114" s="1035" t="s">
        <v>961</v>
      </c>
      <c r="D114" s="1037">
        <v>875</v>
      </c>
    </row>
    <row r="115" spans="1:4" ht="13.8" hidden="1" outlineLevel="2">
      <c r="A115" s="1034">
        <v>4</v>
      </c>
      <c r="B115" s="1035" t="s">
        <v>134</v>
      </c>
      <c r="C115" s="1035" t="s">
        <v>908</v>
      </c>
      <c r="D115" s="1037">
        <v>875</v>
      </c>
    </row>
    <row r="116" spans="1:4" ht="13.8" outlineLevel="1" collapsed="1">
      <c r="A116" s="1034">
        <f>SUBTOTAL(9,A115:A115)</f>
        <v>4</v>
      </c>
      <c r="B116" s="1035" t="s">
        <v>134</v>
      </c>
      <c r="C116" s="1035" t="s">
        <v>962</v>
      </c>
      <c r="D116" s="1037">
        <v>875</v>
      </c>
    </row>
    <row r="117" spans="1:4" ht="13.8" hidden="1" outlineLevel="2">
      <c r="A117" s="1034">
        <v>4</v>
      </c>
      <c r="B117" s="1035" t="s">
        <v>134</v>
      </c>
      <c r="C117" s="1035" t="s">
        <v>907</v>
      </c>
      <c r="D117" s="1037">
        <v>875</v>
      </c>
    </row>
    <row r="118" spans="1:4" ht="13.8" outlineLevel="1" collapsed="1">
      <c r="A118" s="1034">
        <f>SUBTOTAL(9,A117:A117)</f>
        <v>4</v>
      </c>
      <c r="B118" s="1035" t="s">
        <v>134</v>
      </c>
      <c r="C118" s="1035" t="s">
        <v>963</v>
      </c>
      <c r="D118" s="1037">
        <v>875</v>
      </c>
    </row>
    <row r="119" spans="1:4" ht="13.8" hidden="1" outlineLevel="2">
      <c r="A119" s="1034">
        <v>1</v>
      </c>
      <c r="B119" s="1035" t="s">
        <v>134</v>
      </c>
      <c r="C119" s="1035" t="s">
        <v>909</v>
      </c>
      <c r="D119" s="1037">
        <v>880</v>
      </c>
    </row>
    <row r="120" spans="1:4" ht="14.4" outlineLevel="1" collapsed="1" thickBot="1">
      <c r="A120" s="1038">
        <f>SUBTOTAL(9,A119:A119)</f>
        <v>1</v>
      </c>
      <c r="B120" s="1039" t="s">
        <v>134</v>
      </c>
      <c r="C120" s="1039" t="s">
        <v>964</v>
      </c>
      <c r="D120" s="1040">
        <v>880</v>
      </c>
    </row>
  </sheetData>
  <sortState xmlns:xlrd2="http://schemas.microsoft.com/office/spreadsheetml/2017/richdata2" ref="A3:U841">
    <sortCondition ref="D3:D841"/>
    <sortCondition ref="C3:C841"/>
  </sortState>
  <mergeCells count="1">
    <mergeCell ref="A1:D1"/>
  </mergeCells>
  <printOptions horizontalCentered="1" gridLines="1"/>
  <pageMargins left="0.18" right="0.17" top="0.6" bottom="0.55118110236220474" header="0.15748031496062992"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DE84-D658-4875-A864-666CFEABEA86}">
  <sheetPr>
    <tabColor rgb="FF92D050"/>
  </sheetPr>
  <dimension ref="A1:H35"/>
  <sheetViews>
    <sheetView workbookViewId="0">
      <selection activeCell="D25" sqref="D25"/>
    </sheetView>
  </sheetViews>
  <sheetFormatPr defaultColWidth="8.88671875" defaultRowHeight="14.4"/>
  <cols>
    <col min="1" max="1" width="8.88671875" style="792"/>
    <col min="2" max="2" width="52.6640625" style="792" customWidth="1"/>
    <col min="3" max="3" width="8.88671875" style="792"/>
    <col min="4" max="4" width="9.5546875" style="792" bestFit="1" customWidth="1"/>
    <col min="5" max="5" width="8.88671875" style="792"/>
    <col min="6" max="6" width="8.6640625" style="792" customWidth="1"/>
    <col min="7" max="7" width="9.5546875" style="792" bestFit="1" customWidth="1"/>
    <col min="8" max="16384" width="8.88671875" style="792"/>
  </cols>
  <sheetData>
    <row r="1" spans="1:7" ht="21.6" thickBot="1">
      <c r="A1" s="998" t="s">
        <v>639</v>
      </c>
      <c r="B1" s="999"/>
      <c r="C1" s="999"/>
      <c r="D1" s="999"/>
      <c r="E1" s="999"/>
      <c r="F1" s="999"/>
      <c r="G1" s="1000"/>
    </row>
    <row r="2" spans="1:7" ht="15" thickBot="1">
      <c r="A2" s="793"/>
      <c r="B2" s="794"/>
      <c r="C2" s="794"/>
      <c r="D2" s="795"/>
      <c r="E2" s="1001" t="s">
        <v>640</v>
      </c>
      <c r="F2" s="1002"/>
      <c r="G2" s="1003"/>
    </row>
    <row r="3" spans="1:7">
      <c r="A3" s="796"/>
      <c r="B3" s="797"/>
      <c r="C3" s="797"/>
      <c r="D3" s="797"/>
      <c r="E3" s="798" t="s">
        <v>641</v>
      </c>
      <c r="F3" s="799">
        <v>0.95</v>
      </c>
      <c r="G3" s="800"/>
    </row>
    <row r="4" spans="1:7">
      <c r="A4" s="801" t="s">
        <v>642</v>
      </c>
      <c r="B4" s="802" t="s">
        <v>643</v>
      </c>
      <c r="C4" s="802" t="s">
        <v>644</v>
      </c>
      <c r="D4" s="802" t="s">
        <v>645</v>
      </c>
      <c r="E4" s="802" t="s">
        <v>646</v>
      </c>
      <c r="F4" s="803"/>
      <c r="G4" s="804" t="s">
        <v>647</v>
      </c>
    </row>
    <row r="5" spans="1:7">
      <c r="A5" s="805">
        <v>1</v>
      </c>
      <c r="B5" s="797" t="s">
        <v>648</v>
      </c>
      <c r="C5" s="798" t="s">
        <v>649</v>
      </c>
      <c r="D5" s="806">
        <v>3600</v>
      </c>
      <c r="E5" s="797">
        <f>0.595*2.9</f>
        <v>1.7254999999999998</v>
      </c>
      <c r="F5" s="807">
        <f>E5*$F$3</f>
        <v>1.6392249999999997</v>
      </c>
      <c r="G5" s="808">
        <f>D5*F5</f>
        <v>5901.2099999999991</v>
      </c>
    </row>
    <row r="6" spans="1:7">
      <c r="A6" s="805">
        <v>2</v>
      </c>
      <c r="B6" s="797" t="s">
        <v>650</v>
      </c>
      <c r="C6" s="798" t="s">
        <v>134</v>
      </c>
      <c r="D6" s="797">
        <v>1000</v>
      </c>
      <c r="E6" s="797">
        <v>8.4000000000000005E-2</v>
      </c>
      <c r="F6" s="807">
        <f t="shared" ref="F6:F18" si="0">E6*$F$3</f>
        <v>7.9799999999999996E-2</v>
      </c>
      <c r="G6" s="808">
        <f t="shared" ref="G6:G18" si="1">D6*F6</f>
        <v>79.8</v>
      </c>
    </row>
    <row r="7" spans="1:7">
      <c r="A7" s="805">
        <v>3</v>
      </c>
      <c r="B7" s="797" t="s">
        <v>651</v>
      </c>
      <c r="C7" s="798" t="s">
        <v>134</v>
      </c>
      <c r="D7" s="797">
        <v>500</v>
      </c>
      <c r="E7" s="797">
        <v>0.54500000000000004</v>
      </c>
      <c r="F7" s="807">
        <f t="shared" si="0"/>
        <v>0.51775000000000004</v>
      </c>
      <c r="G7" s="808">
        <f t="shared" si="1"/>
        <v>258.875</v>
      </c>
    </row>
    <row r="8" spans="1:7">
      <c r="A8" s="805">
        <v>4</v>
      </c>
      <c r="B8" s="797" t="s">
        <v>652</v>
      </c>
      <c r="C8" s="798" t="s">
        <v>134</v>
      </c>
      <c r="D8" s="797">
        <v>300</v>
      </c>
      <c r="E8" s="797">
        <v>1.1739999999999999</v>
      </c>
      <c r="F8" s="807">
        <f t="shared" si="0"/>
        <v>1.1153</v>
      </c>
      <c r="G8" s="808">
        <f t="shared" si="1"/>
        <v>334.59</v>
      </c>
    </row>
    <row r="9" spans="1:7">
      <c r="A9" s="805">
        <v>5</v>
      </c>
      <c r="B9" s="797" t="s">
        <v>653</v>
      </c>
      <c r="C9" s="798" t="s">
        <v>134</v>
      </c>
      <c r="D9" s="797">
        <v>500</v>
      </c>
      <c r="E9" s="797">
        <v>7.3999999999999996E-2</v>
      </c>
      <c r="F9" s="807">
        <f t="shared" si="0"/>
        <v>7.0299999999999987E-2</v>
      </c>
      <c r="G9" s="808">
        <f t="shared" si="1"/>
        <v>35.149999999999991</v>
      </c>
    </row>
    <row r="10" spans="1:7">
      <c r="A10" s="805">
        <v>6</v>
      </c>
      <c r="B10" s="797" t="s">
        <v>654</v>
      </c>
      <c r="C10" s="798" t="s">
        <v>134</v>
      </c>
      <c r="D10" s="797">
        <v>700</v>
      </c>
      <c r="E10" s="797">
        <v>9.6000000000000002E-2</v>
      </c>
      <c r="F10" s="807">
        <f t="shared" si="0"/>
        <v>9.1200000000000003E-2</v>
      </c>
      <c r="G10" s="808">
        <f t="shared" si="1"/>
        <v>63.84</v>
      </c>
    </row>
    <row r="11" spans="1:7">
      <c r="A11" s="805">
        <v>7</v>
      </c>
      <c r="B11" s="797" t="s">
        <v>655</v>
      </c>
      <c r="C11" s="798" t="s">
        <v>649</v>
      </c>
      <c r="D11" s="797">
        <v>120</v>
      </c>
      <c r="E11" s="797">
        <f>0.889*2.9</f>
        <v>2.5781000000000001</v>
      </c>
      <c r="F11" s="807">
        <f t="shared" si="0"/>
        <v>2.449195</v>
      </c>
      <c r="G11" s="808">
        <f t="shared" si="1"/>
        <v>293.90339999999998</v>
      </c>
    </row>
    <row r="12" spans="1:7">
      <c r="A12" s="805">
        <v>8</v>
      </c>
      <c r="B12" s="797" t="s">
        <v>656</v>
      </c>
      <c r="C12" s="798" t="s">
        <v>134</v>
      </c>
      <c r="D12" s="797">
        <v>50</v>
      </c>
      <c r="E12" s="797">
        <v>0.11600000000000001</v>
      </c>
      <c r="F12" s="807">
        <f t="shared" si="0"/>
        <v>0.11020000000000001</v>
      </c>
      <c r="G12" s="808">
        <f t="shared" si="1"/>
        <v>5.5100000000000007</v>
      </c>
    </row>
    <row r="13" spans="1:7">
      <c r="A13" s="805">
        <v>9</v>
      </c>
      <c r="B13" s="797" t="s">
        <v>657</v>
      </c>
      <c r="C13" s="798" t="s">
        <v>134</v>
      </c>
      <c r="D13" s="797">
        <v>50</v>
      </c>
      <c r="E13" s="797">
        <v>0.98299999999999998</v>
      </c>
      <c r="F13" s="807">
        <f t="shared" si="0"/>
        <v>0.93384999999999996</v>
      </c>
      <c r="G13" s="808">
        <f t="shared" si="1"/>
        <v>46.692499999999995</v>
      </c>
    </row>
    <row r="14" spans="1:7">
      <c r="A14" s="805">
        <v>10</v>
      </c>
      <c r="B14" s="797" t="s">
        <v>658</v>
      </c>
      <c r="C14" s="798" t="s">
        <v>134</v>
      </c>
      <c r="D14" s="797">
        <v>50</v>
      </c>
      <c r="E14" s="797">
        <v>1.9159999999999999</v>
      </c>
      <c r="F14" s="807">
        <f t="shared" si="0"/>
        <v>1.8201999999999998</v>
      </c>
      <c r="G14" s="808">
        <f t="shared" si="1"/>
        <v>91.009999999999991</v>
      </c>
    </row>
    <row r="15" spans="1:7">
      <c r="A15" s="805">
        <v>11</v>
      </c>
      <c r="B15" s="797" t="s">
        <v>659</v>
      </c>
      <c r="C15" s="798" t="s">
        <v>134</v>
      </c>
      <c r="D15" s="797">
        <v>150</v>
      </c>
      <c r="E15" s="797">
        <v>0.16700000000000001</v>
      </c>
      <c r="F15" s="807">
        <f t="shared" si="0"/>
        <v>0.15865000000000001</v>
      </c>
      <c r="G15" s="808">
        <f t="shared" si="1"/>
        <v>23.797500000000003</v>
      </c>
    </row>
    <row r="16" spans="1:7">
      <c r="A16" s="805">
        <v>12</v>
      </c>
      <c r="B16" s="797" t="s">
        <v>660</v>
      </c>
      <c r="C16" s="798" t="s">
        <v>134</v>
      </c>
      <c r="D16" s="797">
        <v>200</v>
      </c>
      <c r="E16" s="797">
        <v>0.14799999999999999</v>
      </c>
      <c r="F16" s="807">
        <f t="shared" si="0"/>
        <v>0.14059999999999997</v>
      </c>
      <c r="G16" s="808">
        <f t="shared" si="1"/>
        <v>28.119999999999994</v>
      </c>
    </row>
    <row r="17" spans="1:8">
      <c r="A17" s="805">
        <v>13</v>
      </c>
      <c r="B17" s="797" t="s">
        <v>661</v>
      </c>
      <c r="C17" s="798" t="s">
        <v>284</v>
      </c>
      <c r="D17" s="797">
        <v>300</v>
      </c>
      <c r="E17" s="797">
        <v>0.41399999999999998</v>
      </c>
      <c r="F17" s="807">
        <f t="shared" si="0"/>
        <v>0.39329999999999998</v>
      </c>
      <c r="G17" s="808">
        <f t="shared" si="1"/>
        <v>117.99</v>
      </c>
    </row>
    <row r="18" spans="1:8">
      <c r="A18" s="805">
        <v>14</v>
      </c>
      <c r="B18" s="797" t="s">
        <v>662</v>
      </c>
      <c r="C18" s="798" t="s">
        <v>284</v>
      </c>
      <c r="D18" s="797">
        <v>100</v>
      </c>
      <c r="E18" s="797">
        <v>0.61599999999999999</v>
      </c>
      <c r="F18" s="807">
        <f t="shared" si="0"/>
        <v>0.58519999999999994</v>
      </c>
      <c r="G18" s="808">
        <f t="shared" si="1"/>
        <v>58.519999999999996</v>
      </c>
    </row>
    <row r="19" spans="1:8" ht="15" thickBot="1">
      <c r="A19" s="809"/>
      <c r="B19" s="810"/>
      <c r="C19" s="810"/>
      <c r="D19" s="810"/>
      <c r="E19" s="810"/>
      <c r="F19" s="810"/>
      <c r="G19" s="811"/>
    </row>
    <row r="20" spans="1:8" ht="15" thickBot="1">
      <c r="G20" s="812">
        <f>SUM(G5:G19)</f>
        <v>7339.0083999999997</v>
      </c>
    </row>
    <row r="22" spans="1:8">
      <c r="G22" s="813"/>
    </row>
    <row r="24" spans="1:8">
      <c r="D24" s="814" t="s">
        <v>663</v>
      </c>
      <c r="E24" s="814" t="s">
        <v>284</v>
      </c>
      <c r="F24" s="814" t="s">
        <v>664</v>
      </c>
    </row>
    <row r="25" spans="1:8">
      <c r="C25" s="815" t="s">
        <v>665</v>
      </c>
      <c r="D25" s="813">
        <f>SUM(G5:G10)</f>
        <v>6673.4649999999992</v>
      </c>
      <c r="E25" s="792">
        <f>3600*2.9</f>
        <v>10440</v>
      </c>
      <c r="F25" s="792">
        <f>D25/E25</f>
        <v>0.639220785440613</v>
      </c>
      <c r="G25" s="816">
        <f>F25*$G$35</f>
        <v>0.67216063920946023</v>
      </c>
      <c r="H25" s="817" t="s">
        <v>666</v>
      </c>
    </row>
    <row r="26" spans="1:8">
      <c r="C26" s="815" t="s">
        <v>667</v>
      </c>
      <c r="D26" s="813">
        <f>SUM(G11:G16)</f>
        <v>489.03339999999997</v>
      </c>
      <c r="E26" s="792">
        <f>120*2.9</f>
        <v>348</v>
      </c>
      <c r="F26" s="792">
        <f>D26/E26</f>
        <v>1.4052683908045975</v>
      </c>
      <c r="G26" s="816">
        <f>F26*$G$35</f>
        <v>1.4776836444280848</v>
      </c>
      <c r="H26" s="817" t="s">
        <v>666</v>
      </c>
    </row>
    <row r="27" spans="1:8">
      <c r="C27" s="815" t="s">
        <v>661</v>
      </c>
      <c r="D27" s="813">
        <f>G17</f>
        <v>117.99</v>
      </c>
      <c r="E27" s="792">
        <v>300</v>
      </c>
      <c r="F27" s="792">
        <f>D27/E27</f>
        <v>0.39329999999999998</v>
      </c>
      <c r="G27" s="816">
        <f>F27*$G$35</f>
        <v>0.41356724534365319</v>
      </c>
      <c r="H27" s="817" t="s">
        <v>666</v>
      </c>
    </row>
    <row r="28" spans="1:8">
      <c r="C28" s="815" t="s">
        <v>662</v>
      </c>
      <c r="D28" s="813">
        <f>G18</f>
        <v>58.519999999999996</v>
      </c>
      <c r="E28" s="792">
        <v>100</v>
      </c>
      <c r="F28" s="792">
        <f>D28/E28</f>
        <v>0.58519999999999994</v>
      </c>
      <c r="G28" s="816">
        <f>F28*$G$35</f>
        <v>0.61535609452099116</v>
      </c>
      <c r="H28" s="817" t="s">
        <v>666</v>
      </c>
    </row>
    <row r="30" spans="1:8">
      <c r="D30" s="818" t="s">
        <v>668</v>
      </c>
      <c r="G30" s="818" t="s">
        <v>669</v>
      </c>
    </row>
    <row r="31" spans="1:8">
      <c r="C31" s="818" t="s">
        <v>670</v>
      </c>
      <c r="D31" s="819">
        <v>33183.74</v>
      </c>
      <c r="G31" s="820">
        <v>7339.01</v>
      </c>
      <c r="H31" s="792" t="s">
        <v>671</v>
      </c>
    </row>
    <row r="32" spans="1:8">
      <c r="C32" s="818" t="s">
        <v>672</v>
      </c>
      <c r="D32" s="821">
        <v>1710</v>
      </c>
      <c r="G32" s="821">
        <f>G31/D31*D32</f>
        <v>378.18844711295355</v>
      </c>
      <c r="H32" s="792" t="s">
        <v>673</v>
      </c>
    </row>
    <row r="33" spans="3:8">
      <c r="C33" s="818" t="s">
        <v>674</v>
      </c>
      <c r="D33" s="819">
        <f>D31+D32</f>
        <v>34893.74</v>
      </c>
      <c r="G33" s="820">
        <f>G31+G32</f>
        <v>7717.1984471129535</v>
      </c>
      <c r="H33" s="792" t="s">
        <v>52</v>
      </c>
    </row>
    <row r="35" spans="3:8">
      <c r="F35" s="822" t="s">
        <v>675</v>
      </c>
      <c r="G35" s="823">
        <f>G33/G31</f>
        <v>1.0515312619975927</v>
      </c>
    </row>
  </sheetData>
  <mergeCells count="2">
    <mergeCell ref="A1:G1"/>
    <mergeCell ref="E2:G2"/>
  </mergeCells>
  <printOptions gridLines="1"/>
  <pageMargins left="0.70866141732283472" right="0.70866141732283472"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6765D-2169-4A25-94E6-68515EEA694C}">
  <sheetPr>
    <tabColor indexed="13"/>
  </sheetPr>
  <dimension ref="A1:L33"/>
  <sheetViews>
    <sheetView topLeftCell="A9" workbookViewId="0">
      <selection activeCell="M16" sqref="M16"/>
    </sheetView>
  </sheetViews>
  <sheetFormatPr defaultRowHeight="13.2"/>
  <cols>
    <col min="1" max="1" width="38" style="868" customWidth="1"/>
    <col min="2" max="9" width="10.44140625" style="868" customWidth="1"/>
    <col min="10" max="11" width="11.33203125" style="868" customWidth="1"/>
    <col min="12" max="12" width="8.88671875" style="868"/>
    <col min="13" max="18" width="10.44140625" style="868" customWidth="1"/>
    <col min="19" max="246" width="8.88671875" style="868"/>
    <col min="247" max="247" width="38" style="868" customWidth="1"/>
    <col min="248" max="264" width="10.44140625" style="868" customWidth="1"/>
    <col min="265" max="267" width="11.33203125" style="868" customWidth="1"/>
    <col min="268" max="268" width="8.88671875" style="868"/>
    <col min="269" max="274" width="10.44140625" style="868" customWidth="1"/>
    <col min="275" max="502" width="8.88671875" style="868"/>
    <col min="503" max="503" width="38" style="868" customWidth="1"/>
    <col min="504" max="520" width="10.44140625" style="868" customWidth="1"/>
    <col min="521" max="523" width="11.33203125" style="868" customWidth="1"/>
    <col min="524" max="524" width="8.88671875" style="868"/>
    <col min="525" max="530" width="10.44140625" style="868" customWidth="1"/>
    <col min="531" max="758" width="8.88671875" style="868"/>
    <col min="759" max="759" width="38" style="868" customWidth="1"/>
    <col min="760" max="776" width="10.44140625" style="868" customWidth="1"/>
    <col min="777" max="779" width="11.33203125" style="868" customWidth="1"/>
    <col min="780" max="780" width="8.88671875" style="868"/>
    <col min="781" max="786" width="10.44140625" style="868" customWidth="1"/>
    <col min="787" max="1014" width="8.88671875" style="868"/>
    <col min="1015" max="1015" width="38" style="868" customWidth="1"/>
    <col min="1016" max="1032" width="10.44140625" style="868" customWidth="1"/>
    <col min="1033" max="1035" width="11.33203125" style="868" customWidth="1"/>
    <col min="1036" max="1036" width="8.88671875" style="868"/>
    <col min="1037" max="1042" width="10.44140625" style="868" customWidth="1"/>
    <col min="1043" max="1270" width="8.88671875" style="868"/>
    <col min="1271" max="1271" width="38" style="868" customWidth="1"/>
    <col min="1272" max="1288" width="10.44140625" style="868" customWidth="1"/>
    <col min="1289" max="1291" width="11.33203125" style="868" customWidth="1"/>
    <col min="1292" max="1292" width="8.88671875" style="868"/>
    <col min="1293" max="1298" width="10.44140625" style="868" customWidth="1"/>
    <col min="1299" max="1526" width="8.88671875" style="868"/>
    <col min="1527" max="1527" width="38" style="868" customWidth="1"/>
    <col min="1528" max="1544" width="10.44140625" style="868" customWidth="1"/>
    <col min="1545" max="1547" width="11.33203125" style="868" customWidth="1"/>
    <col min="1548" max="1548" width="8.88671875" style="868"/>
    <col min="1549" max="1554" width="10.44140625" style="868" customWidth="1"/>
    <col min="1555" max="1782" width="8.88671875" style="868"/>
    <col min="1783" max="1783" width="38" style="868" customWidth="1"/>
    <col min="1784" max="1800" width="10.44140625" style="868" customWidth="1"/>
    <col min="1801" max="1803" width="11.33203125" style="868" customWidth="1"/>
    <col min="1804" max="1804" width="8.88671875" style="868"/>
    <col min="1805" max="1810" width="10.44140625" style="868" customWidth="1"/>
    <col min="1811" max="2038" width="8.88671875" style="868"/>
    <col min="2039" max="2039" width="38" style="868" customWidth="1"/>
    <col min="2040" max="2056" width="10.44140625" style="868" customWidth="1"/>
    <col min="2057" max="2059" width="11.33203125" style="868" customWidth="1"/>
    <col min="2060" max="2060" width="8.88671875" style="868"/>
    <col min="2061" max="2066" width="10.44140625" style="868" customWidth="1"/>
    <col min="2067" max="2294" width="8.88671875" style="868"/>
    <col min="2295" max="2295" width="38" style="868" customWidth="1"/>
    <col min="2296" max="2312" width="10.44140625" style="868" customWidth="1"/>
    <col min="2313" max="2315" width="11.33203125" style="868" customWidth="1"/>
    <col min="2316" max="2316" width="8.88671875" style="868"/>
    <col min="2317" max="2322" width="10.44140625" style="868" customWidth="1"/>
    <col min="2323" max="2550" width="8.88671875" style="868"/>
    <col min="2551" max="2551" width="38" style="868" customWidth="1"/>
    <col min="2552" max="2568" width="10.44140625" style="868" customWidth="1"/>
    <col min="2569" max="2571" width="11.33203125" style="868" customWidth="1"/>
    <col min="2572" max="2572" width="8.88671875" style="868"/>
    <col min="2573" max="2578" width="10.44140625" style="868" customWidth="1"/>
    <col min="2579" max="2806" width="8.88671875" style="868"/>
    <col min="2807" max="2807" width="38" style="868" customWidth="1"/>
    <col min="2808" max="2824" width="10.44140625" style="868" customWidth="1"/>
    <col min="2825" max="2827" width="11.33203125" style="868" customWidth="1"/>
    <col min="2828" max="2828" width="8.88671875" style="868"/>
    <col min="2829" max="2834" width="10.44140625" style="868" customWidth="1"/>
    <col min="2835" max="3062" width="8.88671875" style="868"/>
    <col min="3063" max="3063" width="38" style="868" customWidth="1"/>
    <col min="3064" max="3080" width="10.44140625" style="868" customWidth="1"/>
    <col min="3081" max="3083" width="11.33203125" style="868" customWidth="1"/>
    <col min="3084" max="3084" width="8.88671875" style="868"/>
    <col min="3085" max="3090" width="10.44140625" style="868" customWidth="1"/>
    <col min="3091" max="3318" width="8.88671875" style="868"/>
    <col min="3319" max="3319" width="38" style="868" customWidth="1"/>
    <col min="3320" max="3336" width="10.44140625" style="868" customWidth="1"/>
    <col min="3337" max="3339" width="11.33203125" style="868" customWidth="1"/>
    <col min="3340" max="3340" width="8.88671875" style="868"/>
    <col min="3341" max="3346" width="10.44140625" style="868" customWidth="1"/>
    <col min="3347" max="3574" width="8.88671875" style="868"/>
    <col min="3575" max="3575" width="38" style="868" customWidth="1"/>
    <col min="3576" max="3592" width="10.44140625" style="868" customWidth="1"/>
    <col min="3593" max="3595" width="11.33203125" style="868" customWidth="1"/>
    <col min="3596" max="3596" width="8.88671875" style="868"/>
    <col min="3597" max="3602" width="10.44140625" style="868" customWidth="1"/>
    <col min="3603" max="3830" width="8.88671875" style="868"/>
    <col min="3831" max="3831" width="38" style="868" customWidth="1"/>
    <col min="3832" max="3848" width="10.44140625" style="868" customWidth="1"/>
    <col min="3849" max="3851" width="11.33203125" style="868" customWidth="1"/>
    <col min="3852" max="3852" width="8.88671875" style="868"/>
    <col min="3853" max="3858" width="10.44140625" style="868" customWidth="1"/>
    <col min="3859" max="4086" width="8.88671875" style="868"/>
    <col min="4087" max="4087" width="38" style="868" customWidth="1"/>
    <col min="4088" max="4104" width="10.44140625" style="868" customWidth="1"/>
    <col min="4105" max="4107" width="11.33203125" style="868" customWidth="1"/>
    <col min="4108" max="4108" width="8.88671875" style="868"/>
    <col min="4109" max="4114" width="10.44140625" style="868" customWidth="1"/>
    <col min="4115" max="4342" width="8.88671875" style="868"/>
    <col min="4343" max="4343" width="38" style="868" customWidth="1"/>
    <col min="4344" max="4360" width="10.44140625" style="868" customWidth="1"/>
    <col min="4361" max="4363" width="11.33203125" style="868" customWidth="1"/>
    <col min="4364" max="4364" width="8.88671875" style="868"/>
    <col min="4365" max="4370" width="10.44140625" style="868" customWidth="1"/>
    <col min="4371" max="4598" width="8.88671875" style="868"/>
    <col min="4599" max="4599" width="38" style="868" customWidth="1"/>
    <col min="4600" max="4616" width="10.44140625" style="868" customWidth="1"/>
    <col min="4617" max="4619" width="11.33203125" style="868" customWidth="1"/>
    <col min="4620" max="4620" width="8.88671875" style="868"/>
    <col min="4621" max="4626" width="10.44140625" style="868" customWidth="1"/>
    <col min="4627" max="4854" width="8.88671875" style="868"/>
    <col min="4855" max="4855" width="38" style="868" customWidth="1"/>
    <col min="4856" max="4872" width="10.44140625" style="868" customWidth="1"/>
    <col min="4873" max="4875" width="11.33203125" style="868" customWidth="1"/>
    <col min="4876" max="4876" width="8.88671875" style="868"/>
    <col min="4877" max="4882" width="10.44140625" style="868" customWidth="1"/>
    <col min="4883" max="5110" width="8.88671875" style="868"/>
    <col min="5111" max="5111" width="38" style="868" customWidth="1"/>
    <col min="5112" max="5128" width="10.44140625" style="868" customWidth="1"/>
    <col min="5129" max="5131" width="11.33203125" style="868" customWidth="1"/>
    <col min="5132" max="5132" width="8.88671875" style="868"/>
    <col min="5133" max="5138" width="10.44140625" style="868" customWidth="1"/>
    <col min="5139" max="5366" width="8.88671875" style="868"/>
    <col min="5367" max="5367" width="38" style="868" customWidth="1"/>
    <col min="5368" max="5384" width="10.44140625" style="868" customWidth="1"/>
    <col min="5385" max="5387" width="11.33203125" style="868" customWidth="1"/>
    <col min="5388" max="5388" width="8.88671875" style="868"/>
    <col min="5389" max="5394" width="10.44140625" style="868" customWidth="1"/>
    <col min="5395" max="5622" width="8.88671875" style="868"/>
    <col min="5623" max="5623" width="38" style="868" customWidth="1"/>
    <col min="5624" max="5640" width="10.44140625" style="868" customWidth="1"/>
    <col min="5641" max="5643" width="11.33203125" style="868" customWidth="1"/>
    <col min="5644" max="5644" width="8.88671875" style="868"/>
    <col min="5645" max="5650" width="10.44140625" style="868" customWidth="1"/>
    <col min="5651" max="5878" width="8.88671875" style="868"/>
    <col min="5879" max="5879" width="38" style="868" customWidth="1"/>
    <col min="5880" max="5896" width="10.44140625" style="868" customWidth="1"/>
    <col min="5897" max="5899" width="11.33203125" style="868" customWidth="1"/>
    <col min="5900" max="5900" width="8.88671875" style="868"/>
    <col min="5901" max="5906" width="10.44140625" style="868" customWidth="1"/>
    <col min="5907" max="6134" width="8.88671875" style="868"/>
    <col min="6135" max="6135" width="38" style="868" customWidth="1"/>
    <col min="6136" max="6152" width="10.44140625" style="868" customWidth="1"/>
    <col min="6153" max="6155" width="11.33203125" style="868" customWidth="1"/>
    <col min="6156" max="6156" width="8.88671875" style="868"/>
    <col min="6157" max="6162" width="10.44140625" style="868" customWidth="1"/>
    <col min="6163" max="6390" width="8.88671875" style="868"/>
    <col min="6391" max="6391" width="38" style="868" customWidth="1"/>
    <col min="6392" max="6408" width="10.44140625" style="868" customWidth="1"/>
    <col min="6409" max="6411" width="11.33203125" style="868" customWidth="1"/>
    <col min="6412" max="6412" width="8.88671875" style="868"/>
    <col min="6413" max="6418" width="10.44140625" style="868" customWidth="1"/>
    <col min="6419" max="6646" width="8.88671875" style="868"/>
    <col min="6647" max="6647" width="38" style="868" customWidth="1"/>
    <col min="6648" max="6664" width="10.44140625" style="868" customWidth="1"/>
    <col min="6665" max="6667" width="11.33203125" style="868" customWidth="1"/>
    <col min="6668" max="6668" width="8.88671875" style="868"/>
    <col min="6669" max="6674" width="10.44140625" style="868" customWidth="1"/>
    <col min="6675" max="6902" width="8.88671875" style="868"/>
    <col min="6903" max="6903" width="38" style="868" customWidth="1"/>
    <col min="6904" max="6920" width="10.44140625" style="868" customWidth="1"/>
    <col min="6921" max="6923" width="11.33203125" style="868" customWidth="1"/>
    <col min="6924" max="6924" width="8.88671875" style="868"/>
    <col min="6925" max="6930" width="10.44140625" style="868" customWidth="1"/>
    <col min="6931" max="7158" width="8.88671875" style="868"/>
    <col min="7159" max="7159" width="38" style="868" customWidth="1"/>
    <col min="7160" max="7176" width="10.44140625" style="868" customWidth="1"/>
    <col min="7177" max="7179" width="11.33203125" style="868" customWidth="1"/>
    <col min="7180" max="7180" width="8.88671875" style="868"/>
    <col min="7181" max="7186" width="10.44140625" style="868" customWidth="1"/>
    <col min="7187" max="7414" width="8.88671875" style="868"/>
    <col min="7415" max="7415" width="38" style="868" customWidth="1"/>
    <col min="7416" max="7432" width="10.44140625" style="868" customWidth="1"/>
    <col min="7433" max="7435" width="11.33203125" style="868" customWidth="1"/>
    <col min="7436" max="7436" width="8.88671875" style="868"/>
    <col min="7437" max="7442" width="10.44140625" style="868" customWidth="1"/>
    <col min="7443" max="7670" width="8.88671875" style="868"/>
    <col min="7671" max="7671" width="38" style="868" customWidth="1"/>
    <col min="7672" max="7688" width="10.44140625" style="868" customWidth="1"/>
    <col min="7689" max="7691" width="11.33203125" style="868" customWidth="1"/>
    <col min="7692" max="7692" width="8.88671875" style="868"/>
    <col min="7693" max="7698" width="10.44140625" style="868" customWidth="1"/>
    <col min="7699" max="7926" width="8.88671875" style="868"/>
    <col min="7927" max="7927" width="38" style="868" customWidth="1"/>
    <col min="7928" max="7944" width="10.44140625" style="868" customWidth="1"/>
    <col min="7945" max="7947" width="11.33203125" style="868" customWidth="1"/>
    <col min="7948" max="7948" width="8.88671875" style="868"/>
    <col min="7949" max="7954" width="10.44140625" style="868" customWidth="1"/>
    <col min="7955" max="8182" width="8.88671875" style="868"/>
    <col min="8183" max="8183" width="38" style="868" customWidth="1"/>
    <col min="8184" max="8200" width="10.44140625" style="868" customWidth="1"/>
    <col min="8201" max="8203" width="11.33203125" style="868" customWidth="1"/>
    <col min="8204" max="8204" width="8.88671875" style="868"/>
    <col min="8205" max="8210" width="10.44140625" style="868" customWidth="1"/>
    <col min="8211" max="8438" width="8.88671875" style="868"/>
    <col min="8439" max="8439" width="38" style="868" customWidth="1"/>
    <col min="8440" max="8456" width="10.44140625" style="868" customWidth="1"/>
    <col min="8457" max="8459" width="11.33203125" style="868" customWidth="1"/>
    <col min="8460" max="8460" width="8.88671875" style="868"/>
    <col min="8461" max="8466" width="10.44140625" style="868" customWidth="1"/>
    <col min="8467" max="8694" width="8.88671875" style="868"/>
    <col min="8695" max="8695" width="38" style="868" customWidth="1"/>
    <col min="8696" max="8712" width="10.44140625" style="868" customWidth="1"/>
    <col min="8713" max="8715" width="11.33203125" style="868" customWidth="1"/>
    <col min="8716" max="8716" width="8.88671875" style="868"/>
    <col min="8717" max="8722" width="10.44140625" style="868" customWidth="1"/>
    <col min="8723" max="8950" width="8.88671875" style="868"/>
    <col min="8951" max="8951" width="38" style="868" customWidth="1"/>
    <col min="8952" max="8968" width="10.44140625" style="868" customWidth="1"/>
    <col min="8969" max="8971" width="11.33203125" style="868" customWidth="1"/>
    <col min="8972" max="8972" width="8.88671875" style="868"/>
    <col min="8973" max="8978" width="10.44140625" style="868" customWidth="1"/>
    <col min="8979" max="9206" width="8.88671875" style="868"/>
    <col min="9207" max="9207" width="38" style="868" customWidth="1"/>
    <col min="9208" max="9224" width="10.44140625" style="868" customWidth="1"/>
    <col min="9225" max="9227" width="11.33203125" style="868" customWidth="1"/>
    <col min="9228" max="9228" width="8.88671875" style="868"/>
    <col min="9229" max="9234" width="10.44140625" style="868" customWidth="1"/>
    <col min="9235" max="9462" width="8.88671875" style="868"/>
    <col min="9463" max="9463" width="38" style="868" customWidth="1"/>
    <col min="9464" max="9480" width="10.44140625" style="868" customWidth="1"/>
    <col min="9481" max="9483" width="11.33203125" style="868" customWidth="1"/>
    <col min="9484" max="9484" width="8.88671875" style="868"/>
    <col min="9485" max="9490" width="10.44140625" style="868" customWidth="1"/>
    <col min="9491" max="9718" width="8.88671875" style="868"/>
    <col min="9719" max="9719" width="38" style="868" customWidth="1"/>
    <col min="9720" max="9736" width="10.44140625" style="868" customWidth="1"/>
    <col min="9737" max="9739" width="11.33203125" style="868" customWidth="1"/>
    <col min="9740" max="9740" width="8.88671875" style="868"/>
    <col min="9741" max="9746" width="10.44140625" style="868" customWidth="1"/>
    <col min="9747" max="9974" width="8.88671875" style="868"/>
    <col min="9975" max="9975" width="38" style="868" customWidth="1"/>
    <col min="9976" max="9992" width="10.44140625" style="868" customWidth="1"/>
    <col min="9993" max="9995" width="11.33203125" style="868" customWidth="1"/>
    <col min="9996" max="9996" width="8.88671875" style="868"/>
    <col min="9997" max="10002" width="10.44140625" style="868" customWidth="1"/>
    <col min="10003" max="10230" width="8.88671875" style="868"/>
    <col min="10231" max="10231" width="38" style="868" customWidth="1"/>
    <col min="10232" max="10248" width="10.44140625" style="868" customWidth="1"/>
    <col min="10249" max="10251" width="11.33203125" style="868" customWidth="1"/>
    <col min="10252" max="10252" width="8.88671875" style="868"/>
    <col min="10253" max="10258" width="10.44140625" style="868" customWidth="1"/>
    <col min="10259" max="10486" width="8.88671875" style="868"/>
    <col min="10487" max="10487" width="38" style="868" customWidth="1"/>
    <col min="10488" max="10504" width="10.44140625" style="868" customWidth="1"/>
    <col min="10505" max="10507" width="11.33203125" style="868" customWidth="1"/>
    <col min="10508" max="10508" width="8.88671875" style="868"/>
    <col min="10509" max="10514" width="10.44140625" style="868" customWidth="1"/>
    <col min="10515" max="10742" width="8.88671875" style="868"/>
    <col min="10743" max="10743" width="38" style="868" customWidth="1"/>
    <col min="10744" max="10760" width="10.44140625" style="868" customWidth="1"/>
    <col min="10761" max="10763" width="11.33203125" style="868" customWidth="1"/>
    <col min="10764" max="10764" width="8.88671875" style="868"/>
    <col min="10765" max="10770" width="10.44140625" style="868" customWidth="1"/>
    <col min="10771" max="10998" width="8.88671875" style="868"/>
    <col min="10999" max="10999" width="38" style="868" customWidth="1"/>
    <col min="11000" max="11016" width="10.44140625" style="868" customWidth="1"/>
    <col min="11017" max="11019" width="11.33203125" style="868" customWidth="1"/>
    <col min="11020" max="11020" width="8.88671875" style="868"/>
    <col min="11021" max="11026" width="10.44140625" style="868" customWidth="1"/>
    <col min="11027" max="11254" width="8.88671875" style="868"/>
    <col min="11255" max="11255" width="38" style="868" customWidth="1"/>
    <col min="11256" max="11272" width="10.44140625" style="868" customWidth="1"/>
    <col min="11273" max="11275" width="11.33203125" style="868" customWidth="1"/>
    <col min="11276" max="11276" width="8.88671875" style="868"/>
    <col min="11277" max="11282" width="10.44140625" style="868" customWidth="1"/>
    <col min="11283" max="11510" width="8.88671875" style="868"/>
    <col min="11511" max="11511" width="38" style="868" customWidth="1"/>
    <col min="11512" max="11528" width="10.44140625" style="868" customWidth="1"/>
    <col min="11529" max="11531" width="11.33203125" style="868" customWidth="1"/>
    <col min="11532" max="11532" width="8.88671875" style="868"/>
    <col min="11533" max="11538" width="10.44140625" style="868" customWidth="1"/>
    <col min="11539" max="11766" width="8.88671875" style="868"/>
    <col min="11767" max="11767" width="38" style="868" customWidth="1"/>
    <col min="11768" max="11784" width="10.44140625" style="868" customWidth="1"/>
    <col min="11785" max="11787" width="11.33203125" style="868" customWidth="1"/>
    <col min="11788" max="11788" width="8.88671875" style="868"/>
    <col min="11789" max="11794" width="10.44140625" style="868" customWidth="1"/>
    <col min="11795" max="12022" width="8.88671875" style="868"/>
    <col min="12023" max="12023" width="38" style="868" customWidth="1"/>
    <col min="12024" max="12040" width="10.44140625" style="868" customWidth="1"/>
    <col min="12041" max="12043" width="11.33203125" style="868" customWidth="1"/>
    <col min="12044" max="12044" width="8.88671875" style="868"/>
    <col min="12045" max="12050" width="10.44140625" style="868" customWidth="1"/>
    <col min="12051" max="12278" width="8.88671875" style="868"/>
    <col min="12279" max="12279" width="38" style="868" customWidth="1"/>
    <col min="12280" max="12296" width="10.44140625" style="868" customWidth="1"/>
    <col min="12297" max="12299" width="11.33203125" style="868" customWidth="1"/>
    <col min="12300" max="12300" width="8.88671875" style="868"/>
    <col min="12301" max="12306" width="10.44140625" style="868" customWidth="1"/>
    <col min="12307" max="12534" width="8.88671875" style="868"/>
    <col min="12535" max="12535" width="38" style="868" customWidth="1"/>
    <col min="12536" max="12552" width="10.44140625" style="868" customWidth="1"/>
    <col min="12553" max="12555" width="11.33203125" style="868" customWidth="1"/>
    <col min="12556" max="12556" width="8.88671875" style="868"/>
    <col min="12557" max="12562" width="10.44140625" style="868" customWidth="1"/>
    <col min="12563" max="12790" width="8.88671875" style="868"/>
    <col min="12791" max="12791" width="38" style="868" customWidth="1"/>
    <col min="12792" max="12808" width="10.44140625" style="868" customWidth="1"/>
    <col min="12809" max="12811" width="11.33203125" style="868" customWidth="1"/>
    <col min="12812" max="12812" width="8.88671875" style="868"/>
    <col min="12813" max="12818" width="10.44140625" style="868" customWidth="1"/>
    <col min="12819" max="13046" width="8.88671875" style="868"/>
    <col min="13047" max="13047" width="38" style="868" customWidth="1"/>
    <col min="13048" max="13064" width="10.44140625" style="868" customWidth="1"/>
    <col min="13065" max="13067" width="11.33203125" style="868" customWidth="1"/>
    <col min="13068" max="13068" width="8.88671875" style="868"/>
    <col min="13069" max="13074" width="10.44140625" style="868" customWidth="1"/>
    <col min="13075" max="13302" width="8.88671875" style="868"/>
    <col min="13303" max="13303" width="38" style="868" customWidth="1"/>
    <col min="13304" max="13320" width="10.44140625" style="868" customWidth="1"/>
    <col min="13321" max="13323" width="11.33203125" style="868" customWidth="1"/>
    <col min="13324" max="13324" width="8.88671875" style="868"/>
    <col min="13325" max="13330" width="10.44140625" style="868" customWidth="1"/>
    <col min="13331" max="13558" width="8.88671875" style="868"/>
    <col min="13559" max="13559" width="38" style="868" customWidth="1"/>
    <col min="13560" max="13576" width="10.44140625" style="868" customWidth="1"/>
    <col min="13577" max="13579" width="11.33203125" style="868" customWidth="1"/>
    <col min="13580" max="13580" width="8.88671875" style="868"/>
    <col min="13581" max="13586" width="10.44140625" style="868" customWidth="1"/>
    <col min="13587" max="13814" width="8.88671875" style="868"/>
    <col min="13815" max="13815" width="38" style="868" customWidth="1"/>
    <col min="13816" max="13832" width="10.44140625" style="868" customWidth="1"/>
    <col min="13833" max="13835" width="11.33203125" style="868" customWidth="1"/>
    <col min="13836" max="13836" width="8.88671875" style="868"/>
    <col min="13837" max="13842" width="10.44140625" style="868" customWidth="1"/>
    <col min="13843" max="14070" width="8.88671875" style="868"/>
    <col min="14071" max="14071" width="38" style="868" customWidth="1"/>
    <col min="14072" max="14088" width="10.44140625" style="868" customWidth="1"/>
    <col min="14089" max="14091" width="11.33203125" style="868" customWidth="1"/>
    <col min="14092" max="14092" width="8.88671875" style="868"/>
    <col min="14093" max="14098" width="10.44140625" style="868" customWidth="1"/>
    <col min="14099" max="14326" width="8.88671875" style="868"/>
    <col min="14327" max="14327" width="38" style="868" customWidth="1"/>
    <col min="14328" max="14344" width="10.44140625" style="868" customWidth="1"/>
    <col min="14345" max="14347" width="11.33203125" style="868" customWidth="1"/>
    <col min="14348" max="14348" width="8.88671875" style="868"/>
    <col min="14349" max="14354" width="10.44140625" style="868" customWidth="1"/>
    <col min="14355" max="14582" width="8.88671875" style="868"/>
    <col min="14583" max="14583" width="38" style="868" customWidth="1"/>
    <col min="14584" max="14600" width="10.44140625" style="868" customWidth="1"/>
    <col min="14601" max="14603" width="11.33203125" style="868" customWidth="1"/>
    <col min="14604" max="14604" width="8.88671875" style="868"/>
    <col min="14605" max="14610" width="10.44140625" style="868" customWidth="1"/>
    <col min="14611" max="14838" width="8.88671875" style="868"/>
    <col min="14839" max="14839" width="38" style="868" customWidth="1"/>
    <col min="14840" max="14856" width="10.44140625" style="868" customWidth="1"/>
    <col min="14857" max="14859" width="11.33203125" style="868" customWidth="1"/>
    <col min="14860" max="14860" width="8.88671875" style="868"/>
    <col min="14861" max="14866" width="10.44140625" style="868" customWidth="1"/>
    <col min="14867" max="15094" width="8.88671875" style="868"/>
    <col min="15095" max="15095" width="38" style="868" customWidth="1"/>
    <col min="15096" max="15112" width="10.44140625" style="868" customWidth="1"/>
    <col min="15113" max="15115" width="11.33203125" style="868" customWidth="1"/>
    <col min="15116" max="15116" width="8.88671875" style="868"/>
    <col min="15117" max="15122" width="10.44140625" style="868" customWidth="1"/>
    <col min="15123" max="15350" width="8.88671875" style="868"/>
    <col min="15351" max="15351" width="38" style="868" customWidth="1"/>
    <col min="15352" max="15368" width="10.44140625" style="868" customWidth="1"/>
    <col min="15369" max="15371" width="11.33203125" style="868" customWidth="1"/>
    <col min="15372" max="15372" width="8.88671875" style="868"/>
    <col min="15373" max="15378" width="10.44140625" style="868" customWidth="1"/>
    <col min="15379" max="15606" width="8.88671875" style="868"/>
    <col min="15607" max="15607" width="38" style="868" customWidth="1"/>
    <col min="15608" max="15624" width="10.44140625" style="868" customWidth="1"/>
    <col min="15625" max="15627" width="11.33203125" style="868" customWidth="1"/>
    <col min="15628" max="15628" width="8.88671875" style="868"/>
    <col min="15629" max="15634" width="10.44140625" style="868" customWidth="1"/>
    <col min="15635" max="15862" width="8.88671875" style="868"/>
    <col min="15863" max="15863" width="38" style="868" customWidth="1"/>
    <col min="15864" max="15880" width="10.44140625" style="868" customWidth="1"/>
    <col min="15881" max="15883" width="11.33203125" style="868" customWidth="1"/>
    <col min="15884" max="15884" width="8.88671875" style="868"/>
    <col min="15885" max="15890" width="10.44140625" style="868" customWidth="1"/>
    <col min="15891" max="16118" width="8.88671875" style="868"/>
    <col min="16119" max="16119" width="38" style="868" customWidth="1"/>
    <col min="16120" max="16136" width="10.44140625" style="868" customWidth="1"/>
    <col min="16137" max="16139" width="11.33203125" style="868" customWidth="1"/>
    <col min="16140" max="16140" width="8.88671875" style="868"/>
    <col min="16141" max="16146" width="10.44140625" style="868" customWidth="1"/>
    <col min="16147" max="16384" width="8.88671875" style="868"/>
  </cols>
  <sheetData>
    <row r="1" spans="1:12" ht="13.8" thickBot="1"/>
    <row r="2" spans="1:12" s="872" customFormat="1" ht="13.8" thickBot="1">
      <c r="A2" s="869" t="s">
        <v>781</v>
      </c>
      <c r="B2" s="870" t="s">
        <v>765</v>
      </c>
      <c r="C2" s="870"/>
      <c r="D2" s="870"/>
      <c r="E2" s="870"/>
      <c r="F2" s="870"/>
      <c r="G2" s="870"/>
      <c r="H2" s="870"/>
      <c r="I2" s="870"/>
      <c r="J2" s="870"/>
      <c r="K2" s="870"/>
      <c r="L2" s="871"/>
    </row>
    <row r="3" spans="1:12" s="872" customFormat="1" ht="13.8" thickBot="1">
      <c r="A3" s="873" t="s">
        <v>766</v>
      </c>
      <c r="B3" s="891" t="s">
        <v>793</v>
      </c>
      <c r="C3" s="891" t="s">
        <v>794</v>
      </c>
      <c r="D3" s="891" t="s">
        <v>795</v>
      </c>
      <c r="E3" s="891" t="s">
        <v>796</v>
      </c>
      <c r="F3" s="891" t="s">
        <v>797</v>
      </c>
      <c r="G3" s="891" t="s">
        <v>798</v>
      </c>
      <c r="H3" s="891" t="s">
        <v>799</v>
      </c>
      <c r="I3" s="891" t="s">
        <v>800</v>
      </c>
      <c r="J3" s="874"/>
      <c r="K3" s="875" t="s">
        <v>767</v>
      </c>
      <c r="L3" s="876" t="s">
        <v>674</v>
      </c>
    </row>
    <row r="4" spans="1:12" s="872" customFormat="1">
      <c r="A4" s="877" t="s">
        <v>768</v>
      </c>
      <c r="B4" s="878">
        <f>9*0.359+1.5+1.5</f>
        <v>6.2309999999999999</v>
      </c>
      <c r="C4" s="878">
        <f>16*0.359+0.5+1.5</f>
        <v>7.7439999999999998</v>
      </c>
      <c r="D4" s="878">
        <f>16*0.359+0.5+1.5</f>
        <v>7.7439999999999998</v>
      </c>
      <c r="E4" s="878">
        <f>11*0.359+0.5+1.5</f>
        <v>5.9489999999999998</v>
      </c>
      <c r="F4" s="878">
        <f>((16+8+9+9+12)*0.359)+2+6</f>
        <v>27.385999999999999</v>
      </c>
      <c r="G4" s="878">
        <f>((5+10+10+2+2)*0.359)+2+5</f>
        <v>17.411000000000001</v>
      </c>
      <c r="H4" s="878">
        <f>40*0.359+0.5+1.5</f>
        <v>16.36</v>
      </c>
      <c r="I4" s="878">
        <f>14*0.359+0.5+1.5</f>
        <v>7.0259999999999998</v>
      </c>
      <c r="J4" s="878"/>
      <c r="K4" s="878"/>
      <c r="L4" s="892">
        <f t="shared" ref="L4:L20" si="0">SUM(B4:J4)</f>
        <v>95.850999999999999</v>
      </c>
    </row>
    <row r="5" spans="1:12" s="872" customFormat="1">
      <c r="A5" s="877" t="s">
        <v>769</v>
      </c>
      <c r="B5" s="880">
        <f t="shared" ref="B5:J5" si="1">ROUND(B4/3,0)</f>
        <v>2</v>
      </c>
      <c r="C5" s="880">
        <f t="shared" si="1"/>
        <v>3</v>
      </c>
      <c r="D5" s="880">
        <f t="shared" si="1"/>
        <v>3</v>
      </c>
      <c r="E5" s="880">
        <f t="shared" si="1"/>
        <v>2</v>
      </c>
      <c r="F5" s="880">
        <f t="shared" si="1"/>
        <v>9</v>
      </c>
      <c r="G5" s="880">
        <f t="shared" si="1"/>
        <v>6</v>
      </c>
      <c r="H5" s="880">
        <f t="shared" si="1"/>
        <v>5</v>
      </c>
      <c r="I5" s="880">
        <f t="shared" si="1"/>
        <v>2</v>
      </c>
      <c r="J5" s="880">
        <f t="shared" si="1"/>
        <v>0</v>
      </c>
      <c r="K5" s="878"/>
      <c r="L5" s="892">
        <f t="shared" si="0"/>
        <v>32</v>
      </c>
    </row>
    <row r="6" spans="1:12" s="872" customFormat="1">
      <c r="A6" s="877" t="s">
        <v>770</v>
      </c>
      <c r="B6" s="880">
        <f t="shared" ref="B6:J6" si="2">B10*2</f>
        <v>2</v>
      </c>
      <c r="C6" s="880">
        <f t="shared" si="2"/>
        <v>2</v>
      </c>
      <c r="D6" s="880">
        <f t="shared" si="2"/>
        <v>4</v>
      </c>
      <c r="E6" s="880">
        <f t="shared" si="2"/>
        <v>2</v>
      </c>
      <c r="F6" s="880">
        <f t="shared" si="2"/>
        <v>0</v>
      </c>
      <c r="G6" s="880">
        <f t="shared" si="2"/>
        <v>0</v>
      </c>
      <c r="H6" s="880">
        <f t="shared" si="2"/>
        <v>2</v>
      </c>
      <c r="I6" s="880">
        <f t="shared" si="2"/>
        <v>2</v>
      </c>
      <c r="J6" s="880">
        <f t="shared" si="2"/>
        <v>0</v>
      </c>
      <c r="K6" s="878"/>
      <c r="L6" s="892">
        <f t="shared" si="0"/>
        <v>14</v>
      </c>
    </row>
    <row r="7" spans="1:12" s="872" customFormat="1">
      <c r="A7" s="877" t="s">
        <v>782</v>
      </c>
      <c r="B7" s="878"/>
      <c r="C7" s="878"/>
      <c r="D7" s="878"/>
      <c r="E7" s="878"/>
      <c r="F7" s="878"/>
      <c r="G7" s="878"/>
      <c r="H7" s="878"/>
      <c r="I7" s="878"/>
      <c r="J7" s="878"/>
      <c r="K7" s="878"/>
      <c r="L7" s="892">
        <f t="shared" si="0"/>
        <v>0</v>
      </c>
    </row>
    <row r="8" spans="1:12" s="872" customFormat="1">
      <c r="A8" s="877" t="s">
        <v>783</v>
      </c>
      <c r="B8" s="880">
        <f t="shared" ref="B8:J8" si="3">ROUND(B7/3,0)</f>
        <v>0</v>
      </c>
      <c r="C8" s="880">
        <f t="shared" si="3"/>
        <v>0</v>
      </c>
      <c r="D8" s="880">
        <f t="shared" si="3"/>
        <v>0</v>
      </c>
      <c r="E8" s="880">
        <f t="shared" si="3"/>
        <v>0</v>
      </c>
      <c r="F8" s="880">
        <f t="shared" si="3"/>
        <v>0</v>
      </c>
      <c r="G8" s="880">
        <f t="shared" si="3"/>
        <v>0</v>
      </c>
      <c r="H8" s="880">
        <f t="shared" si="3"/>
        <v>0</v>
      </c>
      <c r="I8" s="880">
        <f t="shared" si="3"/>
        <v>0</v>
      </c>
      <c r="J8" s="880">
        <f t="shared" si="3"/>
        <v>0</v>
      </c>
      <c r="K8" s="878"/>
      <c r="L8" s="892">
        <f t="shared" si="0"/>
        <v>0</v>
      </c>
    </row>
    <row r="9" spans="1:12" s="872" customFormat="1">
      <c r="A9" s="877" t="s">
        <v>784</v>
      </c>
      <c r="B9" s="880">
        <f t="shared" ref="B9:J9" si="4">B13*2</f>
        <v>0</v>
      </c>
      <c r="C9" s="880">
        <f t="shared" si="4"/>
        <v>0</v>
      </c>
      <c r="D9" s="880">
        <f t="shared" si="4"/>
        <v>0</v>
      </c>
      <c r="E9" s="880">
        <f t="shared" si="4"/>
        <v>0</v>
      </c>
      <c r="F9" s="880">
        <f t="shared" si="4"/>
        <v>0</v>
      </c>
      <c r="G9" s="880">
        <f t="shared" si="4"/>
        <v>0</v>
      </c>
      <c r="H9" s="880">
        <f t="shared" si="4"/>
        <v>0</v>
      </c>
      <c r="I9" s="880">
        <f t="shared" si="4"/>
        <v>0</v>
      </c>
      <c r="J9" s="880">
        <f t="shared" si="4"/>
        <v>0</v>
      </c>
      <c r="K9" s="878"/>
      <c r="L9" s="892">
        <f t="shared" si="0"/>
        <v>0</v>
      </c>
    </row>
    <row r="10" spans="1:12" s="872" customFormat="1">
      <c r="A10" s="877" t="s">
        <v>771</v>
      </c>
      <c r="B10" s="880">
        <f t="shared" ref="B10:J10" si="5">B25+B27+B28</f>
        <v>1</v>
      </c>
      <c r="C10" s="880">
        <f t="shared" si="5"/>
        <v>1</v>
      </c>
      <c r="D10" s="880">
        <f t="shared" si="5"/>
        <v>2</v>
      </c>
      <c r="E10" s="880">
        <f t="shared" si="5"/>
        <v>1</v>
      </c>
      <c r="F10" s="880">
        <f t="shared" si="5"/>
        <v>0</v>
      </c>
      <c r="G10" s="880">
        <f t="shared" si="5"/>
        <v>0</v>
      </c>
      <c r="H10" s="880">
        <f t="shared" si="5"/>
        <v>1</v>
      </c>
      <c r="I10" s="880">
        <f t="shared" si="5"/>
        <v>1</v>
      </c>
      <c r="J10" s="880">
        <f t="shared" si="5"/>
        <v>0</v>
      </c>
      <c r="K10" s="878"/>
      <c r="L10" s="892">
        <f t="shared" si="0"/>
        <v>7</v>
      </c>
    </row>
    <row r="11" spans="1:12" s="872" customFormat="1">
      <c r="A11" s="877" t="s">
        <v>785</v>
      </c>
      <c r="B11" s="880">
        <f t="shared" ref="B11:J11" si="6">B26</f>
        <v>0</v>
      </c>
      <c r="C11" s="880">
        <f t="shared" si="6"/>
        <v>0</v>
      </c>
      <c r="D11" s="880">
        <f t="shared" si="6"/>
        <v>0</v>
      </c>
      <c r="E11" s="880">
        <f t="shared" si="6"/>
        <v>0</v>
      </c>
      <c r="F11" s="880">
        <f t="shared" si="6"/>
        <v>6</v>
      </c>
      <c r="G11" s="880">
        <f t="shared" si="6"/>
        <v>5</v>
      </c>
      <c r="H11" s="880">
        <f t="shared" si="6"/>
        <v>0</v>
      </c>
      <c r="I11" s="880">
        <f t="shared" si="6"/>
        <v>0</v>
      </c>
      <c r="J11" s="880">
        <f t="shared" si="6"/>
        <v>0</v>
      </c>
      <c r="K11" s="878"/>
      <c r="L11" s="892">
        <f t="shared" si="0"/>
        <v>11</v>
      </c>
    </row>
    <row r="12" spans="1:12" s="872" customFormat="1">
      <c r="A12" s="877" t="s">
        <v>772</v>
      </c>
      <c r="B12" s="878"/>
      <c r="C12" s="878"/>
      <c r="D12" s="878"/>
      <c r="E12" s="878"/>
      <c r="F12" s="878"/>
      <c r="G12" s="878"/>
      <c r="H12" s="878"/>
      <c r="I12" s="878"/>
      <c r="J12" s="878"/>
      <c r="K12" s="878"/>
      <c r="L12" s="892">
        <f t="shared" si="0"/>
        <v>0</v>
      </c>
    </row>
    <row r="13" spans="1:12" s="872" customFormat="1">
      <c r="A13" s="877" t="s">
        <v>773</v>
      </c>
      <c r="B13" s="878"/>
      <c r="C13" s="878"/>
      <c r="D13" s="878"/>
      <c r="E13" s="878"/>
      <c r="F13" s="878"/>
      <c r="G13" s="878"/>
      <c r="H13" s="878"/>
      <c r="I13" s="878"/>
      <c r="J13" s="878"/>
      <c r="K13" s="878"/>
      <c r="L13" s="892">
        <f t="shared" si="0"/>
        <v>0</v>
      </c>
    </row>
    <row r="14" spans="1:12" s="872" customFormat="1">
      <c r="A14" s="877" t="s">
        <v>774</v>
      </c>
      <c r="B14" s="878"/>
      <c r="C14" s="878"/>
      <c r="D14" s="878"/>
      <c r="E14" s="878"/>
      <c r="F14" s="878"/>
      <c r="G14" s="878"/>
      <c r="H14" s="878"/>
      <c r="I14" s="878"/>
      <c r="J14" s="878"/>
      <c r="K14" s="878"/>
      <c r="L14" s="892">
        <f t="shared" si="0"/>
        <v>0</v>
      </c>
    </row>
    <row r="15" spans="1:12" s="872" customFormat="1">
      <c r="A15" s="877" t="s">
        <v>775</v>
      </c>
      <c r="B15" s="878"/>
      <c r="C15" s="878"/>
      <c r="D15" s="878"/>
      <c r="E15" s="878"/>
      <c r="F15" s="878"/>
      <c r="G15" s="878"/>
      <c r="H15" s="878"/>
      <c r="I15" s="878"/>
      <c r="J15" s="878"/>
      <c r="K15" s="878"/>
      <c r="L15" s="892">
        <f t="shared" si="0"/>
        <v>0</v>
      </c>
    </row>
    <row r="16" spans="1:12" s="872" customFormat="1">
      <c r="A16" s="881" t="s">
        <v>776</v>
      </c>
      <c r="B16" s="878"/>
      <c r="C16" s="878"/>
      <c r="D16" s="878"/>
      <c r="E16" s="878"/>
      <c r="F16" s="878"/>
      <c r="G16" s="878"/>
      <c r="H16" s="878"/>
      <c r="I16" s="878"/>
      <c r="J16" s="878"/>
      <c r="K16" s="878"/>
      <c r="L16" s="892">
        <f t="shared" si="0"/>
        <v>0</v>
      </c>
    </row>
    <row r="17" spans="1:12" s="872" customFormat="1">
      <c r="A17" s="877" t="s">
        <v>777</v>
      </c>
      <c r="B17" s="880">
        <f t="shared" ref="B17:J17" si="7">B12+B13+B14+B15+B16</f>
        <v>0</v>
      </c>
      <c r="C17" s="880">
        <f t="shared" si="7"/>
        <v>0</v>
      </c>
      <c r="D17" s="880">
        <f t="shared" si="7"/>
        <v>0</v>
      </c>
      <c r="E17" s="880">
        <f t="shared" si="7"/>
        <v>0</v>
      </c>
      <c r="F17" s="880">
        <f t="shared" si="7"/>
        <v>0</v>
      </c>
      <c r="G17" s="880">
        <f t="shared" si="7"/>
        <v>0</v>
      </c>
      <c r="H17" s="880">
        <f t="shared" si="7"/>
        <v>0</v>
      </c>
      <c r="I17" s="880">
        <f t="shared" si="7"/>
        <v>0</v>
      </c>
      <c r="J17" s="880">
        <f t="shared" si="7"/>
        <v>0</v>
      </c>
      <c r="K17" s="878"/>
      <c r="L17" s="892">
        <f t="shared" si="0"/>
        <v>0</v>
      </c>
    </row>
    <row r="18" spans="1:12" s="872" customFormat="1">
      <c r="A18" s="877" t="s">
        <v>778</v>
      </c>
      <c r="B18" s="880">
        <f t="shared" ref="B18:J18" si="8">B4</f>
        <v>6.2309999999999999</v>
      </c>
      <c r="C18" s="880">
        <f t="shared" si="8"/>
        <v>7.7439999999999998</v>
      </c>
      <c r="D18" s="880">
        <f t="shared" si="8"/>
        <v>7.7439999999999998</v>
      </c>
      <c r="E18" s="880">
        <f t="shared" si="8"/>
        <v>5.9489999999999998</v>
      </c>
      <c r="F18" s="880">
        <f t="shared" si="8"/>
        <v>27.385999999999999</v>
      </c>
      <c r="G18" s="880">
        <f t="shared" si="8"/>
        <v>17.411000000000001</v>
      </c>
      <c r="H18" s="880">
        <f t="shared" si="8"/>
        <v>16.36</v>
      </c>
      <c r="I18" s="880">
        <f t="shared" si="8"/>
        <v>7.0259999999999998</v>
      </c>
      <c r="J18" s="880">
        <f t="shared" si="8"/>
        <v>0</v>
      </c>
      <c r="K18" s="878"/>
      <c r="L18" s="892">
        <f t="shared" si="0"/>
        <v>95.850999999999999</v>
      </c>
    </row>
    <row r="19" spans="1:12" s="872" customFormat="1">
      <c r="A19" s="877" t="s">
        <v>786</v>
      </c>
      <c r="B19" s="880">
        <f t="shared" ref="B19:J19" si="9">B7</f>
        <v>0</v>
      </c>
      <c r="C19" s="880">
        <f t="shared" si="9"/>
        <v>0</v>
      </c>
      <c r="D19" s="880">
        <f t="shared" si="9"/>
        <v>0</v>
      </c>
      <c r="E19" s="880">
        <f t="shared" si="9"/>
        <v>0</v>
      </c>
      <c r="F19" s="880">
        <f t="shared" si="9"/>
        <v>0</v>
      </c>
      <c r="G19" s="880">
        <f t="shared" si="9"/>
        <v>0</v>
      </c>
      <c r="H19" s="880">
        <f t="shared" si="9"/>
        <v>0</v>
      </c>
      <c r="I19" s="880">
        <f t="shared" si="9"/>
        <v>0</v>
      </c>
      <c r="J19" s="880">
        <f t="shared" si="9"/>
        <v>0</v>
      </c>
      <c r="K19" s="878"/>
      <c r="L19" s="892">
        <f t="shared" si="0"/>
        <v>0</v>
      </c>
    </row>
    <row r="20" spans="1:12" s="872" customFormat="1">
      <c r="A20" s="877" t="s">
        <v>779</v>
      </c>
      <c r="B20" s="880">
        <f t="shared" ref="B20:J20" si="10">B18+B10+B11+B11+B12+B13+B14+B15+B19</f>
        <v>7.2309999999999999</v>
      </c>
      <c r="C20" s="880">
        <f t="shared" si="10"/>
        <v>8.7439999999999998</v>
      </c>
      <c r="D20" s="880">
        <f t="shared" si="10"/>
        <v>9.7439999999999998</v>
      </c>
      <c r="E20" s="880">
        <f t="shared" si="10"/>
        <v>6.9489999999999998</v>
      </c>
      <c r="F20" s="880">
        <f t="shared" si="10"/>
        <v>39.385999999999996</v>
      </c>
      <c r="G20" s="880">
        <f t="shared" si="10"/>
        <v>27.411000000000001</v>
      </c>
      <c r="H20" s="880">
        <f t="shared" si="10"/>
        <v>17.36</v>
      </c>
      <c r="I20" s="880">
        <f t="shared" si="10"/>
        <v>8.0259999999999998</v>
      </c>
      <c r="J20" s="880">
        <f t="shared" si="10"/>
        <v>0</v>
      </c>
      <c r="K20" s="878"/>
      <c r="L20" s="892">
        <f t="shared" si="0"/>
        <v>124.851</v>
      </c>
    </row>
    <row r="21" spans="1:12" s="872" customFormat="1">
      <c r="A21" s="882"/>
      <c r="B21" s="883"/>
      <c r="C21" s="884"/>
      <c r="D21" s="884"/>
      <c r="E21" s="884"/>
      <c r="F21" s="884"/>
      <c r="G21" s="884"/>
      <c r="H21" s="884"/>
      <c r="I21" s="884"/>
      <c r="J21" s="884"/>
      <c r="K21" s="884"/>
      <c r="L21" s="893"/>
    </row>
    <row r="22" spans="1:12" s="872" customFormat="1">
      <c r="A22" s="877" t="s">
        <v>780</v>
      </c>
      <c r="B22" s="878">
        <f>(B4*3)*1.1</f>
        <v>20.5623</v>
      </c>
      <c r="C22" s="878">
        <f t="shared" ref="C22:I22" si="11">(C4*3)*1.1</f>
        <v>25.555200000000003</v>
      </c>
      <c r="D22" s="878">
        <f t="shared" si="11"/>
        <v>25.555200000000003</v>
      </c>
      <c r="E22" s="878">
        <f t="shared" si="11"/>
        <v>19.631700000000002</v>
      </c>
      <c r="F22" s="878">
        <f t="shared" si="11"/>
        <v>90.373800000000003</v>
      </c>
      <c r="G22" s="878"/>
      <c r="H22" s="878">
        <f t="shared" si="11"/>
        <v>53.988</v>
      </c>
      <c r="I22" s="878">
        <f t="shared" si="11"/>
        <v>23.1858</v>
      </c>
      <c r="J22" s="878"/>
      <c r="K22" s="878"/>
      <c r="L22" s="892">
        <f>SUM(B22:J22)</f>
        <v>258.85199999999998</v>
      </c>
    </row>
    <row r="23" spans="1:12" s="872" customFormat="1">
      <c r="A23" s="877" t="s">
        <v>787</v>
      </c>
      <c r="B23" s="878"/>
      <c r="C23" s="878"/>
      <c r="D23" s="878"/>
      <c r="E23" s="878"/>
      <c r="F23" s="878"/>
      <c r="G23" s="878">
        <f>(G4*3)*1.1</f>
        <v>57.456300000000006</v>
      </c>
      <c r="H23" s="878"/>
      <c r="I23" s="878"/>
      <c r="J23" s="878"/>
      <c r="K23" s="878"/>
      <c r="L23" s="892">
        <f>SUM(B23:J23)</f>
        <v>57.456300000000006</v>
      </c>
    </row>
    <row r="24" spans="1:12" s="872" customFormat="1">
      <c r="A24" s="885"/>
      <c r="B24" s="884"/>
      <c r="C24" s="884"/>
      <c r="D24" s="884"/>
      <c r="E24" s="884"/>
      <c r="F24" s="884"/>
      <c r="G24" s="884"/>
      <c r="H24" s="884"/>
      <c r="I24" s="884"/>
      <c r="J24" s="884"/>
      <c r="K24" s="884"/>
      <c r="L24" s="893"/>
    </row>
    <row r="25" spans="1:12" s="872" customFormat="1">
      <c r="A25" s="877" t="s">
        <v>788</v>
      </c>
      <c r="B25" s="878"/>
      <c r="C25" s="878"/>
      <c r="D25" s="878"/>
      <c r="E25" s="878"/>
      <c r="F25" s="878"/>
      <c r="G25" s="878"/>
      <c r="H25" s="878"/>
      <c r="I25" s="878"/>
      <c r="J25" s="878"/>
      <c r="K25" s="878"/>
      <c r="L25" s="892">
        <f>SUM(B25:J25)</f>
        <v>0</v>
      </c>
    </row>
    <row r="26" spans="1:12" s="872" customFormat="1">
      <c r="A26" s="877" t="s">
        <v>789</v>
      </c>
      <c r="B26" s="878"/>
      <c r="C26" s="878"/>
      <c r="D26" s="878"/>
      <c r="E26" s="878"/>
      <c r="F26" s="878">
        <v>6</v>
      </c>
      <c r="G26" s="878">
        <v>5</v>
      </c>
      <c r="H26" s="878"/>
      <c r="I26" s="878"/>
      <c r="J26" s="878"/>
      <c r="K26" s="878"/>
      <c r="L26" s="892">
        <f>SUM(B26:J26)</f>
        <v>11</v>
      </c>
    </row>
    <row r="27" spans="1:12" s="872" customFormat="1">
      <c r="A27" s="877" t="s">
        <v>790</v>
      </c>
      <c r="B27" s="878">
        <v>1</v>
      </c>
      <c r="C27" s="878">
        <v>1</v>
      </c>
      <c r="D27" s="878">
        <v>2</v>
      </c>
      <c r="E27" s="878">
        <v>1</v>
      </c>
      <c r="F27" s="878"/>
      <c r="G27" s="878"/>
      <c r="H27" s="878">
        <v>1</v>
      </c>
      <c r="I27" s="878">
        <v>1</v>
      </c>
      <c r="J27" s="878"/>
      <c r="K27" s="878"/>
      <c r="L27" s="892">
        <f>SUM(B27:J27)</f>
        <v>7</v>
      </c>
    </row>
    <row r="28" spans="1:12" s="872" customFormat="1">
      <c r="A28" s="877" t="s">
        <v>791</v>
      </c>
      <c r="B28" s="886"/>
      <c r="C28" s="878"/>
      <c r="D28" s="878"/>
      <c r="E28" s="877"/>
      <c r="F28" s="878"/>
      <c r="G28" s="878"/>
      <c r="H28" s="878"/>
      <c r="I28" s="878"/>
      <c r="J28" s="878"/>
      <c r="K28" s="878"/>
      <c r="L28" s="892">
        <f>SUM(B28:J28)</f>
        <v>0</v>
      </c>
    </row>
    <row r="29" spans="1:12" s="872" customFormat="1" ht="13.8" thickBot="1">
      <c r="A29" s="877"/>
      <c r="B29" s="886"/>
      <c r="C29" s="878"/>
      <c r="D29" s="878"/>
      <c r="E29" s="886"/>
      <c r="F29" s="878"/>
      <c r="G29" s="878"/>
      <c r="H29" s="878"/>
      <c r="I29" s="878"/>
      <c r="J29" s="878"/>
      <c r="K29" s="878"/>
      <c r="L29" s="894">
        <f>SUM(B29:J29)</f>
        <v>0</v>
      </c>
    </row>
    <row r="30" spans="1:12" s="872" customFormat="1">
      <c r="A30" s="887"/>
      <c r="B30" s="888"/>
      <c r="C30" s="888"/>
      <c r="D30" s="889"/>
      <c r="E30" s="889"/>
      <c r="F30" s="889"/>
      <c r="G30" s="889"/>
      <c r="H30" s="889"/>
      <c r="I30" s="889"/>
      <c r="J30" s="889"/>
      <c r="K30" s="889"/>
      <c r="L30" s="879"/>
    </row>
    <row r="31" spans="1:12" s="872" customFormat="1">
      <c r="A31" s="877" t="s">
        <v>792</v>
      </c>
      <c r="B31" s="880">
        <f t="shared" ref="B31:J31" si="12">B25+B26+B27</f>
        <v>1</v>
      </c>
      <c r="C31" s="880">
        <f t="shared" si="12"/>
        <v>1</v>
      </c>
      <c r="D31" s="880">
        <f t="shared" si="12"/>
        <v>2</v>
      </c>
      <c r="E31" s="880">
        <f t="shared" si="12"/>
        <v>1</v>
      </c>
      <c r="F31" s="880">
        <f t="shared" si="12"/>
        <v>6</v>
      </c>
      <c r="G31" s="880">
        <f t="shared" si="12"/>
        <v>5</v>
      </c>
      <c r="H31" s="880">
        <f t="shared" si="12"/>
        <v>1</v>
      </c>
      <c r="I31" s="880">
        <f t="shared" si="12"/>
        <v>1</v>
      </c>
      <c r="J31" s="880">
        <f t="shared" si="12"/>
        <v>0</v>
      </c>
      <c r="K31" s="878">
        <v>1</v>
      </c>
      <c r="L31" s="879">
        <f>SUM(B31:J31)*K31</f>
        <v>18</v>
      </c>
    </row>
    <row r="32" spans="1:12" s="872" customFormat="1" ht="13.8" thickBot="1">
      <c r="A32" s="877" t="s">
        <v>791</v>
      </c>
      <c r="B32" s="880">
        <f t="shared" ref="B32:J32" si="13">B28</f>
        <v>0</v>
      </c>
      <c r="C32" s="880">
        <f t="shared" si="13"/>
        <v>0</v>
      </c>
      <c r="D32" s="880">
        <f t="shared" si="13"/>
        <v>0</v>
      </c>
      <c r="E32" s="880">
        <f t="shared" si="13"/>
        <v>0</v>
      </c>
      <c r="F32" s="880">
        <f t="shared" si="13"/>
        <v>0</v>
      </c>
      <c r="G32" s="880">
        <f t="shared" si="13"/>
        <v>0</v>
      </c>
      <c r="H32" s="880">
        <f t="shared" si="13"/>
        <v>0</v>
      </c>
      <c r="I32" s="880">
        <f t="shared" si="13"/>
        <v>0</v>
      </c>
      <c r="J32" s="880">
        <f t="shared" si="13"/>
        <v>0</v>
      </c>
      <c r="K32" s="878">
        <v>0.5</v>
      </c>
      <c r="L32" s="879">
        <f>SUM(B32:J32)*K32</f>
        <v>0</v>
      </c>
    </row>
    <row r="33" spans="11:12" s="872" customFormat="1" ht="13.8" thickBot="1">
      <c r="K33" s="868"/>
      <c r="L33" s="890">
        <f>SUM(L31:L32)</f>
        <v>18</v>
      </c>
    </row>
  </sheetData>
  <phoneticPr fontId="15"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indexed="14"/>
  </sheetPr>
  <dimension ref="A1:AE113"/>
  <sheetViews>
    <sheetView workbookViewId="0">
      <selection activeCell="A14" sqref="A14:XFD44"/>
    </sheetView>
  </sheetViews>
  <sheetFormatPr defaultColWidth="9.109375" defaultRowHeight="13.2"/>
  <cols>
    <col min="1" max="1" width="6.6640625" style="36" customWidth="1"/>
    <col min="2" max="2" width="5.6640625" style="36" customWidth="1"/>
    <col min="3" max="3" width="4.33203125" style="36" hidden="1" customWidth="1"/>
    <col min="4" max="4" width="19.6640625" style="36" customWidth="1"/>
    <col min="5" max="5" width="12.6640625" style="36" customWidth="1"/>
    <col min="6" max="6" width="15.8867187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9.5546875" style="36" customWidth="1"/>
    <col min="19" max="19" width="6.6640625" style="36" customWidth="1"/>
    <col min="20" max="20" width="9.332031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464"/>
      <c r="B1" s="465" t="s">
        <v>0</v>
      </c>
      <c r="C1" s="466">
        <f>ML_Sum!$C1</f>
        <v>1</v>
      </c>
      <c r="D1" s="467" t="str">
        <f>ML_Sum!$D1</f>
        <v>SUNCREST HOTELS plc</v>
      </c>
      <c r="E1" s="468"/>
      <c r="F1" s="469">
        <f>ML_Sum!$F1</f>
        <v>0</v>
      </c>
      <c r="G1" s="470"/>
      <c r="H1"/>
      <c r="I1" s="261">
        <v>1</v>
      </c>
      <c r="J1" s="262">
        <f>ML_Sum!$J1</f>
        <v>1</v>
      </c>
      <c r="K1" s="262">
        <f>ML_Sum!$K1</f>
        <v>1</v>
      </c>
      <c r="L1" s="262">
        <f>ML_Sum!$L1</f>
        <v>1</v>
      </c>
      <c r="M1" s="262">
        <f>ML_Sum!$M1</f>
        <v>1</v>
      </c>
      <c r="N1" s="262">
        <f>ML_Sum!$N1</f>
        <v>1</v>
      </c>
      <c r="O1" s="262">
        <f>ML_Sum!$O1</f>
        <v>1</v>
      </c>
      <c r="P1"/>
      <c r="Q1" s="324" t="str">
        <f>ML_Sum!$Q1</f>
        <v>€</v>
      </c>
      <c r="R1" s="265" t="s">
        <v>1</v>
      </c>
      <c r="S1" s="323" t="str">
        <f>ML_Sum!$S1</f>
        <v>R</v>
      </c>
      <c r="T1" s="17">
        <f>ML_Sum!$T1</f>
        <v>1</v>
      </c>
      <c r="U1" s="185" t="str">
        <f>ML_Sum!W1</f>
        <v>BOQ</v>
      </c>
      <c r="V1" s="119" t="s">
        <v>173</v>
      </c>
      <c r="W1" s="120" t="s">
        <v>163</v>
      </c>
      <c r="X1" s="121" t="s">
        <v>164</v>
      </c>
      <c r="Y1" s="122" t="s">
        <v>165</v>
      </c>
      <c r="Z1" s="123" t="s">
        <v>161</v>
      </c>
      <c r="AA1" s="123" t="s">
        <v>166</v>
      </c>
      <c r="AB1" s="120" t="s">
        <v>167</v>
      </c>
    </row>
    <row r="2" spans="1:31" s="32" customFormat="1" ht="13.8">
      <c r="A2" s="464"/>
      <c r="B2" s="465" t="s">
        <v>2</v>
      </c>
      <c r="C2" s="466">
        <f>ML_Sum!$C2</f>
        <v>1</v>
      </c>
      <c r="D2" s="467" t="str">
        <f>ML_Sum!$D2</f>
        <v>Sunny Cost and Lido Redevelopment</v>
      </c>
      <c r="E2" s="471"/>
      <c r="F2" s="469" t="str">
        <f>ML_Sum!$F2</f>
        <v>Electrical</v>
      </c>
      <c r="G2" s="470"/>
      <c r="H2"/>
      <c r="I2" s="261">
        <v>2</v>
      </c>
      <c r="J2" s="262">
        <f>ML_Sum!$J2</f>
        <v>1</v>
      </c>
      <c r="K2" s="262">
        <f>ML_Sum!$K2</f>
        <v>1</v>
      </c>
      <c r="L2" s="262">
        <f>ML_Sum!$L2</f>
        <v>1</v>
      </c>
      <c r="M2" s="262">
        <f>ML_Sum!$M2</f>
        <v>1</v>
      </c>
      <c r="N2" s="262">
        <f>ML_Sum!$N2</f>
        <v>1</v>
      </c>
      <c r="O2" s="262">
        <f>ML_Sum!$O2</f>
        <v>1</v>
      </c>
      <c r="P2"/>
      <c r="Q2" s="330">
        <f>ML_Sum!$Q2</f>
        <v>0</v>
      </c>
      <c r="R2" s="18" t="s">
        <v>3</v>
      </c>
      <c r="S2" s="331">
        <f>ML_Sum!$S2</f>
        <v>1</v>
      </c>
      <c r="T2" s="332">
        <f>ML_Sum!$T2</f>
        <v>28.832999999999998</v>
      </c>
      <c r="V2" s="305"/>
      <c r="W2" s="305"/>
      <c r="X2" s="305"/>
      <c r="Y2" s="305"/>
      <c r="Z2" s="305"/>
      <c r="AA2" s="305"/>
      <c r="AB2" s="305"/>
    </row>
    <row r="3" spans="1:31" s="32" customFormat="1" ht="13.8">
      <c r="A3" s="472"/>
      <c r="B3" s="473" t="s">
        <v>4</v>
      </c>
      <c r="C3" s="466">
        <f>ML_Sum!$C3</f>
        <v>1</v>
      </c>
      <c r="D3" s="467" t="str">
        <f>ML_Sum!$D3</f>
        <v>Sample Room - Electrical</v>
      </c>
      <c r="E3" s="472"/>
      <c r="F3" s="469" t="str">
        <f>ML_Sum!$F3</f>
        <v>Controls Section (Guy)</v>
      </c>
      <c r="G3" s="474"/>
      <c r="H3"/>
      <c r="I3" s="261">
        <v>3</v>
      </c>
      <c r="J3" s="262">
        <f>ML_Sum!$J3</f>
        <v>1</v>
      </c>
      <c r="K3" s="262">
        <f>ML_Sum!$K3</f>
        <v>1</v>
      </c>
      <c r="L3" s="262">
        <f>ML_Sum!$L3</f>
        <v>1</v>
      </c>
      <c r="M3" s="262">
        <f>ML_Sum!$M3</f>
        <v>1</v>
      </c>
      <c r="N3" s="262">
        <f>ML_Sum!$N3</f>
        <v>1</v>
      </c>
      <c r="O3" s="262">
        <f>ML_Sum!$O3</f>
        <v>1</v>
      </c>
      <c r="P3"/>
      <c r="Q3" s="330">
        <f>ML_Sum!$Q3</f>
        <v>0</v>
      </c>
      <c r="R3" s="19" t="s">
        <v>5</v>
      </c>
      <c r="S3" s="331">
        <f>ML_Sum!$S3</f>
        <v>1</v>
      </c>
      <c r="T3" s="332">
        <f>ML_Sum!$T3</f>
        <v>33</v>
      </c>
      <c r="V3" s="305"/>
      <c r="W3" s="305"/>
      <c r="X3" s="305"/>
      <c r="Y3" s="305"/>
      <c r="Z3" s="305"/>
      <c r="AA3" s="305"/>
      <c r="AB3" s="305"/>
      <c r="AE3" s="302"/>
    </row>
    <row r="4" spans="1:31" s="32" customFormat="1" ht="13.8">
      <c r="A4" s="475"/>
      <c r="B4" s="465" t="s">
        <v>6</v>
      </c>
      <c r="C4" s="466">
        <f>ML_Sum!$C4</f>
        <v>1</v>
      </c>
      <c r="D4" s="467" t="str">
        <f>ML_Sum!$D4</f>
        <v>EL25-0700</v>
      </c>
      <c r="E4" s="472"/>
      <c r="F4" s="469" t="str">
        <f>ML_Sum!$F4</f>
        <v>Controls Section (Engineer)</v>
      </c>
      <c r="G4" s="474"/>
      <c r="H4"/>
      <c r="I4" s="261">
        <v>4</v>
      </c>
      <c r="J4" s="262">
        <f>ML_Sum!$J4</f>
        <v>1</v>
      </c>
      <c r="K4" s="262">
        <f>ML_Sum!$K4</f>
        <v>1</v>
      </c>
      <c r="L4" s="262">
        <f>ML_Sum!$L4</f>
        <v>1</v>
      </c>
      <c r="M4" s="262">
        <f>ML_Sum!$M4</f>
        <v>1</v>
      </c>
      <c r="N4" s="262">
        <f>ML_Sum!$N4</f>
        <v>1</v>
      </c>
      <c r="O4" s="262">
        <f>ML_Sum!$O4</f>
        <v>1</v>
      </c>
      <c r="P4"/>
      <c r="Q4" s="330">
        <f>ML_Sum!$Q4</f>
        <v>0</v>
      </c>
      <c r="R4" s="20" t="s">
        <v>8</v>
      </c>
      <c r="S4" s="331">
        <f>ML_Sum!$S4</f>
        <v>1</v>
      </c>
      <c r="T4" s="332">
        <f>ML_Sum!$T4</f>
        <v>30</v>
      </c>
      <c r="V4" s="305"/>
      <c r="W4" s="305"/>
      <c r="X4" s="305"/>
      <c r="Y4" s="305"/>
      <c r="Z4" s="305"/>
      <c r="AA4" s="305"/>
      <c r="AB4" s="305"/>
      <c r="AE4" s="303"/>
    </row>
    <row r="5" spans="1:31" s="32" customFormat="1" ht="13.8">
      <c r="A5" s="475"/>
      <c r="B5" s="465" t="s">
        <v>175</v>
      </c>
      <c r="C5" s="466">
        <f>ML_Sum!$C5</f>
        <v>1</v>
      </c>
      <c r="D5" s="467" t="str">
        <f>ML_Sum!$D5</f>
        <v>Sample Room</v>
      </c>
      <c r="E5" s="472"/>
      <c r="F5" s="469" t="str">
        <f>ML_Sum!$F5</f>
        <v>Fire Alarm (Josef)</v>
      </c>
      <c r="G5" s="476"/>
      <c r="H5"/>
      <c r="I5" s="261">
        <v>5</v>
      </c>
      <c r="J5" s="262">
        <f>ML_Sum!$J5</f>
        <v>1</v>
      </c>
      <c r="K5" s="262">
        <f>ML_Sum!$K5</f>
        <v>1</v>
      </c>
      <c r="L5" s="262">
        <f>ML_Sum!$L5</f>
        <v>1</v>
      </c>
      <c r="M5" s="262">
        <f>ML_Sum!$M5</f>
        <v>1</v>
      </c>
      <c r="N5" s="262">
        <f>ML_Sum!$N5</f>
        <v>1</v>
      </c>
      <c r="O5" s="262">
        <f>ML_Sum!$O5</f>
        <v>1</v>
      </c>
      <c r="P5"/>
      <c r="Q5" s="330">
        <f>ML_Sum!$Q5</f>
        <v>0</v>
      </c>
      <c r="R5" s="21" t="s">
        <v>10</v>
      </c>
      <c r="S5" s="331">
        <f>ML_Sum!$S5</f>
        <v>1</v>
      </c>
      <c r="T5" s="332">
        <f>ML_Sum!$T5</f>
        <v>28.832999999999998</v>
      </c>
      <c r="V5" s="305"/>
      <c r="W5" s="305"/>
      <c r="X5" s="305"/>
      <c r="Y5" s="305"/>
      <c r="Z5" s="305"/>
      <c r="AA5" s="305"/>
      <c r="AB5" s="305"/>
      <c r="AE5" s="303"/>
    </row>
    <row r="6" spans="1:31" s="32" customFormat="1" ht="13.8">
      <c r="A6"/>
      <c r="B6" s="473" t="s">
        <v>9</v>
      </c>
      <c r="C6" s="466">
        <f>ML_Sum!$C6</f>
        <v>1</v>
      </c>
      <c r="D6" s="467" t="str">
        <f>ML_Sum!$D6</f>
        <v>VAT EXCL.</v>
      </c>
      <c r="E6"/>
      <c r="F6" s="469">
        <f>ML_Sum!$F6</f>
        <v>0</v>
      </c>
      <c r="G6" s="476"/>
      <c r="H6"/>
      <c r="I6" s="261">
        <v>6</v>
      </c>
      <c r="J6" s="262">
        <f>ML_Sum!$J6</f>
        <v>1</v>
      </c>
      <c r="K6" s="262">
        <f>ML_Sum!$K6</f>
        <v>1</v>
      </c>
      <c r="L6" s="262">
        <f>ML_Sum!$L6</f>
        <v>1</v>
      </c>
      <c r="M6" s="262">
        <f>ML_Sum!$M6</f>
        <v>1</v>
      </c>
      <c r="N6" s="262">
        <f>ML_Sum!$N6</f>
        <v>1</v>
      </c>
      <c r="O6" s="262">
        <f>ML_Sum!$O6</f>
        <v>1</v>
      </c>
      <c r="P6"/>
      <c r="Q6" s="330">
        <f>ML_Sum!$Q6</f>
        <v>0</v>
      </c>
      <c r="R6" s="22" t="s">
        <v>11</v>
      </c>
      <c r="S6" s="331">
        <f>ML_Sum!$S6</f>
        <v>0</v>
      </c>
      <c r="T6" s="332">
        <f>ML_Sum!$T6</f>
        <v>0</v>
      </c>
      <c r="V6" s="305"/>
      <c r="W6" s="305"/>
      <c r="X6" s="305"/>
      <c r="Y6" s="305"/>
      <c r="Z6" s="305"/>
      <c r="AA6" s="305"/>
      <c r="AB6" s="305"/>
      <c r="AE6"/>
    </row>
    <row r="7" spans="1:31" s="32" customFormat="1" ht="13.8">
      <c r="A7" s="464"/>
      <c r="B7" s="473" t="s">
        <v>12</v>
      </c>
      <c r="C7" s="466">
        <f>ML_Sum!$C7</f>
        <v>1</v>
      </c>
      <c r="D7" s="477">
        <v>39364</v>
      </c>
      <c r="E7" s="478"/>
      <c r="F7" s="469">
        <f>ML_Sum!$F7</f>
        <v>0</v>
      </c>
      <c r="G7" s="479"/>
      <c r="H7"/>
      <c r="I7" s="261">
        <v>7</v>
      </c>
      <c r="J7" s="262">
        <f>ML_Sum!$J7</f>
        <v>1</v>
      </c>
      <c r="K7" s="262">
        <f>ML_Sum!$K7</f>
        <v>1</v>
      </c>
      <c r="L7" s="262">
        <f>ML_Sum!$L7</f>
        <v>1</v>
      </c>
      <c r="M7" s="262">
        <f>ML_Sum!$M7</f>
        <v>1</v>
      </c>
      <c r="N7" s="262">
        <f>ML_Sum!$N7</f>
        <v>1</v>
      </c>
      <c r="O7" s="262">
        <f>ML_Sum!$O7</f>
        <v>0</v>
      </c>
      <c r="P7"/>
      <c r="Q7" s="330">
        <f>ML_Sum!$Q7</f>
        <v>0</v>
      </c>
      <c r="R7" s="23" t="s">
        <v>13</v>
      </c>
      <c r="S7" s="331">
        <f>ML_Sum!$S7</f>
        <v>0</v>
      </c>
      <c r="T7" s="332">
        <f>ML_Sum!$T7</f>
        <v>0</v>
      </c>
      <c r="V7" s="305"/>
      <c r="W7" s="305"/>
      <c r="X7" s="305"/>
      <c r="Y7" s="305"/>
      <c r="Z7" s="305"/>
      <c r="AA7" s="305"/>
      <c r="AB7" s="305"/>
    </row>
    <row r="8" spans="1:31" s="32" customFormat="1" ht="13.8">
      <c r="A8" s="475"/>
      <c r="B8" s="473" t="s">
        <v>14</v>
      </c>
      <c r="C8" s="466">
        <f>ML_Sum!$C8</f>
        <v>1</v>
      </c>
      <c r="D8" s="467" t="str">
        <f>ML_Sum!$D8</f>
        <v>R.Farrugia</v>
      </c>
      <c r="E8" s="472"/>
      <c r="F8" s="469">
        <f>ML_Sum!$F8</f>
        <v>0</v>
      </c>
      <c r="G8" s="480"/>
      <c r="H8"/>
      <c r="I8" s="261">
        <v>8</v>
      </c>
      <c r="J8" s="262">
        <f>ML_Sum!$J8</f>
        <v>1</v>
      </c>
      <c r="K8" s="262">
        <f>ML_Sum!$K8</f>
        <v>1</v>
      </c>
      <c r="L8" s="262">
        <f>ML_Sum!$L8</f>
        <v>1</v>
      </c>
      <c r="M8" s="262">
        <f>ML_Sum!$M8</f>
        <v>1</v>
      </c>
      <c r="N8" s="262">
        <f>ML_Sum!$N8</f>
        <v>1</v>
      </c>
      <c r="O8" s="262">
        <f>ML_Sum!$O8</f>
        <v>0</v>
      </c>
      <c r="P8"/>
      <c r="Q8" s="330">
        <f>ML_Sum!$Q8</f>
        <v>0</v>
      </c>
      <c r="R8" s="24" t="s">
        <v>15</v>
      </c>
      <c r="S8" s="331">
        <f>ML_Sum!$S8</f>
        <v>0</v>
      </c>
      <c r="T8" s="332">
        <f>ML_Sum!$T8</f>
        <v>0</v>
      </c>
      <c r="V8" s="305"/>
      <c r="W8" s="305"/>
      <c r="X8" s="305"/>
      <c r="Y8" s="305"/>
      <c r="Z8" s="305"/>
      <c r="AA8" s="305"/>
      <c r="AB8" s="305"/>
      <c r="AE8" s="303"/>
    </row>
    <row r="9" spans="1:31" s="32" customFormat="1" ht="13.8">
      <c r="A9" s="475"/>
      <c r="B9" s="473" t="s">
        <v>240</v>
      </c>
      <c r="C9" s="466">
        <f>ML_Sum!$C9</f>
        <v>1</v>
      </c>
      <c r="D9" s="467">
        <f>ML_Sum!$D9</f>
        <v>28.832999999999998</v>
      </c>
      <c r="E9" s="472"/>
      <c r="F9" s="469">
        <f>ML_Sum!$F9</f>
        <v>0</v>
      </c>
      <c r="G9" s="480"/>
      <c r="H9"/>
      <c r="I9" s="261">
        <v>9</v>
      </c>
      <c r="J9" s="262">
        <f>ML_Sum!$J9</f>
        <v>1</v>
      </c>
      <c r="K9" s="262">
        <f>ML_Sum!$K9</f>
        <v>1</v>
      </c>
      <c r="L9" s="262">
        <f>ML_Sum!$L9</f>
        <v>1</v>
      </c>
      <c r="M9" s="262">
        <f>ML_Sum!$M9</f>
        <v>1</v>
      </c>
      <c r="N9" s="262">
        <f>ML_Sum!$N9</f>
        <v>1</v>
      </c>
      <c r="O9" s="262">
        <f>ML_Sum!$O9</f>
        <v>0</v>
      </c>
      <c r="P9"/>
      <c r="Q9" s="330">
        <f>ML_Sum!$Q9</f>
        <v>0</v>
      </c>
      <c r="R9" s="25" t="s">
        <v>16</v>
      </c>
      <c r="S9" s="331">
        <f>ML_Sum!$S9</f>
        <v>0</v>
      </c>
      <c r="T9" s="332">
        <f>ML_Sum!$T9</f>
        <v>0</v>
      </c>
      <c r="V9" s="305"/>
      <c r="W9" s="305"/>
      <c r="X9" s="305"/>
      <c r="Y9" s="305"/>
      <c r="Z9" s="305"/>
      <c r="AA9" s="305"/>
      <c r="AB9" s="305"/>
      <c r="AE9" s="303"/>
    </row>
    <row r="10" spans="1:31" s="32" customFormat="1" ht="13.8">
      <c r="A10" s="475"/>
      <c r="B10" s="464"/>
      <c r="C10" s="466">
        <f>ML_Sum!$C10</f>
        <v>1</v>
      </c>
      <c r="D10" s="464"/>
      <c r="E10" s="472"/>
      <c r="F10" s="469">
        <f>ML_Sum!$F10</f>
        <v>0</v>
      </c>
      <c r="G10" s="480"/>
      <c r="H10"/>
      <c r="I10" s="261">
        <v>10</v>
      </c>
      <c r="J10" s="262">
        <f>ML_Sum!$J10</f>
        <v>1</v>
      </c>
      <c r="K10" s="262">
        <f>ML_Sum!$K10</f>
        <v>1</v>
      </c>
      <c r="L10" s="262">
        <f>ML_Sum!$L10</f>
        <v>1</v>
      </c>
      <c r="M10" s="262">
        <f>ML_Sum!$M10</f>
        <v>1</v>
      </c>
      <c r="N10" s="262">
        <f>ML_Sum!$N10</f>
        <v>1</v>
      </c>
      <c r="O10" s="262">
        <f>ML_Sum!$O10</f>
        <v>1</v>
      </c>
      <c r="P10"/>
      <c r="Q10" s="330">
        <f>ML_Sum!$Q10</f>
        <v>0</v>
      </c>
      <c r="R10" s="26" t="s">
        <v>17</v>
      </c>
      <c r="S10" s="331">
        <f>ML_Sum!$S10</f>
        <v>0</v>
      </c>
      <c r="T10" s="332">
        <f>ML_Sum!$T10</f>
        <v>0</v>
      </c>
      <c r="V10" s="305"/>
      <c r="W10" s="305"/>
      <c r="X10" s="305"/>
      <c r="Y10" s="305"/>
      <c r="Z10" s="305"/>
      <c r="AA10" s="305"/>
      <c r="AB10" s="305"/>
      <c r="AE10" s="303"/>
    </row>
    <row r="11" spans="1:31" s="32" customFormat="1" ht="13.8">
      <c r="A11" s="475"/>
      <c r="B11" s="464"/>
      <c r="C11" s="466">
        <f>ML_Sum!$C11</f>
        <v>1</v>
      </c>
      <c r="D11" s="464"/>
      <c r="E11" s="472"/>
      <c r="F11" s="469">
        <f>ML_Sum!$F11</f>
        <v>0</v>
      </c>
      <c r="G11" s="480"/>
      <c r="H11" s="480"/>
      <c r="I11" s="464"/>
      <c r="J11" s="464"/>
      <c r="K11" s="464"/>
      <c r="L11" s="464"/>
      <c r="M11" s="464"/>
      <c r="N11" s="464"/>
      <c r="O11" s="464"/>
      <c r="P11" s="480"/>
      <c r="Q11" s="330">
        <f>ML_Sum!$Q11</f>
        <v>0</v>
      </c>
      <c r="R11" s="27" t="s">
        <v>18</v>
      </c>
      <c r="S11" s="331">
        <f>ML_Sum!$S11</f>
        <v>0</v>
      </c>
      <c r="T11" s="332">
        <f>ML_Sum!$T11</f>
        <v>0</v>
      </c>
      <c r="V11" s="305"/>
      <c r="W11" s="305"/>
      <c r="X11" s="305"/>
      <c r="Y11" s="305"/>
      <c r="Z11" s="305"/>
      <c r="AA11" s="305"/>
      <c r="AB11" s="305"/>
      <c r="AE11" s="303"/>
    </row>
    <row r="12" spans="1:31" s="32" customFormat="1" ht="13.8">
      <c r="A12" s="475"/>
      <c r="B12" s="464"/>
      <c r="C12" s="466">
        <f>ML_Sum!$C12</f>
        <v>1</v>
      </c>
      <c r="D12" s="464"/>
      <c r="E12" s="472"/>
      <c r="F12" s="469">
        <f>ML_Sum!$F12</f>
        <v>0</v>
      </c>
      <c r="G12" s="480"/>
      <c r="H12" s="480"/>
      <c r="I12" s="464"/>
      <c r="J12" s="464"/>
      <c r="K12" s="464"/>
      <c r="L12" s="464"/>
      <c r="M12" s="464"/>
      <c r="N12" s="464"/>
      <c r="O12" s="464"/>
      <c r="P12" s="480"/>
      <c r="Q12" s="330">
        <f>ML_Sum!$Q12</f>
        <v>0</v>
      </c>
      <c r="R12" s="380" t="s">
        <v>191</v>
      </c>
      <c r="S12" s="331" t="str">
        <f>ML_Sum!$S12</f>
        <v>MAT MU</v>
      </c>
      <c r="T12" s="332" t="str">
        <f>ML_Sum!$T12</f>
        <v>LAB RATE</v>
      </c>
      <c r="V12" s="305"/>
      <c r="W12" s="305"/>
      <c r="X12" s="305"/>
      <c r="Y12" s="305"/>
      <c r="Z12" s="305"/>
      <c r="AA12" s="305"/>
      <c r="AB12" s="305"/>
      <c r="AE12" s="303"/>
    </row>
    <row r="13" spans="1:31" s="32" customFormat="1" ht="14.4" thickBot="1">
      <c r="A13" s="481"/>
      <c r="B13" s="482"/>
      <c r="C13" s="483"/>
      <c r="D13" s="484"/>
      <c r="E13" s="485"/>
      <c r="F13" s="486"/>
      <c r="G13" s="487" t="s">
        <v>19</v>
      </c>
      <c r="H13" s="487" t="s">
        <v>20</v>
      </c>
      <c r="I13" s="487" t="s">
        <v>21</v>
      </c>
      <c r="J13" s="487" t="s">
        <v>22</v>
      </c>
      <c r="K13" s="487" t="s">
        <v>23</v>
      </c>
      <c r="L13" s="487" t="s">
        <v>24</v>
      </c>
      <c r="M13" s="487" t="s">
        <v>25</v>
      </c>
      <c r="N13" s="487" t="s">
        <v>26</v>
      </c>
      <c r="O13" s="487" t="s">
        <v>27</v>
      </c>
      <c r="P13" s="487" t="s">
        <v>28</v>
      </c>
      <c r="Q13" s="28" t="s">
        <v>186</v>
      </c>
      <c r="R13" s="29" t="s">
        <v>30</v>
      </c>
      <c r="S13" s="30" t="s">
        <v>31</v>
      </c>
      <c r="T13" s="31" t="s">
        <v>32</v>
      </c>
      <c r="V13" s="305"/>
      <c r="W13" s="305"/>
      <c r="X13" s="305"/>
      <c r="Y13" s="305"/>
      <c r="Z13" s="305"/>
      <c r="AA13" s="305"/>
      <c r="AB13" s="305"/>
      <c r="AE13" s="304"/>
    </row>
    <row r="14" spans="1:31" s="1" customFormat="1" ht="11.4">
      <c r="A14" s="33"/>
      <c r="B14" s="33"/>
      <c r="C14" s="33"/>
      <c r="D14" s="33"/>
      <c r="E14" s="33"/>
      <c r="F14" s="33"/>
      <c r="G14" s="33"/>
      <c r="H14" s="33"/>
      <c r="I14" s="33"/>
      <c r="J14" s="33"/>
      <c r="K14" s="33"/>
      <c r="L14" s="33"/>
      <c r="M14" s="33"/>
      <c r="N14" s="33"/>
      <c r="O14" s="35"/>
      <c r="P14" s="33"/>
      <c r="Q14" s="37" t="s">
        <v>147</v>
      </c>
      <c r="R14" s="33"/>
      <c r="S14" s="13"/>
      <c r="T14" s="33"/>
    </row>
    <row r="15" spans="1:31" s="1" customFormat="1" ht="12.6" thickBot="1">
      <c r="A15" s="83">
        <v>12</v>
      </c>
      <c r="B15" s="84">
        <f ca="1">Elec_Est!B893</f>
        <v>12</v>
      </c>
      <c r="C15" s="85"/>
      <c r="D15" s="86" t="s">
        <v>638</v>
      </c>
      <c r="E15" s="87"/>
      <c r="F15" s="87"/>
      <c r="G15" s="88"/>
      <c r="H15" s="88"/>
      <c r="I15" s="89"/>
      <c r="J15" s="88"/>
      <c r="K15" s="90" t="s">
        <v>148</v>
      </c>
      <c r="L15" s="91" t="s">
        <v>148</v>
      </c>
      <c r="M15" s="91"/>
      <c r="N15" s="91"/>
      <c r="O15" s="91"/>
      <c r="P15" s="91"/>
      <c r="Q15" s="92">
        <f ca="1">B15/A15</f>
        <v>1</v>
      </c>
      <c r="R15" s="93">
        <f ca="1">IF($B15=0,0,IF($S$1="R",ROUND(R22/$B15,2),R22/$B15))</f>
        <v>3.58</v>
      </c>
      <c r="S15" s="94"/>
      <c r="T15" s="93">
        <f ca="1">IF($B15=0,0,IF($S$1="R",ROUND(T22/$B15,2),T22/$B15))</f>
        <v>0.5</v>
      </c>
    </row>
    <row r="16" spans="1:31" s="1" customFormat="1" ht="13.8" thickTop="1">
      <c r="A16" s="38"/>
      <c r="B16" s="3"/>
      <c r="C16" s="3"/>
      <c r="D16" s="95" t="s">
        <v>149</v>
      </c>
      <c r="E16" s="3"/>
      <c r="F16" s="3"/>
      <c r="G16" s="3"/>
      <c r="H16" s="3"/>
      <c r="I16" s="3"/>
      <c r="J16" s="3"/>
      <c r="K16" s="3"/>
      <c r="L16" s="3"/>
      <c r="M16" s="3"/>
      <c r="N16" s="3"/>
      <c r="O16" s="96"/>
      <c r="P16" s="3"/>
      <c r="Q16" s="3"/>
      <c r="R16" s="3"/>
      <c r="S16" s="3"/>
      <c r="T16" s="3"/>
    </row>
    <row r="17" spans="1:28" s="783" customFormat="1" ht="11.4">
      <c r="A17" s="899">
        <f ca="1">$Q$15 *(18)</f>
        <v>18</v>
      </c>
      <c r="B17" s="783" t="s">
        <v>284</v>
      </c>
      <c r="D17" s="783" t="s">
        <v>621</v>
      </c>
      <c r="G17" s="784" t="s">
        <v>622</v>
      </c>
      <c r="H17" s="785">
        <v>700</v>
      </c>
      <c r="I17" s="783" t="s">
        <v>623</v>
      </c>
      <c r="J17" s="783" t="s">
        <v>624</v>
      </c>
      <c r="O17" s="786">
        <v>1</v>
      </c>
      <c r="P17" s="787">
        <v>42213</v>
      </c>
      <c r="Q17" s="788">
        <v>0.67</v>
      </c>
      <c r="R17" s="789">
        <f ca="1">$A17*Q17</f>
        <v>12.06</v>
      </c>
      <c r="S17" s="788">
        <f>0.845 *(0.13)</f>
        <v>0.10985</v>
      </c>
      <c r="T17" s="790">
        <f ca="1">$A17*S17*$T$1</f>
        <v>1.9773000000000001</v>
      </c>
    </row>
    <row r="18" spans="1:28" s="783" customFormat="1" ht="11.4">
      <c r="A18" s="900">
        <f ca="1">$Q$15 *(17)</f>
        <v>17</v>
      </c>
      <c r="B18" s="783" t="s">
        <v>284</v>
      </c>
      <c r="D18" s="783" t="s">
        <v>635</v>
      </c>
      <c r="G18" s="784" t="s">
        <v>636</v>
      </c>
      <c r="H18" s="785">
        <v>700</v>
      </c>
      <c r="I18" s="783" t="s">
        <v>623</v>
      </c>
      <c r="J18" s="783" t="s">
        <v>637</v>
      </c>
      <c r="O18" s="786">
        <v>1</v>
      </c>
      <c r="P18" s="787">
        <v>42213</v>
      </c>
      <c r="Q18" s="788">
        <v>1.41</v>
      </c>
      <c r="R18" s="789">
        <f ca="1">$A18*Q18</f>
        <v>23.97</v>
      </c>
      <c r="S18" s="788">
        <f>0.845 *(0.18)</f>
        <v>0.15209999999999999</v>
      </c>
      <c r="T18" s="790">
        <f ca="1">$A18*S18*$T$1</f>
        <v>2.5856999999999997</v>
      </c>
    </row>
    <row r="19" spans="1:28" s="783" customFormat="1" ht="11.4">
      <c r="A19" s="899">
        <f ca="1">$Q$15 *(12)</f>
        <v>12</v>
      </c>
      <c r="B19" s="783" t="s">
        <v>284</v>
      </c>
      <c r="D19" s="783" t="s">
        <v>676</v>
      </c>
      <c r="G19" s="784" t="s">
        <v>622</v>
      </c>
      <c r="H19" s="785">
        <v>700</v>
      </c>
      <c r="I19" s="783" t="s">
        <v>623</v>
      </c>
      <c r="J19" s="783" t="s">
        <v>624</v>
      </c>
      <c r="O19" s="786">
        <v>1</v>
      </c>
      <c r="P19" s="787">
        <v>42213</v>
      </c>
      <c r="Q19" s="788">
        <v>0.41</v>
      </c>
      <c r="R19" s="789">
        <f ca="1">$A19*Q19</f>
        <v>4.92</v>
      </c>
      <c r="S19" s="788">
        <f>0.845 *(0.13)</f>
        <v>0.10985</v>
      </c>
      <c r="T19" s="790">
        <f ca="1">$A19*S19*$T$1</f>
        <v>1.3182</v>
      </c>
    </row>
    <row r="20" spans="1:28" s="783" customFormat="1">
      <c r="A20" s="895">
        <f ca="1">$Q$15 *(1)</f>
        <v>1</v>
      </c>
      <c r="B20" s="783" t="s">
        <v>134</v>
      </c>
      <c r="D20" s="783" t="s">
        <v>755</v>
      </c>
      <c r="G20" s="784" t="s">
        <v>756</v>
      </c>
      <c r="H20" s="785">
        <v>700</v>
      </c>
      <c r="I20" s="783" t="s">
        <v>627</v>
      </c>
      <c r="J20" s="783" t="s">
        <v>757</v>
      </c>
      <c r="O20" s="786">
        <v>1</v>
      </c>
      <c r="P20" s="787">
        <v>38146</v>
      </c>
      <c r="Q20" s="788">
        <v>1.98</v>
      </c>
      <c r="R20" s="789">
        <f ca="1">$A20*Q20</f>
        <v>1.98</v>
      </c>
      <c r="S20" s="788">
        <f>0.845 *(0.13)</f>
        <v>0.10985</v>
      </c>
      <c r="T20" s="790">
        <f ca="1">$A20*S20*$T$1</f>
        <v>0.10985</v>
      </c>
    </row>
    <row r="21" spans="1:28" s="1" customFormat="1">
      <c r="A21" s="4"/>
      <c r="B21" s="3"/>
      <c r="C21" s="4" t="s">
        <v>150</v>
      </c>
      <c r="D21" s="3"/>
      <c r="E21" s="4"/>
      <c r="F21" s="2"/>
      <c r="G21" s="4"/>
      <c r="H21" s="4"/>
      <c r="I21" s="5"/>
      <c r="J21" s="4"/>
      <c r="K21" s="4"/>
      <c r="L21" s="4"/>
      <c r="M21" s="4"/>
      <c r="N21" s="4"/>
      <c r="O21" s="4"/>
      <c r="P21" s="4"/>
      <c r="Q21" s="5"/>
      <c r="R21" s="97">
        <f t="shared" ref="R21" si="0">$A21*Q21</f>
        <v>0</v>
      </c>
      <c r="S21" s="5"/>
      <c r="T21" s="98">
        <f t="shared" ref="T21" si="1">$A21*S21*$T$1</f>
        <v>0</v>
      </c>
    </row>
    <row r="22" spans="1:28" s="1" customFormat="1" ht="12.6" thickBot="1">
      <c r="A22" s="39" t="s">
        <v>137</v>
      </c>
      <c r="B22" s="40">
        <f ca="1">(R22+T22)-SUM(R16:R21,T16:T21)</f>
        <v>0</v>
      </c>
      <c r="C22" s="41"/>
      <c r="D22" s="99" t="s">
        <v>151</v>
      </c>
      <c r="E22" s="459">
        <f ca="1">IF($B15=0,0,ROUND(ROUND(($R22*$S$2+($T22*$T$2))/$B15, 2)*$C$2,2))</f>
        <v>17.97</v>
      </c>
      <c r="F22" s="460">
        <f ca="1">ROUND($B15*$E22,2)</f>
        <v>215.64</v>
      </c>
      <c r="G22" s="41"/>
      <c r="H22" s="41"/>
      <c r="I22" s="42"/>
      <c r="J22" s="41"/>
      <c r="K22" s="100" t="s">
        <v>136</v>
      </c>
      <c r="L22" s="101" t="s">
        <v>136</v>
      </c>
      <c r="M22" s="101"/>
      <c r="N22" s="101"/>
      <c r="O22" s="101"/>
      <c r="P22" s="101"/>
      <c r="Q22" s="102"/>
      <c r="R22" s="103">
        <f ca="1">SUM(R16:R21)</f>
        <v>42.93</v>
      </c>
      <c r="S22" s="104"/>
      <c r="T22" s="103">
        <f ca="1">SUM(T16:T21)</f>
        <v>5.9910499999999995</v>
      </c>
      <c r="U22" s="420"/>
      <c r="V22" s="420"/>
      <c r="W22" s="420"/>
      <c r="X22" s="420"/>
      <c r="Y22" s="420"/>
      <c r="Z22" s="420"/>
      <c r="AA22" s="420"/>
      <c r="AB22" s="420"/>
    </row>
    <row r="23" spans="1:28" s="618" customFormat="1" ht="12" thickTop="1">
      <c r="A23" s="616"/>
      <c r="B23" s="616"/>
      <c r="C23" s="616"/>
      <c r="D23" s="616"/>
      <c r="E23" s="616"/>
      <c r="F23" s="616"/>
      <c r="G23" s="616"/>
      <c r="H23" s="616"/>
      <c r="I23" s="616"/>
      <c r="J23" s="616"/>
      <c r="K23" s="616"/>
      <c r="L23" s="616"/>
      <c r="M23" s="616"/>
      <c r="N23" s="616"/>
      <c r="O23" s="617"/>
      <c r="P23" s="616"/>
      <c r="Q23" s="37" t="s">
        <v>147</v>
      </c>
      <c r="R23" s="616"/>
      <c r="S23" s="13"/>
      <c r="T23" s="616"/>
    </row>
    <row r="24" spans="1:28" s="618" customFormat="1" ht="12" customHeight="1" thickBot="1">
      <c r="A24" s="841">
        <v>14</v>
      </c>
      <c r="B24" s="84">
        <f ca="1">Elec_Est!B894</f>
        <v>20</v>
      </c>
      <c r="C24" s="90"/>
      <c r="D24" s="86" t="s">
        <v>680</v>
      </c>
      <c r="E24" s="87"/>
      <c r="F24" s="87"/>
      <c r="G24" s="88"/>
      <c r="H24" s="88"/>
      <c r="I24" s="89"/>
      <c r="J24" s="88"/>
      <c r="K24" s="90" t="s">
        <v>148</v>
      </c>
      <c r="L24" s="91" t="s">
        <v>148</v>
      </c>
      <c r="M24" s="91"/>
      <c r="N24" s="91"/>
      <c r="O24" s="91"/>
      <c r="P24" s="91"/>
      <c r="Q24" s="842">
        <f ca="1">B24/A24</f>
        <v>1.4285714285714286</v>
      </c>
      <c r="R24" s="843">
        <f ca="1">IF($B24=0,0,IF($S$1="R",ROUND(R28/$B24,2),R28/$B24))</f>
        <v>6.29</v>
      </c>
      <c r="S24" s="844"/>
      <c r="T24" s="843">
        <f ca="1">IF($B24=0,0,IF($S$1="R",ROUND(T28/$B24,2),T28/$B24))</f>
        <v>0.18</v>
      </c>
    </row>
    <row r="25" spans="1:28" s="618" customFormat="1" ht="13.8" thickTop="1">
      <c r="A25" s="629"/>
      <c r="B25" s="3"/>
      <c r="C25" s="3"/>
      <c r="D25" s="95" t="s">
        <v>149</v>
      </c>
      <c r="E25" s="3"/>
      <c r="F25" s="3"/>
      <c r="G25" s="3"/>
      <c r="H25" s="3"/>
      <c r="I25" s="3"/>
      <c r="J25" s="3"/>
      <c r="K25" s="3"/>
      <c r="L25" s="3"/>
      <c r="M25" s="3"/>
      <c r="N25" s="3"/>
      <c r="O25" s="96"/>
      <c r="P25" s="3"/>
      <c r="Q25" s="3"/>
      <c r="R25" s="3"/>
      <c r="S25" s="3"/>
      <c r="T25" s="3"/>
    </row>
    <row r="26" spans="1:28" s="783" customFormat="1">
      <c r="A26" s="867">
        <f ca="1">$Q$24 *(((95+32+8+12+9+2+6+30+4+6+20+1+22)*0.359)+58)</f>
        <v>209.53285714285715</v>
      </c>
      <c r="B26" s="783" t="s">
        <v>284</v>
      </c>
      <c r="D26" s="783" t="s">
        <v>685</v>
      </c>
      <c r="G26" s="784" t="s">
        <v>681</v>
      </c>
      <c r="H26" s="785">
        <v>616</v>
      </c>
      <c r="I26" s="783" t="s">
        <v>682</v>
      </c>
      <c r="J26" s="783" t="s">
        <v>683</v>
      </c>
      <c r="K26" s="783" t="s">
        <v>684</v>
      </c>
      <c r="O26" s="786">
        <v>2</v>
      </c>
      <c r="P26" s="787"/>
      <c r="Q26" s="788">
        <v>0.6</v>
      </c>
      <c r="R26" s="789">
        <f ca="1">$A26*Q26</f>
        <v>125.71971428571429</v>
      </c>
      <c r="S26" s="788">
        <f>0.845 *(0.02)</f>
        <v>1.6899999999999998E-2</v>
      </c>
      <c r="T26" s="790">
        <f ca="1">$A26*S26*$T$1</f>
        <v>3.5411052857142855</v>
      </c>
    </row>
    <row r="27" spans="1:28" s="618" customFormat="1">
      <c r="A27" s="645"/>
      <c r="B27" s="3"/>
      <c r="C27" s="645" t="s">
        <v>150</v>
      </c>
      <c r="D27" s="3"/>
      <c r="E27" s="645"/>
      <c r="F27" s="2"/>
      <c r="G27" s="645"/>
      <c r="H27" s="645"/>
      <c r="I27" s="646"/>
      <c r="J27" s="645"/>
      <c r="K27" s="645"/>
      <c r="L27" s="645"/>
      <c r="M27" s="645"/>
      <c r="N27" s="645"/>
      <c r="O27" s="645"/>
      <c r="P27" s="645"/>
      <c r="Q27" s="646"/>
      <c r="R27" s="831">
        <f t="shared" ref="R27" si="2">$A27*Q27</f>
        <v>0</v>
      </c>
      <c r="S27" s="646"/>
      <c r="T27" s="648">
        <f t="shared" ref="T27" si="3">$A27*S27*$T$1</f>
        <v>0</v>
      </c>
    </row>
    <row r="28" spans="1:28" s="618" customFormat="1" ht="12.6" thickBot="1">
      <c r="A28" s="649" t="s">
        <v>137</v>
      </c>
      <c r="B28" s="650">
        <f>(R27+T27)</f>
        <v>0</v>
      </c>
      <c r="C28" s="651"/>
      <c r="D28" s="845" t="s">
        <v>151</v>
      </c>
      <c r="E28" s="459">
        <f ca="1">IF($B24=0,0,ROUND(ROUND(($R28*$S$2+($T28*$T$2))/$B24, 2)*$C$2,2))</f>
        <v>11.39</v>
      </c>
      <c r="F28" s="460">
        <f ca="1">ROUND($B24*$E28,2)</f>
        <v>227.8</v>
      </c>
      <c r="G28" s="651"/>
      <c r="H28" s="651"/>
      <c r="I28" s="653"/>
      <c r="J28" s="651"/>
      <c r="K28" s="102" t="s">
        <v>136</v>
      </c>
      <c r="L28" s="654" t="s">
        <v>136</v>
      </c>
      <c r="M28" s="654"/>
      <c r="N28" s="654"/>
      <c r="O28" s="654"/>
      <c r="P28" s="654"/>
      <c r="Q28" s="102"/>
      <c r="R28" s="103">
        <f ca="1">SUM(R25:R27)</f>
        <v>125.71971428571429</v>
      </c>
      <c r="S28" s="104"/>
      <c r="T28" s="103">
        <f ca="1">SUM(T25:T27)</f>
        <v>3.5411052857142855</v>
      </c>
      <c r="U28" s="621"/>
      <c r="V28" s="621"/>
      <c r="W28" s="621"/>
      <c r="X28" s="621"/>
      <c r="Y28" s="621"/>
      <c r="Z28" s="621"/>
      <c r="AA28" s="621"/>
      <c r="AB28" s="621"/>
    </row>
    <row r="29" spans="1:28" s="618" customFormat="1" ht="12" thickTop="1">
      <c r="A29" s="616"/>
      <c r="B29" s="616"/>
      <c r="C29" s="616"/>
      <c r="D29" s="616"/>
      <c r="E29" s="616"/>
      <c r="F29" s="616"/>
      <c r="G29" s="616"/>
      <c r="H29" s="616"/>
      <c r="I29" s="616"/>
      <c r="J29" s="616"/>
      <c r="K29" s="616"/>
      <c r="L29" s="616"/>
      <c r="M29" s="616"/>
      <c r="N29" s="616"/>
      <c r="O29" s="617"/>
      <c r="P29" s="616"/>
      <c r="Q29" s="37" t="s">
        <v>147</v>
      </c>
      <c r="R29" s="616"/>
      <c r="S29" s="13"/>
      <c r="T29" s="616"/>
    </row>
    <row r="30" spans="1:28" s="618" customFormat="1" ht="12" customHeight="1" thickBot="1">
      <c r="A30" s="841">
        <v>29</v>
      </c>
      <c r="B30" s="84">
        <f ca="1">Elec_Est!B895</f>
        <v>35</v>
      </c>
      <c r="C30" s="90"/>
      <c r="D30" s="86" t="s">
        <v>751</v>
      </c>
      <c r="E30" s="87"/>
      <c r="F30" s="87"/>
      <c r="G30" s="88"/>
      <c r="H30" s="88"/>
      <c r="I30" s="89"/>
      <c r="J30" s="88"/>
      <c r="K30" s="90" t="s">
        <v>148</v>
      </c>
      <c r="L30" s="91" t="s">
        <v>148</v>
      </c>
      <c r="M30" s="91"/>
      <c r="N30" s="91"/>
      <c r="O30" s="91"/>
      <c r="P30" s="91"/>
      <c r="Q30" s="842">
        <f ca="1">B30/A30</f>
        <v>1.2068965517241379</v>
      </c>
      <c r="R30" s="843">
        <f ca="1">IF($B30=0,0,IF($S$1="R",ROUND(R36/$B30,2),R36/$B30))</f>
        <v>4.26</v>
      </c>
      <c r="S30" s="844"/>
      <c r="T30" s="843">
        <f ca="1">IF($B30=0,0,IF($S$1="R",ROUND(T36/$B30,2),T36/$B30))</f>
        <v>0.48</v>
      </c>
    </row>
    <row r="31" spans="1:28" s="618" customFormat="1" ht="13.8" thickTop="1">
      <c r="A31" s="629"/>
      <c r="B31" s="3"/>
      <c r="C31" s="3"/>
      <c r="D31" s="95" t="s">
        <v>149</v>
      </c>
      <c r="E31" s="3"/>
      <c r="F31" s="3"/>
      <c r="G31" s="3"/>
      <c r="H31" s="3"/>
      <c r="I31" s="3"/>
      <c r="J31" s="3"/>
      <c r="K31" s="3"/>
      <c r="L31" s="3"/>
      <c r="M31" s="3"/>
      <c r="N31" s="3"/>
      <c r="O31" s="96"/>
      <c r="P31" s="3"/>
      <c r="Q31" s="3"/>
      <c r="R31" s="3"/>
      <c r="S31" s="3"/>
      <c r="T31" s="3"/>
    </row>
    <row r="32" spans="1:28" s="783" customFormat="1" ht="11.4">
      <c r="A32" s="899">
        <f ca="1">$Q$30 *(50)</f>
        <v>60.344827586206897</v>
      </c>
      <c r="B32" s="783" t="s">
        <v>284</v>
      </c>
      <c r="D32" s="783" t="s">
        <v>621</v>
      </c>
      <c r="G32" s="784" t="s">
        <v>622</v>
      </c>
      <c r="H32" s="785">
        <v>700</v>
      </c>
      <c r="I32" s="783" t="s">
        <v>623</v>
      </c>
      <c r="J32" s="783" t="s">
        <v>624</v>
      </c>
      <c r="O32" s="786">
        <v>1</v>
      </c>
      <c r="P32" s="787">
        <v>42213</v>
      </c>
      <c r="Q32" s="788">
        <v>0.67</v>
      </c>
      <c r="R32" s="789">
        <f ca="1">$A32*Q32</f>
        <v>40.431034482758626</v>
      </c>
      <c r="S32" s="788">
        <f>0.845 *(0.13)</f>
        <v>0.10985</v>
      </c>
      <c r="T32" s="790">
        <f ca="1">$A32*S32*$T$1</f>
        <v>6.6288793103448276</v>
      </c>
    </row>
    <row r="33" spans="1:28" s="783" customFormat="1" ht="11.4">
      <c r="A33" s="899">
        <f ca="1">$Q$30 *(29)</f>
        <v>35</v>
      </c>
      <c r="B33" s="783" t="s">
        <v>284</v>
      </c>
      <c r="D33" s="783" t="s">
        <v>676</v>
      </c>
      <c r="G33" s="784" t="s">
        <v>622</v>
      </c>
      <c r="H33" s="785">
        <v>700</v>
      </c>
      <c r="I33" s="783" t="s">
        <v>623</v>
      </c>
      <c r="J33" s="783" t="s">
        <v>624</v>
      </c>
      <c r="O33" s="786">
        <v>1</v>
      </c>
      <c r="P33" s="787">
        <v>42213</v>
      </c>
      <c r="Q33" s="788">
        <v>0.41</v>
      </c>
      <c r="R33" s="789">
        <f ca="1">$A33*Q33</f>
        <v>14.35</v>
      </c>
      <c r="S33" s="788">
        <f>0.845 *(0.13)</f>
        <v>0.10985</v>
      </c>
      <c r="T33" s="790">
        <f ca="1">$A33*S33*$T$1</f>
        <v>3.8447500000000003</v>
      </c>
    </row>
    <row r="34" spans="1:28" s="783" customFormat="1" ht="11.4">
      <c r="A34" s="899">
        <f ca="1">$Q$30 *((50*4+29*6)*1.1)</f>
        <v>496.51724137931035</v>
      </c>
      <c r="B34" s="783" t="s">
        <v>284</v>
      </c>
      <c r="D34" s="783" t="s">
        <v>752</v>
      </c>
      <c r="G34" s="784" t="s">
        <v>753</v>
      </c>
      <c r="H34" s="785">
        <v>615</v>
      </c>
      <c r="I34" s="783" t="s">
        <v>682</v>
      </c>
      <c r="K34" s="783" t="s">
        <v>754</v>
      </c>
      <c r="O34" s="786">
        <v>2</v>
      </c>
      <c r="P34" s="787">
        <v>38988</v>
      </c>
      <c r="Q34" s="788">
        <v>0.19</v>
      </c>
      <c r="R34" s="789">
        <f t="shared" ref="R34" ca="1" si="4">$A34*Q34</f>
        <v>94.338275862068969</v>
      </c>
      <c r="S34" s="788">
        <f>0.845 *(0.015)</f>
        <v>1.2674999999999999E-2</v>
      </c>
      <c r="T34" s="790">
        <f t="shared" ref="T34" ca="1" si="5">$A34*S34*$T$1</f>
        <v>6.2933560344827582</v>
      </c>
    </row>
    <row r="35" spans="1:28" s="618" customFormat="1">
      <c r="A35" s="645"/>
      <c r="B35" s="3"/>
      <c r="C35" s="645" t="s">
        <v>150</v>
      </c>
      <c r="D35" s="3"/>
      <c r="E35" s="645"/>
      <c r="F35" s="2"/>
      <c r="G35" s="645"/>
      <c r="H35" s="645"/>
      <c r="I35" s="646"/>
      <c r="J35" s="645"/>
      <c r="K35" s="645"/>
      <c r="L35" s="645"/>
      <c r="M35" s="645"/>
      <c r="N35" s="645"/>
      <c r="O35" s="645"/>
      <c r="P35" s="645"/>
      <c r="Q35" s="646"/>
      <c r="R35" s="831">
        <f t="shared" ref="R35" si="6">$A35*Q35</f>
        <v>0</v>
      </c>
      <c r="S35" s="646"/>
      <c r="T35" s="648">
        <f t="shared" ref="T35" si="7">$A35*S35*$T$1</f>
        <v>0</v>
      </c>
    </row>
    <row r="36" spans="1:28" s="618" customFormat="1" ht="12.6" thickBot="1">
      <c r="A36" s="649" t="s">
        <v>137</v>
      </c>
      <c r="B36" s="650">
        <f>(R35+T35)</f>
        <v>0</v>
      </c>
      <c r="C36" s="651"/>
      <c r="D36" s="845" t="s">
        <v>151</v>
      </c>
      <c r="E36" s="459">
        <f ca="1">IF($B30=0,0,ROUND(ROUND(($R36*$S$2+($T36*$T$2))/$B30, 2)*$C$2,2))</f>
        <v>18.07</v>
      </c>
      <c r="F36" s="460">
        <f ca="1">ROUND($B30*$E36,2)</f>
        <v>632.45000000000005</v>
      </c>
      <c r="G36" s="651"/>
      <c r="H36" s="651"/>
      <c r="I36" s="653"/>
      <c r="J36" s="651"/>
      <c r="K36" s="102" t="s">
        <v>136</v>
      </c>
      <c r="L36" s="654" t="s">
        <v>136</v>
      </c>
      <c r="M36" s="654"/>
      <c r="N36" s="654"/>
      <c r="O36" s="654"/>
      <c r="P36" s="654"/>
      <c r="Q36" s="102"/>
      <c r="R36" s="103">
        <f ca="1">SUM(R31:R35)</f>
        <v>149.1193103448276</v>
      </c>
      <c r="S36" s="104"/>
      <c r="T36" s="103">
        <f ca="1">SUM(T31:T35)</f>
        <v>16.766985344827585</v>
      </c>
      <c r="U36" s="621"/>
      <c r="V36" s="621"/>
      <c r="W36" s="621"/>
      <c r="X36" s="621"/>
      <c r="Y36" s="621"/>
      <c r="Z36" s="621"/>
      <c r="AA36" s="621"/>
      <c r="AB36" s="621"/>
    </row>
    <row r="37" spans="1:28" s="618" customFormat="1" ht="12" thickTop="1">
      <c r="A37" s="616"/>
      <c r="B37" s="616"/>
      <c r="C37" s="616"/>
      <c r="D37" s="616"/>
      <c r="E37" s="616"/>
      <c r="F37" s="616"/>
      <c r="G37" s="616"/>
      <c r="H37" s="616"/>
      <c r="I37" s="616"/>
      <c r="J37" s="616"/>
      <c r="K37" s="616"/>
      <c r="L37" s="616"/>
      <c r="M37" s="616"/>
      <c r="N37" s="616"/>
      <c r="O37" s="617"/>
      <c r="P37" s="616"/>
      <c r="Q37" s="37" t="s">
        <v>147</v>
      </c>
      <c r="R37" s="616"/>
      <c r="S37" s="13"/>
      <c r="T37" s="616"/>
    </row>
    <row r="38" spans="1:28" s="618" customFormat="1" ht="12" customHeight="1" thickBot="1">
      <c r="A38" s="841">
        <v>18</v>
      </c>
      <c r="B38" s="84">
        <f ca="1">Elec_Est!B896</f>
        <v>21</v>
      </c>
      <c r="C38" s="90"/>
      <c r="D38" s="86" t="s">
        <v>758</v>
      </c>
      <c r="E38" s="87"/>
      <c r="F38" s="87"/>
      <c r="G38" s="88"/>
      <c r="H38" s="88"/>
      <c r="I38" s="89"/>
      <c r="J38" s="88"/>
      <c r="K38" s="90" t="s">
        <v>148</v>
      </c>
      <c r="L38" s="91" t="s">
        <v>148</v>
      </c>
      <c r="M38" s="91"/>
      <c r="N38" s="91"/>
      <c r="O38" s="91"/>
      <c r="P38" s="91"/>
      <c r="Q38" s="842">
        <f ca="1">B38/A38</f>
        <v>1.1666666666666667</v>
      </c>
      <c r="R38" s="843">
        <f ca="1">IF($B38=0,0,IF($S$1="R",ROUND(R44/$B38,2),R44/$B38))</f>
        <v>9.52</v>
      </c>
      <c r="S38" s="844"/>
      <c r="T38" s="843">
        <f ca="1">IF($B38=0,0,IF($S$1="R",ROUND(T44/$B38,2),T44/$B38))</f>
        <v>0.88</v>
      </c>
    </row>
    <row r="39" spans="1:28" s="618" customFormat="1" ht="13.8" thickTop="1">
      <c r="A39" s="629"/>
      <c r="B39" s="3"/>
      <c r="C39" s="3"/>
      <c r="D39" s="95" t="s">
        <v>149</v>
      </c>
      <c r="E39" s="3"/>
      <c r="F39" s="3"/>
      <c r="G39" s="3"/>
      <c r="H39" s="3"/>
      <c r="I39" s="3"/>
      <c r="J39" s="3"/>
      <c r="K39" s="3"/>
      <c r="L39" s="3"/>
      <c r="M39" s="3"/>
      <c r="N39" s="3"/>
      <c r="O39" s="96"/>
      <c r="P39" s="3"/>
      <c r="Q39" s="3"/>
      <c r="R39" s="3"/>
      <c r="S39" s="3"/>
      <c r="T39" s="3"/>
    </row>
    <row r="40" spans="1:28" s="783" customFormat="1" ht="11.4">
      <c r="A40" s="899">
        <f ca="1">$Q$38 *(96)</f>
        <v>112</v>
      </c>
      <c r="B40" s="783" t="s">
        <v>284</v>
      </c>
      <c r="D40" s="783" t="s">
        <v>621</v>
      </c>
      <c r="G40" s="784" t="s">
        <v>622</v>
      </c>
      <c r="H40" s="785">
        <v>700</v>
      </c>
      <c r="I40" s="783" t="s">
        <v>623</v>
      </c>
      <c r="J40" s="783" t="s">
        <v>624</v>
      </c>
      <c r="O40" s="786">
        <v>1</v>
      </c>
      <c r="P40" s="787">
        <v>42213</v>
      </c>
      <c r="Q40" s="788">
        <v>0.67</v>
      </c>
      <c r="R40" s="789">
        <f ca="1">$A40*Q40</f>
        <v>75.040000000000006</v>
      </c>
      <c r="S40" s="788">
        <f>0.845 *(0.13)</f>
        <v>0.10985</v>
      </c>
      <c r="T40" s="790">
        <f ca="1">$A40*S40*$T$1</f>
        <v>12.3032</v>
      </c>
    </row>
    <row r="41" spans="1:28" s="783" customFormat="1" ht="11.4">
      <c r="A41" s="899">
        <f ca="1">$Q$38 *(259)</f>
        <v>302.16666666666669</v>
      </c>
      <c r="B41" s="783" t="s">
        <v>284</v>
      </c>
      <c r="D41" s="783" t="s">
        <v>759</v>
      </c>
      <c r="G41" s="784" t="s">
        <v>760</v>
      </c>
      <c r="H41" s="785">
        <v>615</v>
      </c>
      <c r="I41" s="783" t="s">
        <v>682</v>
      </c>
      <c r="K41" s="783" t="s">
        <v>761</v>
      </c>
      <c r="O41" s="786">
        <v>2</v>
      </c>
      <c r="P41" s="787">
        <v>38988</v>
      </c>
      <c r="Q41" s="788">
        <v>0.31</v>
      </c>
      <c r="R41" s="789">
        <f ca="1">$A41*Q41</f>
        <v>93.671666666666667</v>
      </c>
      <c r="S41" s="788">
        <f>0.845 *(0.02)</f>
        <v>1.6899999999999998E-2</v>
      </c>
      <c r="T41" s="790">
        <f ca="1">$A41*S41*$T$1</f>
        <v>5.1066166666666666</v>
      </c>
    </row>
    <row r="42" spans="1:28" s="783" customFormat="1" ht="11.4">
      <c r="A42" s="899">
        <f ca="1">$Q$38 *(57)</f>
        <v>66.5</v>
      </c>
      <c r="B42" s="783" t="s">
        <v>284</v>
      </c>
      <c r="D42" s="783" t="s">
        <v>762</v>
      </c>
      <c r="G42" s="784" t="s">
        <v>763</v>
      </c>
      <c r="H42" s="785">
        <v>615</v>
      </c>
      <c r="I42" s="783" t="s">
        <v>682</v>
      </c>
      <c r="K42" s="783" t="s">
        <v>764</v>
      </c>
      <c r="O42" s="786">
        <v>2</v>
      </c>
      <c r="P42" s="787">
        <v>38988</v>
      </c>
      <c r="Q42" s="788">
        <v>0.47</v>
      </c>
      <c r="R42" s="789">
        <f ca="1">$A42*Q42</f>
        <v>31.254999999999999</v>
      </c>
      <c r="S42" s="788">
        <f>0.845 *(0.02)</f>
        <v>1.6899999999999998E-2</v>
      </c>
      <c r="T42" s="790">
        <f ca="1">$A42*S42*$T$1</f>
        <v>1.1238499999999998</v>
      </c>
    </row>
    <row r="43" spans="1:28" s="618" customFormat="1">
      <c r="A43" s="645"/>
      <c r="B43" s="3"/>
      <c r="C43" s="645" t="s">
        <v>150</v>
      </c>
      <c r="D43" s="3"/>
      <c r="E43" s="645"/>
      <c r="F43" s="2"/>
      <c r="G43" s="645"/>
      <c r="H43" s="645"/>
      <c r="I43" s="646"/>
      <c r="J43" s="645"/>
      <c r="K43" s="645"/>
      <c r="L43" s="645"/>
      <c r="M43" s="645"/>
      <c r="N43" s="645"/>
      <c r="O43" s="645"/>
      <c r="P43" s="645"/>
      <c r="Q43" s="646"/>
      <c r="R43" s="831">
        <f t="shared" ref="R43" si="8">$A43*Q43</f>
        <v>0</v>
      </c>
      <c r="S43" s="646"/>
      <c r="T43" s="648">
        <f t="shared" ref="T43" si="9">$A43*S43*$T$1</f>
        <v>0</v>
      </c>
    </row>
    <row r="44" spans="1:28" s="618" customFormat="1" ht="12.6" thickBot="1">
      <c r="A44" s="649" t="s">
        <v>137</v>
      </c>
      <c r="B44" s="650">
        <f>(R43+T43)</f>
        <v>0</v>
      </c>
      <c r="C44" s="651"/>
      <c r="D44" s="845" t="s">
        <v>151</v>
      </c>
      <c r="E44" s="459">
        <f ca="1">IF($B38=0,0,ROUND(ROUND(($R44*$S$2+($T44*$T$2))/$B38, 2)*$C$2,2))</f>
        <v>34.97</v>
      </c>
      <c r="F44" s="460">
        <f ca="1">ROUND($B38*$E44,2)</f>
        <v>734.37</v>
      </c>
      <c r="G44" s="651"/>
      <c r="H44" s="651"/>
      <c r="I44" s="653"/>
      <c r="J44" s="651"/>
      <c r="K44" s="102" t="s">
        <v>136</v>
      </c>
      <c r="L44" s="654" t="s">
        <v>136</v>
      </c>
      <c r="M44" s="654"/>
      <c r="N44" s="654"/>
      <c r="O44" s="654"/>
      <c r="P44" s="654"/>
      <c r="Q44" s="102"/>
      <c r="R44" s="103">
        <f ca="1">SUM(R39:R43)</f>
        <v>199.96666666666667</v>
      </c>
      <c r="S44" s="104"/>
      <c r="T44" s="103">
        <f ca="1">SUM(T39:T43)</f>
        <v>18.533666666666669</v>
      </c>
      <c r="U44" s="621"/>
      <c r="V44" s="621"/>
      <c r="W44" s="621"/>
      <c r="X44" s="621"/>
      <c r="Y44" s="621"/>
      <c r="Z44" s="621"/>
      <c r="AA44" s="621"/>
      <c r="AB44" s="621"/>
    </row>
    <row r="45" spans="1:28" ht="13.8" thickTop="1">
      <c r="A45" s="43" t="s">
        <v>139</v>
      </c>
      <c r="B45"/>
      <c r="C45"/>
      <c r="D45"/>
      <c r="E45"/>
      <c r="F45"/>
      <c r="G45"/>
      <c r="H45"/>
      <c r="I45"/>
      <c r="J45"/>
      <c r="K45"/>
      <c r="L45"/>
      <c r="M45"/>
      <c r="N45"/>
      <c r="O45" s="105"/>
      <c r="P45"/>
      <c r="Q45"/>
      <c r="R45"/>
      <c r="S45"/>
      <c r="T45"/>
    </row>
    <row r="46" spans="1:28" ht="14.4" thickBot="1">
      <c r="A46" s="43" t="s">
        <v>139</v>
      </c>
      <c r="B46" s="1"/>
      <c r="C46" s="33"/>
      <c r="D46" s="106" t="s">
        <v>152</v>
      </c>
      <c r="E46" s="1"/>
      <c r="F46" s="3"/>
      <c r="G46" s="3"/>
      <c r="H46" s="3"/>
      <c r="I46" s="3"/>
      <c r="J46" s="3"/>
      <c r="K46" s="3"/>
      <c r="L46" s="3"/>
      <c r="M46" s="3"/>
      <c r="N46" s="3"/>
      <c r="O46" s="96"/>
      <c r="P46" s="3"/>
      <c r="Q46" s="3"/>
      <c r="R46" s="107" t="s">
        <v>34</v>
      </c>
      <c r="S46" s="108"/>
      <c r="T46" s="107" t="s">
        <v>35</v>
      </c>
    </row>
    <row r="47" spans="1:28" ht="13.8" thickTop="1">
      <c r="A47" s="43" t="s">
        <v>139</v>
      </c>
      <c r="B47" s="3"/>
      <c r="C47" s="33"/>
      <c r="D47" s="1"/>
      <c r="E47" s="1"/>
      <c r="F47" s="33"/>
      <c r="G47" s="1"/>
      <c r="H47" s="1"/>
      <c r="I47" s="1"/>
      <c r="J47" s="1"/>
      <c r="K47" s="3"/>
      <c r="L47" s="1"/>
      <c r="M47" s="1"/>
      <c r="N47" s="1"/>
      <c r="O47" s="109"/>
      <c r="P47" s="1"/>
      <c r="Q47" s="1"/>
      <c r="R47" s="1"/>
      <c r="S47" s="1"/>
      <c r="T47" s="1"/>
    </row>
    <row r="48" spans="1:28" ht="13.8" thickBot="1">
      <c r="A48" s="43" t="s">
        <v>139</v>
      </c>
      <c r="B48" s="3"/>
      <c r="C48" s="33"/>
      <c r="D48" s="45" t="s">
        <v>153</v>
      </c>
      <c r="E48" s="1"/>
      <c r="F48" s="1"/>
      <c r="G48" s="33"/>
      <c r="H48" s="33"/>
      <c r="I48" s="33"/>
      <c r="J48" s="33"/>
      <c r="K48" s="3"/>
      <c r="L48" s="110" t="s">
        <v>154</v>
      </c>
      <c r="M48" s="110"/>
      <c r="N48" s="110"/>
      <c r="O48" s="111"/>
      <c r="P48" s="110"/>
      <c r="Q48" s="33"/>
      <c r="R48" s="112">
        <f ca="1">SUMIF($L$12:$L46,"",R$12:R46)</f>
        <v>517.73569129720863</v>
      </c>
      <c r="S48" s="113"/>
      <c r="T48" s="112">
        <f ca="1">SUMIF($L$12:$L46,"",T$12:T46)</f>
        <v>44.832807297208539</v>
      </c>
    </row>
    <row r="49" spans="1:28" ht="13.8" thickBot="1">
      <c r="A49" s="43" t="s">
        <v>139</v>
      </c>
      <c r="B49" s="3"/>
      <c r="C49" s="33"/>
      <c r="D49" s="45" t="s">
        <v>155</v>
      </c>
      <c r="E49" s="1"/>
      <c r="F49" s="3"/>
      <c r="G49" s="3"/>
      <c r="H49" s="3"/>
      <c r="I49" s="3"/>
      <c r="J49" s="3"/>
      <c r="K49" s="3"/>
      <c r="L49" s="110" t="s">
        <v>156</v>
      </c>
      <c r="M49" s="110"/>
      <c r="N49" s="110"/>
      <c r="O49" s="111"/>
      <c r="P49" s="110"/>
      <c r="Q49" s="3"/>
      <c r="R49" s="114">
        <f ca="1">SUMIF($L$12:$L46,"ITEM",R$12:R46)</f>
        <v>517.73569129720852</v>
      </c>
      <c r="S49" s="115"/>
      <c r="T49" s="114">
        <f ca="1">SUMIF($L$12:$L46,"ITEM",T$12:T46)</f>
        <v>44.832807297208539</v>
      </c>
    </row>
    <row r="50" spans="1:28" ht="13.8" thickBot="1">
      <c r="A50" s="46" t="s">
        <v>138</v>
      </c>
      <c r="B50" s="9"/>
      <c r="C50" s="44"/>
      <c r="D50" s="9"/>
      <c r="E50" s="9"/>
      <c r="F50" s="9"/>
      <c r="G50" s="9"/>
      <c r="H50" s="9"/>
      <c r="I50" s="9"/>
      <c r="J50" s="9"/>
      <c r="K50" s="9"/>
      <c r="L50" s="9"/>
      <c r="M50" s="9"/>
      <c r="N50" s="9"/>
      <c r="O50" s="116"/>
      <c r="P50" s="9"/>
      <c r="Q50" s="9"/>
      <c r="R50" s="9"/>
      <c r="S50" s="9"/>
      <c r="T50" s="9"/>
      <c r="U50" s="65"/>
      <c r="V50" s="65"/>
      <c r="W50" s="65"/>
      <c r="X50" s="65"/>
      <c r="Y50" s="65"/>
      <c r="Z50" s="65"/>
      <c r="AA50" s="65"/>
      <c r="AB50" s="65"/>
    </row>
    <row r="51" spans="1:28" ht="13.8" thickTop="1">
      <c r="A51" s="47"/>
      <c r="B51" s="456" t="s">
        <v>71</v>
      </c>
      <c r="C51" s="6"/>
      <c r="D51" s="48"/>
      <c r="E51" s="49" t="s">
        <v>140</v>
      </c>
      <c r="F51" s="50"/>
      <c r="G51" s="50"/>
      <c r="H51" s="50"/>
      <c r="I51" s="50"/>
      <c r="J51" s="50"/>
      <c r="K51" s="50"/>
      <c r="L51" s="50"/>
      <c r="M51" s="50"/>
      <c r="N51" s="50"/>
      <c r="O51" s="51"/>
      <c r="P51" s="50"/>
      <c r="Q51" s="52"/>
      <c r="R51" s="53">
        <f ca="1">SUM(R52:R107)</f>
        <v>517.73569129720852</v>
      </c>
      <c r="S51" s="54"/>
      <c r="T51" s="53">
        <f ca="1">SUM(T52:T107)</f>
        <v>44.832807297208532</v>
      </c>
    </row>
    <row r="52" spans="1:28" hidden="1">
      <c r="A52" s="55"/>
      <c r="B52" s="462">
        <v>1</v>
      </c>
      <c r="C52" s="6" t="s">
        <v>73</v>
      </c>
      <c r="D52" s="36" t="s">
        <v>74</v>
      </c>
      <c r="F52" s="56">
        <v>501</v>
      </c>
      <c r="O52" s="57"/>
      <c r="P52" s="36">
        <v>1</v>
      </c>
      <c r="R52" s="58">
        <f t="shared" ref="R52:R83" si="10">SUMIF($H$12:$H$45,$F52,R$12:R$45)</f>
        <v>0</v>
      </c>
      <c r="S52" s="59"/>
      <c r="T52" s="58">
        <f t="shared" ref="T52:T83" si="11">SUMIF($H$12:$H$45,$F52,T$12:T$45)</f>
        <v>0</v>
      </c>
    </row>
    <row r="53" spans="1:28" hidden="1">
      <c r="A53" s="55"/>
      <c r="B53" s="462">
        <v>2</v>
      </c>
      <c r="C53" s="6" t="s">
        <v>73</v>
      </c>
      <c r="D53" s="36" t="s">
        <v>75</v>
      </c>
      <c r="F53" s="56">
        <v>505</v>
      </c>
      <c r="O53" s="57"/>
      <c r="P53" s="36">
        <v>1</v>
      </c>
      <c r="R53" s="58">
        <f t="shared" si="10"/>
        <v>0</v>
      </c>
      <c r="S53" s="59"/>
      <c r="T53" s="58">
        <f t="shared" si="11"/>
        <v>0</v>
      </c>
    </row>
    <row r="54" spans="1:28" hidden="1">
      <c r="A54" s="55"/>
      <c r="B54" s="462">
        <v>3</v>
      </c>
      <c r="C54" s="6" t="s">
        <v>73</v>
      </c>
      <c r="D54" s="36" t="s">
        <v>76</v>
      </c>
      <c r="F54" s="56">
        <v>510</v>
      </c>
      <c r="O54" s="57"/>
      <c r="P54" s="36">
        <v>2</v>
      </c>
      <c r="R54" s="58">
        <f t="shared" si="10"/>
        <v>0</v>
      </c>
      <c r="S54" s="59"/>
      <c r="T54" s="58">
        <f t="shared" si="11"/>
        <v>0</v>
      </c>
    </row>
    <row r="55" spans="1:28" hidden="1">
      <c r="A55" s="55"/>
      <c r="B55" s="462">
        <v>4</v>
      </c>
      <c r="C55" s="6" t="s">
        <v>73</v>
      </c>
      <c r="D55" s="36" t="s">
        <v>77</v>
      </c>
      <c r="F55" s="56">
        <v>511</v>
      </c>
      <c r="O55" s="57"/>
      <c r="P55" s="36">
        <v>2</v>
      </c>
      <c r="R55" s="58">
        <f t="shared" si="10"/>
        <v>0</v>
      </c>
      <c r="S55" s="59"/>
      <c r="T55" s="58">
        <f t="shared" si="11"/>
        <v>0</v>
      </c>
    </row>
    <row r="56" spans="1:28" hidden="1">
      <c r="A56" s="55"/>
      <c r="B56" s="462">
        <v>5</v>
      </c>
      <c r="C56" s="6" t="s">
        <v>73</v>
      </c>
      <c r="D56" s="36" t="s">
        <v>78</v>
      </c>
      <c r="F56" s="56">
        <v>512</v>
      </c>
      <c r="O56" s="57"/>
      <c r="P56" s="36">
        <v>2</v>
      </c>
      <c r="R56" s="58">
        <f t="shared" si="10"/>
        <v>0</v>
      </c>
      <c r="S56" s="59"/>
      <c r="T56" s="58">
        <f t="shared" si="11"/>
        <v>0</v>
      </c>
    </row>
    <row r="57" spans="1:28" hidden="1">
      <c r="A57" s="55"/>
      <c r="B57" s="462">
        <v>6</v>
      </c>
      <c r="C57" s="6" t="s">
        <v>73</v>
      </c>
      <c r="D57" s="36" t="s">
        <v>79</v>
      </c>
      <c r="F57" s="56">
        <v>520</v>
      </c>
      <c r="O57" s="57"/>
      <c r="P57" s="36">
        <v>1</v>
      </c>
      <c r="R57" s="58">
        <f t="shared" si="10"/>
        <v>0</v>
      </c>
      <c r="S57" s="59"/>
      <c r="T57" s="58">
        <f t="shared" si="11"/>
        <v>0</v>
      </c>
    </row>
    <row r="58" spans="1:28" hidden="1">
      <c r="A58" s="55"/>
      <c r="B58" s="462">
        <v>7</v>
      </c>
      <c r="C58" s="6" t="s">
        <v>73</v>
      </c>
      <c r="D58" s="36" t="s">
        <v>80</v>
      </c>
      <c r="F58" s="56">
        <v>530</v>
      </c>
      <c r="O58" s="57"/>
      <c r="P58" s="36">
        <v>2</v>
      </c>
      <c r="R58" s="58">
        <f t="shared" si="10"/>
        <v>0</v>
      </c>
      <c r="S58" s="59"/>
      <c r="T58" s="58">
        <f t="shared" si="11"/>
        <v>0</v>
      </c>
    </row>
    <row r="59" spans="1:28" hidden="1">
      <c r="A59" s="55"/>
      <c r="B59" s="462">
        <v>8</v>
      </c>
      <c r="C59" s="6" t="s">
        <v>73</v>
      </c>
      <c r="D59" s="36" t="s">
        <v>81</v>
      </c>
      <c r="F59" s="56">
        <v>550</v>
      </c>
      <c r="O59" s="57"/>
      <c r="P59" s="36">
        <v>2</v>
      </c>
      <c r="R59" s="58">
        <f t="shared" si="10"/>
        <v>0</v>
      </c>
      <c r="S59" s="59"/>
      <c r="T59" s="58">
        <f t="shared" si="11"/>
        <v>0</v>
      </c>
    </row>
    <row r="60" spans="1:28" hidden="1">
      <c r="A60" s="55"/>
      <c r="B60" s="462">
        <v>9</v>
      </c>
      <c r="C60" s="6" t="s">
        <v>73</v>
      </c>
      <c r="D60" s="36" t="s">
        <v>82</v>
      </c>
      <c r="F60" s="56">
        <v>570</v>
      </c>
      <c r="O60" s="57"/>
      <c r="P60" s="36">
        <v>2</v>
      </c>
      <c r="R60" s="58">
        <f t="shared" si="10"/>
        <v>0</v>
      </c>
      <c r="S60" s="59"/>
      <c r="T60" s="58">
        <f t="shared" si="11"/>
        <v>0</v>
      </c>
    </row>
    <row r="61" spans="1:28" hidden="1">
      <c r="A61" s="55"/>
      <c r="B61" s="462">
        <v>10</v>
      </c>
      <c r="C61" s="6" t="s">
        <v>73</v>
      </c>
      <c r="D61" s="36" t="s">
        <v>83</v>
      </c>
      <c r="F61" s="56">
        <v>615</v>
      </c>
      <c r="O61" s="57"/>
      <c r="P61" s="36">
        <v>2</v>
      </c>
      <c r="R61" s="58">
        <f t="shared" ca="1" si="10"/>
        <v>219.26494252873562</v>
      </c>
      <c r="S61" s="59"/>
      <c r="T61" s="58">
        <f t="shared" ca="1" si="11"/>
        <v>12.523822701149424</v>
      </c>
    </row>
    <row r="62" spans="1:28" hidden="1">
      <c r="A62" s="55"/>
      <c r="B62" s="462">
        <v>11</v>
      </c>
      <c r="C62" s="6" t="s">
        <v>73</v>
      </c>
      <c r="D62" s="36" t="s">
        <v>85</v>
      </c>
      <c r="F62" s="56">
        <v>616</v>
      </c>
      <c r="O62" s="57"/>
      <c r="P62" s="36">
        <v>2</v>
      </c>
      <c r="R62" s="58">
        <f t="shared" ca="1" si="10"/>
        <v>125.71971428571429</v>
      </c>
      <c r="S62" s="59"/>
      <c r="T62" s="58">
        <f t="shared" ca="1" si="11"/>
        <v>3.5411052857142855</v>
      </c>
    </row>
    <row r="63" spans="1:28" hidden="1">
      <c r="A63" s="55"/>
      <c r="B63" s="462">
        <v>12</v>
      </c>
      <c r="C63" s="6" t="s">
        <v>73</v>
      </c>
      <c r="D63" s="36" t="s">
        <v>86</v>
      </c>
      <c r="F63" s="56">
        <v>617</v>
      </c>
      <c r="O63" s="57"/>
      <c r="P63" s="36">
        <v>2</v>
      </c>
      <c r="R63" s="58">
        <f t="shared" si="10"/>
        <v>0</v>
      </c>
      <c r="S63" s="59"/>
      <c r="T63" s="58">
        <f t="shared" si="11"/>
        <v>0</v>
      </c>
    </row>
    <row r="64" spans="1:28" hidden="1">
      <c r="A64" s="55"/>
      <c r="B64" s="462">
        <v>13</v>
      </c>
      <c r="C64" s="6" t="s">
        <v>73</v>
      </c>
      <c r="D64" s="36" t="s">
        <v>141</v>
      </c>
      <c r="F64" s="56">
        <v>620</v>
      </c>
      <c r="O64" s="57"/>
      <c r="P64" s="36">
        <v>2</v>
      </c>
      <c r="R64" s="58">
        <f t="shared" si="10"/>
        <v>0</v>
      </c>
      <c r="S64" s="59"/>
      <c r="T64" s="58">
        <f t="shared" si="11"/>
        <v>0</v>
      </c>
    </row>
    <row r="65" spans="1:20" hidden="1">
      <c r="A65" s="55"/>
      <c r="B65" s="462">
        <v>14</v>
      </c>
      <c r="C65" s="6" t="s">
        <v>73</v>
      </c>
      <c r="D65" s="36" t="s">
        <v>88</v>
      </c>
      <c r="F65" s="56">
        <v>650</v>
      </c>
      <c r="O65" s="57"/>
      <c r="P65" s="36">
        <v>1</v>
      </c>
      <c r="R65" s="58">
        <f t="shared" si="10"/>
        <v>0</v>
      </c>
      <c r="S65" s="59"/>
      <c r="T65" s="58">
        <f t="shared" si="11"/>
        <v>0</v>
      </c>
    </row>
    <row r="66" spans="1:20" hidden="1">
      <c r="A66" s="55"/>
      <c r="B66" s="462">
        <v>15</v>
      </c>
      <c r="C66" s="6" t="s">
        <v>73</v>
      </c>
      <c r="D66" s="36" t="s">
        <v>89</v>
      </c>
      <c r="F66" s="56">
        <v>651</v>
      </c>
      <c r="O66" s="57"/>
      <c r="P66" s="36">
        <v>1</v>
      </c>
      <c r="R66" s="58">
        <f t="shared" si="10"/>
        <v>0</v>
      </c>
      <c r="S66" s="59"/>
      <c r="T66" s="58">
        <f t="shared" si="11"/>
        <v>0</v>
      </c>
    </row>
    <row r="67" spans="1:20" hidden="1">
      <c r="A67" s="55"/>
      <c r="B67" s="462">
        <v>16</v>
      </c>
      <c r="C67" s="6" t="s">
        <v>73</v>
      </c>
      <c r="D67" s="36" t="s">
        <v>90</v>
      </c>
      <c r="F67" s="56">
        <v>652</v>
      </c>
      <c r="O67" s="57"/>
      <c r="P67" s="36">
        <v>1</v>
      </c>
      <c r="R67" s="58">
        <f t="shared" si="10"/>
        <v>0</v>
      </c>
      <c r="S67" s="59"/>
      <c r="T67" s="58">
        <f t="shared" si="11"/>
        <v>0</v>
      </c>
    </row>
    <row r="68" spans="1:20" hidden="1">
      <c r="A68" s="55"/>
      <c r="B68" s="462">
        <v>17</v>
      </c>
      <c r="C68" s="6" t="s">
        <v>73</v>
      </c>
      <c r="D68" s="36" t="s">
        <v>91</v>
      </c>
      <c r="F68" s="56">
        <v>654</v>
      </c>
      <c r="O68" s="57"/>
      <c r="P68" s="36">
        <v>1</v>
      </c>
      <c r="R68" s="58">
        <f t="shared" si="10"/>
        <v>0</v>
      </c>
      <c r="S68" s="59"/>
      <c r="T68" s="58">
        <f t="shared" si="11"/>
        <v>0</v>
      </c>
    </row>
    <row r="69" spans="1:20" hidden="1">
      <c r="A69" s="55"/>
      <c r="B69" s="462">
        <v>18</v>
      </c>
      <c r="C69" s="6" t="s">
        <v>73</v>
      </c>
      <c r="D69" s="36" t="s">
        <v>92</v>
      </c>
      <c r="F69" s="56">
        <v>675</v>
      </c>
      <c r="O69" s="57"/>
      <c r="P69" s="36">
        <v>1</v>
      </c>
      <c r="R69" s="58">
        <f t="shared" si="10"/>
        <v>0</v>
      </c>
      <c r="S69" s="59"/>
      <c r="T69" s="58">
        <f t="shared" si="11"/>
        <v>0</v>
      </c>
    </row>
    <row r="70" spans="1:20" hidden="1">
      <c r="A70" s="55"/>
      <c r="B70" s="462">
        <v>19</v>
      </c>
      <c r="C70" s="6" t="s">
        <v>73</v>
      </c>
      <c r="D70" s="36" t="s">
        <v>93</v>
      </c>
      <c r="F70" s="56">
        <v>676</v>
      </c>
      <c r="O70" s="57"/>
      <c r="P70" s="36">
        <v>1</v>
      </c>
      <c r="R70" s="58">
        <f t="shared" si="10"/>
        <v>0</v>
      </c>
      <c r="S70" s="59"/>
      <c r="T70" s="58">
        <f t="shared" si="11"/>
        <v>0</v>
      </c>
    </row>
    <row r="71" spans="1:20" hidden="1">
      <c r="A71" s="55"/>
      <c r="B71" s="462">
        <v>20</v>
      </c>
      <c r="C71" s="6" t="s">
        <v>73</v>
      </c>
      <c r="D71" s="36" t="s">
        <v>94</v>
      </c>
      <c r="F71" s="56">
        <v>680</v>
      </c>
      <c r="O71" s="57"/>
      <c r="P71" s="36">
        <v>1</v>
      </c>
      <c r="R71" s="58">
        <f t="shared" si="10"/>
        <v>0</v>
      </c>
      <c r="S71" s="59"/>
      <c r="T71" s="58">
        <f t="shared" si="11"/>
        <v>0</v>
      </c>
    </row>
    <row r="72" spans="1:20" hidden="1">
      <c r="A72" s="55"/>
      <c r="B72" s="462">
        <v>21</v>
      </c>
      <c r="C72" s="6" t="s">
        <v>73</v>
      </c>
      <c r="D72" s="36" t="s">
        <v>96</v>
      </c>
      <c r="F72" s="56">
        <v>681</v>
      </c>
      <c r="O72" s="57"/>
      <c r="P72" s="36">
        <v>1</v>
      </c>
      <c r="R72" s="58">
        <f t="shared" si="10"/>
        <v>0</v>
      </c>
      <c r="S72" s="59"/>
      <c r="T72" s="58">
        <f t="shared" si="11"/>
        <v>0</v>
      </c>
    </row>
    <row r="73" spans="1:20" hidden="1">
      <c r="A73" s="55"/>
      <c r="B73" s="462">
        <v>22</v>
      </c>
      <c r="C73" s="6" t="s">
        <v>73</v>
      </c>
      <c r="D73" s="36" t="s">
        <v>97</v>
      </c>
      <c r="F73" s="56">
        <v>690</v>
      </c>
      <c r="O73" s="57"/>
      <c r="P73" s="36">
        <v>1</v>
      </c>
      <c r="R73" s="58">
        <f t="shared" si="10"/>
        <v>0</v>
      </c>
      <c r="S73" s="59"/>
      <c r="T73" s="58">
        <f t="shared" si="11"/>
        <v>0</v>
      </c>
    </row>
    <row r="74" spans="1:20" hidden="1">
      <c r="A74" s="55"/>
      <c r="B74" s="462">
        <v>23</v>
      </c>
      <c r="C74" s="6" t="s">
        <v>73</v>
      </c>
      <c r="D74" s="36" t="s">
        <v>98</v>
      </c>
      <c r="F74" s="56">
        <v>700</v>
      </c>
      <c r="O74" s="57"/>
      <c r="P74" s="36">
        <v>1</v>
      </c>
      <c r="R74" s="58">
        <f t="shared" ca="1" si="10"/>
        <v>172.75103448275863</v>
      </c>
      <c r="S74" s="59"/>
      <c r="T74" s="58">
        <f t="shared" ca="1" si="11"/>
        <v>28.767879310344828</v>
      </c>
    </row>
    <row r="75" spans="1:20" hidden="1">
      <c r="A75" s="55"/>
      <c r="B75" s="462">
        <v>24</v>
      </c>
      <c r="C75" s="6" t="s">
        <v>73</v>
      </c>
      <c r="D75" s="36" t="s">
        <v>99</v>
      </c>
      <c r="F75" s="56">
        <v>705</v>
      </c>
      <c r="O75" s="57"/>
      <c r="P75" s="36">
        <v>3</v>
      </c>
      <c r="R75" s="58">
        <f t="shared" si="10"/>
        <v>0</v>
      </c>
      <c r="S75" s="59"/>
      <c r="T75" s="58">
        <f t="shared" si="11"/>
        <v>0</v>
      </c>
    </row>
    <row r="76" spans="1:20" hidden="1">
      <c r="A76" s="55"/>
      <c r="B76" s="462">
        <v>25</v>
      </c>
      <c r="C76" s="6" t="s">
        <v>73</v>
      </c>
      <c r="D76" s="36" t="s">
        <v>100</v>
      </c>
      <c r="F76" s="56">
        <v>706</v>
      </c>
      <c r="O76" s="57"/>
      <c r="P76" s="36">
        <v>3</v>
      </c>
      <c r="R76" s="58">
        <f t="shared" si="10"/>
        <v>0</v>
      </c>
      <c r="S76" s="59"/>
      <c r="T76" s="58">
        <f t="shared" si="11"/>
        <v>0</v>
      </c>
    </row>
    <row r="77" spans="1:20" hidden="1">
      <c r="A77" s="55"/>
      <c r="B77" s="462">
        <v>26</v>
      </c>
      <c r="C77" s="6" t="s">
        <v>73</v>
      </c>
      <c r="D77" s="36" t="s">
        <v>101</v>
      </c>
      <c r="F77" s="56">
        <v>725</v>
      </c>
      <c r="O77" s="57"/>
      <c r="P77" s="36">
        <v>3</v>
      </c>
      <c r="R77" s="58">
        <f t="shared" si="10"/>
        <v>0</v>
      </c>
      <c r="S77" s="59"/>
      <c r="T77" s="58">
        <f t="shared" si="11"/>
        <v>0</v>
      </c>
    </row>
    <row r="78" spans="1:20" hidden="1">
      <c r="A78" s="55"/>
      <c r="B78" s="462">
        <v>27</v>
      </c>
      <c r="C78" s="6" t="s">
        <v>73</v>
      </c>
      <c r="D78" s="36" t="s">
        <v>102</v>
      </c>
      <c r="F78" s="56">
        <v>726</v>
      </c>
      <c r="O78" s="57"/>
      <c r="P78" s="36">
        <v>3</v>
      </c>
      <c r="R78" s="58">
        <f t="shared" si="10"/>
        <v>0</v>
      </c>
      <c r="S78" s="59"/>
      <c r="T78" s="58">
        <f t="shared" si="11"/>
        <v>0</v>
      </c>
    </row>
    <row r="79" spans="1:20" hidden="1">
      <c r="A79" s="55"/>
      <c r="B79" s="462">
        <v>28</v>
      </c>
      <c r="C79" s="6" t="s">
        <v>73</v>
      </c>
      <c r="D79" s="36" t="s">
        <v>103</v>
      </c>
      <c r="F79" s="56">
        <v>750</v>
      </c>
      <c r="O79" s="57"/>
      <c r="P79" s="36">
        <v>3</v>
      </c>
      <c r="R79" s="58">
        <f t="shared" si="10"/>
        <v>0</v>
      </c>
      <c r="S79" s="59"/>
      <c r="T79" s="58">
        <f t="shared" si="11"/>
        <v>0</v>
      </c>
    </row>
    <row r="80" spans="1:20" hidden="1">
      <c r="A80" s="55"/>
      <c r="B80" s="462">
        <v>29</v>
      </c>
      <c r="C80" s="6" t="s">
        <v>73</v>
      </c>
      <c r="D80" s="36" t="s">
        <v>104</v>
      </c>
      <c r="F80" s="56">
        <v>751</v>
      </c>
      <c r="O80" s="57"/>
      <c r="P80" s="36">
        <v>3</v>
      </c>
      <c r="R80" s="58">
        <f t="shared" si="10"/>
        <v>0</v>
      </c>
      <c r="S80" s="59"/>
      <c r="T80" s="58">
        <f t="shared" si="11"/>
        <v>0</v>
      </c>
    </row>
    <row r="81" spans="1:20" hidden="1">
      <c r="A81" s="55"/>
      <c r="B81" s="462">
        <v>30</v>
      </c>
      <c r="C81" s="6" t="s">
        <v>73</v>
      </c>
      <c r="D81" s="36" t="s">
        <v>105</v>
      </c>
      <c r="F81" s="56">
        <v>752</v>
      </c>
      <c r="O81" s="57"/>
      <c r="P81" s="36">
        <v>3</v>
      </c>
      <c r="R81" s="58">
        <f t="shared" si="10"/>
        <v>0</v>
      </c>
      <c r="S81" s="59"/>
      <c r="T81" s="58">
        <f t="shared" si="11"/>
        <v>0</v>
      </c>
    </row>
    <row r="82" spans="1:20" hidden="1">
      <c r="A82" s="55"/>
      <c r="B82" s="462">
        <v>31</v>
      </c>
      <c r="C82" s="6" t="s">
        <v>73</v>
      </c>
      <c r="D82" s="500" t="s">
        <v>241</v>
      </c>
      <c r="F82" s="56">
        <v>753</v>
      </c>
      <c r="O82" s="57"/>
      <c r="P82" s="36">
        <v>3</v>
      </c>
      <c r="R82" s="58">
        <f t="shared" si="10"/>
        <v>0</v>
      </c>
      <c r="S82" s="59"/>
      <c r="T82" s="58">
        <f t="shared" si="11"/>
        <v>0</v>
      </c>
    </row>
    <row r="83" spans="1:20" hidden="1">
      <c r="A83" s="55"/>
      <c r="B83" s="462">
        <v>32</v>
      </c>
      <c r="C83" s="6" t="s">
        <v>73</v>
      </c>
      <c r="D83" s="36" t="s">
        <v>107</v>
      </c>
      <c r="F83" s="56">
        <v>770</v>
      </c>
      <c r="O83" s="57"/>
      <c r="P83" s="36">
        <v>3</v>
      </c>
      <c r="R83" s="58">
        <f t="shared" si="10"/>
        <v>0</v>
      </c>
      <c r="S83" s="59"/>
      <c r="T83" s="58">
        <f t="shared" si="11"/>
        <v>0</v>
      </c>
    </row>
    <row r="84" spans="1:20" hidden="1">
      <c r="A84" s="55"/>
      <c r="B84" s="462">
        <v>33</v>
      </c>
      <c r="C84" s="6" t="s">
        <v>73</v>
      </c>
      <c r="D84" s="36" t="s">
        <v>108</v>
      </c>
      <c r="F84" s="56">
        <v>790</v>
      </c>
      <c r="O84" s="57"/>
      <c r="P84" s="36">
        <v>3</v>
      </c>
      <c r="R84" s="58">
        <f t="shared" ref="R84:R107" si="12">SUMIF($H$12:$H$45,$F84,R$12:R$45)</f>
        <v>0</v>
      </c>
      <c r="S84" s="59"/>
      <c r="T84" s="58">
        <f t="shared" ref="T84:T107" si="13">SUMIF($H$12:$H$45,$F84,T$12:T$45)</f>
        <v>0</v>
      </c>
    </row>
    <row r="85" spans="1:20" hidden="1">
      <c r="A85" s="55"/>
      <c r="B85" s="462">
        <v>34</v>
      </c>
      <c r="C85" s="6" t="s">
        <v>73</v>
      </c>
      <c r="D85" s="36" t="s">
        <v>109</v>
      </c>
      <c r="F85" s="56">
        <v>791</v>
      </c>
      <c r="O85" s="57"/>
      <c r="P85" s="36">
        <v>3</v>
      </c>
      <c r="R85" s="58">
        <f t="shared" si="12"/>
        <v>0</v>
      </c>
      <c r="S85" s="59"/>
      <c r="T85" s="58">
        <f t="shared" si="13"/>
        <v>0</v>
      </c>
    </row>
    <row r="86" spans="1:20" hidden="1">
      <c r="A86" s="55"/>
      <c r="B86" s="462">
        <v>35</v>
      </c>
      <c r="C86" s="6" t="s">
        <v>73</v>
      </c>
      <c r="D86" s="36" t="s">
        <v>110</v>
      </c>
      <c r="F86" s="56">
        <v>810</v>
      </c>
      <c r="O86" s="57"/>
      <c r="P86" s="36">
        <v>3</v>
      </c>
      <c r="R86" s="58">
        <f t="shared" si="12"/>
        <v>0</v>
      </c>
      <c r="S86" s="59"/>
      <c r="T86" s="58">
        <f t="shared" si="13"/>
        <v>0</v>
      </c>
    </row>
    <row r="87" spans="1:20" hidden="1">
      <c r="A87" s="55"/>
      <c r="B87" s="462">
        <v>36</v>
      </c>
      <c r="C87" s="6" t="s">
        <v>73</v>
      </c>
      <c r="D87" s="36" t="s">
        <v>111</v>
      </c>
      <c r="F87" s="56">
        <v>815</v>
      </c>
      <c r="O87" s="57"/>
      <c r="P87" s="36">
        <v>3</v>
      </c>
      <c r="R87" s="58">
        <f t="shared" si="12"/>
        <v>0</v>
      </c>
      <c r="S87" s="59"/>
      <c r="T87" s="58">
        <f t="shared" si="13"/>
        <v>0</v>
      </c>
    </row>
    <row r="88" spans="1:20" hidden="1">
      <c r="A88" s="55"/>
      <c r="B88" s="462">
        <v>37</v>
      </c>
      <c r="C88" s="6" t="s">
        <v>73</v>
      </c>
      <c r="D88" s="36" t="s">
        <v>112</v>
      </c>
      <c r="F88" s="56">
        <v>820</v>
      </c>
      <c r="O88" s="57"/>
      <c r="P88" s="36">
        <v>2</v>
      </c>
      <c r="R88" s="58">
        <f t="shared" si="12"/>
        <v>0</v>
      </c>
      <c r="S88" s="59"/>
      <c r="T88" s="58">
        <f t="shared" si="13"/>
        <v>0</v>
      </c>
    </row>
    <row r="89" spans="1:20" hidden="1">
      <c r="A89" s="55"/>
      <c r="B89" s="462">
        <v>38</v>
      </c>
      <c r="C89" s="6" t="s">
        <v>73</v>
      </c>
      <c r="D89" s="36" t="s">
        <v>113</v>
      </c>
      <c r="F89" s="56">
        <v>821</v>
      </c>
      <c r="O89" s="57"/>
      <c r="P89" s="36">
        <v>3</v>
      </c>
      <c r="R89" s="58">
        <f t="shared" si="12"/>
        <v>0</v>
      </c>
      <c r="S89" s="59"/>
      <c r="T89" s="58">
        <f t="shared" si="13"/>
        <v>0</v>
      </c>
    </row>
    <row r="90" spans="1:20" hidden="1">
      <c r="A90" s="55"/>
      <c r="B90" s="462">
        <v>39</v>
      </c>
      <c r="C90" s="6" t="s">
        <v>73</v>
      </c>
      <c r="D90" s="36" t="s">
        <v>114</v>
      </c>
      <c r="F90" s="56">
        <v>835</v>
      </c>
      <c r="O90" s="57"/>
      <c r="P90" s="36">
        <v>3</v>
      </c>
      <c r="R90" s="58">
        <f t="shared" si="12"/>
        <v>0</v>
      </c>
      <c r="S90" s="59"/>
      <c r="T90" s="58">
        <f t="shared" si="13"/>
        <v>0</v>
      </c>
    </row>
    <row r="91" spans="1:20" hidden="1">
      <c r="A91" s="55"/>
      <c r="B91" s="462">
        <v>40</v>
      </c>
      <c r="C91" s="6" t="s">
        <v>73</v>
      </c>
      <c r="D91" s="36" t="s">
        <v>115</v>
      </c>
      <c r="F91" s="56">
        <v>845</v>
      </c>
      <c r="O91" s="57"/>
      <c r="P91" s="36">
        <v>2</v>
      </c>
      <c r="R91" s="58">
        <f t="shared" si="12"/>
        <v>0</v>
      </c>
      <c r="S91" s="59"/>
      <c r="T91" s="58">
        <f t="shared" si="13"/>
        <v>0</v>
      </c>
    </row>
    <row r="92" spans="1:20" hidden="1">
      <c r="A92" s="55"/>
      <c r="B92" s="462">
        <v>41</v>
      </c>
      <c r="C92" s="6" t="s">
        <v>73</v>
      </c>
      <c r="D92" s="36" t="s">
        <v>117</v>
      </c>
      <c r="F92" s="56">
        <v>855</v>
      </c>
      <c r="O92" s="57"/>
      <c r="P92" s="36">
        <v>3</v>
      </c>
      <c r="R92" s="58">
        <f t="shared" si="12"/>
        <v>0</v>
      </c>
      <c r="S92" s="59"/>
      <c r="T92" s="58">
        <f t="shared" si="13"/>
        <v>0</v>
      </c>
    </row>
    <row r="93" spans="1:20" hidden="1">
      <c r="A93" s="55"/>
      <c r="B93" s="462">
        <v>42</v>
      </c>
      <c r="C93" s="6" t="s">
        <v>73</v>
      </c>
      <c r="D93" s="36" t="s">
        <v>118</v>
      </c>
      <c r="F93" s="56">
        <v>856</v>
      </c>
      <c r="O93" s="57"/>
      <c r="P93" s="36">
        <v>3</v>
      </c>
      <c r="R93" s="58">
        <f t="shared" si="12"/>
        <v>0</v>
      </c>
      <c r="S93" s="59"/>
      <c r="T93" s="58">
        <f t="shared" si="13"/>
        <v>0</v>
      </c>
    </row>
    <row r="94" spans="1:20" hidden="1">
      <c r="A94" s="55"/>
      <c r="B94" s="462">
        <v>43</v>
      </c>
      <c r="C94" s="6" t="s">
        <v>73</v>
      </c>
      <c r="D94" s="36" t="s">
        <v>230</v>
      </c>
      <c r="F94" s="56">
        <v>857</v>
      </c>
      <c r="O94" s="57"/>
      <c r="P94" s="36">
        <v>3</v>
      </c>
      <c r="R94" s="58">
        <f t="shared" si="12"/>
        <v>0</v>
      </c>
      <c r="S94" s="59"/>
      <c r="T94" s="58">
        <f t="shared" si="13"/>
        <v>0</v>
      </c>
    </row>
    <row r="95" spans="1:20" hidden="1">
      <c r="A95" s="55"/>
      <c r="B95" s="462">
        <v>44</v>
      </c>
      <c r="C95" s="6" t="s">
        <v>73</v>
      </c>
      <c r="D95" s="36" t="s">
        <v>119</v>
      </c>
      <c r="F95" s="56">
        <v>858</v>
      </c>
      <c r="O95" s="57"/>
      <c r="P95" s="36">
        <v>3</v>
      </c>
      <c r="R95" s="58">
        <f t="shared" si="12"/>
        <v>0</v>
      </c>
      <c r="S95" s="59"/>
      <c r="T95" s="58">
        <f t="shared" si="13"/>
        <v>0</v>
      </c>
    </row>
    <row r="96" spans="1:20" hidden="1">
      <c r="A96" s="55"/>
      <c r="B96" s="462">
        <v>45</v>
      </c>
      <c r="C96" s="6" t="s">
        <v>73</v>
      </c>
      <c r="D96" s="36" t="s">
        <v>120</v>
      </c>
      <c r="F96" s="56">
        <v>865</v>
      </c>
      <c r="O96" s="57"/>
      <c r="P96" s="36">
        <v>3</v>
      </c>
      <c r="R96" s="58">
        <f t="shared" si="12"/>
        <v>0</v>
      </c>
      <c r="S96" s="59"/>
      <c r="T96" s="58">
        <f t="shared" si="13"/>
        <v>0</v>
      </c>
    </row>
    <row r="97" spans="1:28" hidden="1">
      <c r="A97" s="55"/>
      <c r="B97" s="462">
        <v>46</v>
      </c>
      <c r="C97" s="6" t="s">
        <v>73</v>
      </c>
      <c r="D97" s="36" t="s">
        <v>121</v>
      </c>
      <c r="F97" s="56">
        <v>870</v>
      </c>
      <c r="O97" s="57"/>
      <c r="P97" s="36">
        <v>4</v>
      </c>
      <c r="R97" s="58">
        <f t="shared" si="12"/>
        <v>0</v>
      </c>
      <c r="S97" s="59"/>
      <c r="T97" s="58">
        <f t="shared" si="13"/>
        <v>0</v>
      </c>
    </row>
    <row r="98" spans="1:28" hidden="1">
      <c r="A98" s="55"/>
      <c r="B98" s="462">
        <v>47</v>
      </c>
      <c r="C98" s="6" t="s">
        <v>73</v>
      </c>
      <c r="D98" s="36" t="s">
        <v>122</v>
      </c>
      <c r="F98" s="56">
        <v>875</v>
      </c>
      <c r="O98" s="57"/>
      <c r="P98" s="36">
        <v>1</v>
      </c>
      <c r="R98" s="58">
        <f t="shared" si="12"/>
        <v>0</v>
      </c>
      <c r="S98" s="59"/>
      <c r="T98" s="58">
        <f t="shared" si="13"/>
        <v>0</v>
      </c>
    </row>
    <row r="99" spans="1:28" hidden="1">
      <c r="A99" s="55"/>
      <c r="B99" s="462">
        <v>48</v>
      </c>
      <c r="C99" s="6" t="s">
        <v>73</v>
      </c>
      <c r="D99" s="36" t="s">
        <v>123</v>
      </c>
      <c r="F99" s="56">
        <v>880</v>
      </c>
      <c r="O99" s="57"/>
      <c r="P99" s="36">
        <v>3</v>
      </c>
      <c r="R99" s="58">
        <f t="shared" si="12"/>
        <v>0</v>
      </c>
      <c r="S99" s="59"/>
      <c r="T99" s="58">
        <f t="shared" si="13"/>
        <v>0</v>
      </c>
    </row>
    <row r="100" spans="1:28" hidden="1">
      <c r="A100" s="55"/>
      <c r="B100" s="462">
        <v>49</v>
      </c>
      <c r="C100" s="6" t="s">
        <v>73</v>
      </c>
      <c r="D100" s="36" t="s">
        <v>124</v>
      </c>
      <c r="F100" s="56">
        <v>885</v>
      </c>
      <c r="O100" s="57"/>
      <c r="P100" s="36">
        <v>4</v>
      </c>
      <c r="R100" s="58">
        <f t="shared" si="12"/>
        <v>0</v>
      </c>
      <c r="S100" s="59"/>
      <c r="T100" s="58">
        <f t="shared" si="13"/>
        <v>0</v>
      </c>
    </row>
    <row r="101" spans="1:28" hidden="1">
      <c r="A101" s="55"/>
      <c r="B101" s="462">
        <v>50</v>
      </c>
      <c r="C101" s="6" t="s">
        <v>73</v>
      </c>
      <c r="D101" s="36" t="s">
        <v>68</v>
      </c>
      <c r="F101" s="56">
        <v>900</v>
      </c>
      <c r="O101" s="57"/>
      <c r="P101" s="36">
        <v>3</v>
      </c>
      <c r="R101" s="58">
        <f t="shared" si="12"/>
        <v>0</v>
      </c>
      <c r="S101" s="59"/>
      <c r="T101" s="58">
        <f t="shared" si="13"/>
        <v>0</v>
      </c>
    </row>
    <row r="102" spans="1:28" hidden="1">
      <c r="A102" s="55"/>
      <c r="B102" s="462">
        <v>51</v>
      </c>
      <c r="C102" s="6" t="s">
        <v>73</v>
      </c>
      <c r="D102" s="36" t="s">
        <v>126</v>
      </c>
      <c r="F102" s="56">
        <v>901</v>
      </c>
      <c r="O102" s="57"/>
      <c r="P102" s="36">
        <v>1</v>
      </c>
      <c r="R102" s="58">
        <f t="shared" si="12"/>
        <v>0</v>
      </c>
      <c r="S102" s="59"/>
      <c r="T102" s="58">
        <f t="shared" si="13"/>
        <v>0</v>
      </c>
    </row>
    <row r="103" spans="1:28" hidden="1">
      <c r="A103" s="55"/>
      <c r="B103" s="462">
        <v>52</v>
      </c>
      <c r="C103" s="6" t="s">
        <v>73</v>
      </c>
      <c r="D103" s="36" t="s">
        <v>127</v>
      </c>
      <c r="F103" s="56">
        <v>902</v>
      </c>
      <c r="O103" s="57"/>
      <c r="P103" s="36">
        <v>3</v>
      </c>
      <c r="R103" s="58">
        <f t="shared" si="12"/>
        <v>0</v>
      </c>
      <c r="S103" s="59"/>
      <c r="T103" s="58">
        <f t="shared" si="13"/>
        <v>0</v>
      </c>
    </row>
    <row r="104" spans="1:28" hidden="1">
      <c r="A104" s="55"/>
      <c r="B104" s="462">
        <v>53</v>
      </c>
      <c r="C104" s="6" t="s">
        <v>73</v>
      </c>
      <c r="D104" s="60" t="s">
        <v>128</v>
      </c>
      <c r="F104" s="56">
        <v>960</v>
      </c>
      <c r="O104" s="57"/>
      <c r="P104" s="36">
        <v>4</v>
      </c>
      <c r="R104" s="58">
        <f t="shared" si="12"/>
        <v>0</v>
      </c>
      <c r="S104" s="59"/>
      <c r="T104" s="58">
        <f t="shared" si="13"/>
        <v>0</v>
      </c>
    </row>
    <row r="105" spans="1:28" hidden="1">
      <c r="A105" s="55"/>
      <c r="B105" s="462">
        <v>54</v>
      </c>
      <c r="C105" s="6" t="s">
        <v>73</v>
      </c>
      <c r="D105" s="60" t="s">
        <v>129</v>
      </c>
      <c r="F105" s="56">
        <v>961</v>
      </c>
      <c r="O105" s="57"/>
      <c r="P105" s="36">
        <v>3</v>
      </c>
      <c r="R105" s="58">
        <f t="shared" si="12"/>
        <v>0</v>
      </c>
      <c r="S105" s="59"/>
      <c r="T105" s="58">
        <f t="shared" si="13"/>
        <v>0</v>
      </c>
    </row>
    <row r="106" spans="1:28" hidden="1">
      <c r="A106" s="55"/>
      <c r="B106" s="462">
        <v>55</v>
      </c>
      <c r="C106" s="6" t="s">
        <v>73</v>
      </c>
      <c r="D106" s="60" t="s">
        <v>130</v>
      </c>
      <c r="F106" s="56">
        <v>962</v>
      </c>
      <c r="O106" s="57"/>
      <c r="P106" s="36">
        <v>1</v>
      </c>
      <c r="R106" s="58">
        <f t="shared" si="12"/>
        <v>0</v>
      </c>
      <c r="S106" s="59"/>
      <c r="T106" s="58">
        <f t="shared" si="13"/>
        <v>0</v>
      </c>
    </row>
    <row r="107" spans="1:28" hidden="1">
      <c r="A107" s="55"/>
      <c r="B107" s="462">
        <v>56</v>
      </c>
      <c r="C107" s="6" t="s">
        <v>73</v>
      </c>
      <c r="D107" s="60" t="s">
        <v>131</v>
      </c>
      <c r="F107" s="56">
        <v>970</v>
      </c>
      <c r="O107" s="57"/>
      <c r="P107" s="36">
        <v>4</v>
      </c>
      <c r="R107" s="58">
        <f t="shared" si="12"/>
        <v>0</v>
      </c>
      <c r="S107" s="59"/>
      <c r="T107" s="58">
        <f t="shared" si="13"/>
        <v>0</v>
      </c>
    </row>
    <row r="108" spans="1:28" ht="13.8" hidden="1" thickBot="1">
      <c r="A108" s="61"/>
      <c r="B108" s="62"/>
      <c r="C108" s="63"/>
      <c r="D108" s="64"/>
      <c r="E108" s="65"/>
      <c r="F108" s="66"/>
      <c r="G108" s="65"/>
      <c r="H108" s="65"/>
      <c r="I108" s="65"/>
      <c r="J108" s="65"/>
      <c r="K108" s="65"/>
      <c r="L108" s="65"/>
      <c r="M108" s="65"/>
      <c r="N108" s="65"/>
      <c r="O108" s="67"/>
      <c r="P108" s="65"/>
      <c r="Q108" s="65"/>
      <c r="R108" s="68"/>
      <c r="S108" s="69"/>
      <c r="T108" s="68"/>
      <c r="U108" s="65"/>
      <c r="V108" s="65"/>
      <c r="W108" s="65"/>
      <c r="X108" s="65"/>
      <c r="Y108" s="65"/>
      <c r="Z108" s="65"/>
      <c r="AA108" s="65"/>
      <c r="AB108" s="65"/>
    </row>
    <row r="109" spans="1:28" ht="13.8" hidden="1" thickTop="1">
      <c r="A109" s="55"/>
      <c r="B109" s="70"/>
      <c r="C109" s="6" t="s">
        <v>73</v>
      </c>
      <c r="D109" s="71"/>
      <c r="F109" s="72" t="s">
        <v>142</v>
      </c>
      <c r="G109" s="73"/>
      <c r="H109" s="36">
        <v>1</v>
      </c>
      <c r="O109" s="57"/>
      <c r="R109" s="58">
        <f ca="1">SUMIF($P52:$P107,1,R52:R107)</f>
        <v>172.75103448275863</v>
      </c>
      <c r="T109" s="58">
        <f ca="1">SUMIF($P52:$P107,1,T52:T107)</f>
        <v>28.767879310344828</v>
      </c>
    </row>
    <row r="110" spans="1:28" hidden="1">
      <c r="A110" s="55"/>
      <c r="B110" s="70"/>
      <c r="C110" s="6" t="s">
        <v>73</v>
      </c>
      <c r="D110" s="71"/>
      <c r="F110" s="72" t="s">
        <v>143</v>
      </c>
      <c r="G110" s="73"/>
      <c r="H110" s="36">
        <v>2</v>
      </c>
      <c r="O110" s="57"/>
      <c r="R110" s="58">
        <f ca="1">SUMIF($P52:$P107,2,R52:R107)</f>
        <v>344.98465681444992</v>
      </c>
      <c r="T110" s="58">
        <f ca="1">SUMIF($P52:$P107,2,T52:T107)</f>
        <v>16.064927986863708</v>
      </c>
    </row>
    <row r="111" spans="1:28" hidden="1">
      <c r="A111" s="55"/>
      <c r="B111" s="70"/>
      <c r="C111" s="6" t="s">
        <v>73</v>
      </c>
      <c r="D111" s="71"/>
      <c r="F111" s="72" t="s">
        <v>144</v>
      </c>
      <c r="G111" s="73"/>
      <c r="H111" s="36">
        <v>2</v>
      </c>
      <c r="O111" s="57"/>
      <c r="R111" s="58">
        <f>SUMIF($P52:$P107,3,R52:R107)</f>
        <v>0</v>
      </c>
      <c r="T111" s="58">
        <f>SUMIF($P52:$P107,3,T52:T107)</f>
        <v>0</v>
      </c>
    </row>
    <row r="112" spans="1:28" hidden="1">
      <c r="A112" s="55"/>
      <c r="B112" s="70"/>
      <c r="C112" s="6" t="s">
        <v>73</v>
      </c>
      <c r="D112" s="71"/>
      <c r="F112" s="72" t="s">
        <v>145</v>
      </c>
      <c r="G112" s="73"/>
      <c r="H112" s="36">
        <v>3</v>
      </c>
      <c r="O112" s="57"/>
      <c r="R112" s="58">
        <f>SUMIF($P52:$P107,4,R52:R107)</f>
        <v>0</v>
      </c>
      <c r="T112" s="58">
        <f>SUMIF($P52:$P107,4,T52:T107)</f>
        <v>0</v>
      </c>
    </row>
    <row r="113" spans="1:28" ht="13.8" hidden="1" thickBot="1">
      <c r="A113" s="61"/>
      <c r="B113" s="74"/>
      <c r="C113" s="63" t="s">
        <v>73</v>
      </c>
      <c r="D113" s="75"/>
      <c r="E113" s="65"/>
      <c r="F113" s="76" t="s">
        <v>146</v>
      </c>
      <c r="G113" s="77"/>
      <c r="H113" s="78"/>
      <c r="I113" s="78"/>
      <c r="J113" s="78"/>
      <c r="K113" s="78"/>
      <c r="L113" s="78"/>
      <c r="M113" s="78"/>
      <c r="N113" s="78"/>
      <c r="O113" s="79"/>
      <c r="P113" s="78"/>
      <c r="Q113" s="78"/>
      <c r="R113" s="80">
        <f ca="1">SUM(R109:R112)</f>
        <v>517.73569129720852</v>
      </c>
      <c r="S113" s="81"/>
      <c r="T113" s="80">
        <f ca="1">SUM(T109:T112)</f>
        <v>44.832807297208532</v>
      </c>
      <c r="U113" s="65"/>
      <c r="V113" s="65"/>
      <c r="W113" s="65"/>
      <c r="X113" s="65"/>
      <c r="Y113" s="65"/>
      <c r="Z113" s="65"/>
      <c r="AA113" s="65"/>
      <c r="AB113" s="65"/>
    </row>
  </sheetData>
  <sheetProtection formatCells="0" formatColumns="0" formatRows="0" insertColumns="0" insertRows="0" insertHyperlinks="0" deleteColumns="0" deleteRows="0" sort="0" autoFilter="0" pivotTables="0"/>
  <phoneticPr fontId="29" type="noConversion"/>
  <conditionalFormatting sqref="D6">
    <cfRule type="cellIs" dxfId="23" priority="1" stopIfTrue="1" operator="equal">
      <formula>"VAT INCLUDED"</formula>
    </cfRule>
    <cfRule type="cellIs" dxfId="22"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indexed="14"/>
  </sheetPr>
  <dimension ref="A1:AP898"/>
  <sheetViews>
    <sheetView topLeftCell="A629" zoomScaleNormal="100" workbookViewId="0">
      <selection activeCell="D644" sqref="D644"/>
    </sheetView>
  </sheetViews>
  <sheetFormatPr defaultColWidth="9.109375" defaultRowHeight="13.8"/>
  <cols>
    <col min="1" max="1" width="5.88671875" style="36" customWidth="1"/>
    <col min="2" max="2" width="6.44140625" style="36" customWidth="1"/>
    <col min="3" max="3" width="3.88671875" style="36" hidden="1" customWidth="1"/>
    <col min="4" max="4" width="20.88671875" style="36" customWidth="1"/>
    <col min="5" max="5" width="13.44140625" style="36" customWidth="1"/>
    <col min="6" max="6" width="13.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9.88671875" style="36" customWidth="1"/>
    <col min="18" max="18" width="10" style="36" customWidth="1"/>
    <col min="19" max="19" width="8.6640625" style="36" customWidth="1"/>
    <col min="20" max="20" width="9.33203125" style="36" customWidth="1"/>
    <col min="21" max="21" width="6.33203125" style="36" customWidth="1"/>
    <col min="22" max="22" width="4.6640625" style="306" customWidth="1"/>
    <col min="23" max="23" width="5" style="306" bestFit="1" customWidth="1"/>
    <col min="24" max="24" width="4.88671875" style="306" bestFit="1" customWidth="1"/>
    <col min="25" max="25" width="4.33203125" style="306" bestFit="1" customWidth="1"/>
    <col min="26" max="26" width="5.33203125" style="306" customWidth="1"/>
    <col min="27" max="27" width="4" style="306" customWidth="1"/>
    <col min="28" max="28" width="4.109375" style="306" customWidth="1"/>
    <col min="29" max="32" width="9.109375" style="36" customWidth="1"/>
    <col min="33" max="33" width="12.88671875" style="36" hidden="1" customWidth="1"/>
    <col min="34" max="34" width="10.6640625" style="36" hidden="1" customWidth="1"/>
    <col min="35" max="35" width="11.44140625" style="36" hidden="1" customWidth="1"/>
    <col min="36" max="36" width="9.109375" style="36" hidden="1" customWidth="1"/>
    <col min="37" max="37" width="13.6640625" style="36" hidden="1" customWidth="1"/>
    <col min="38" max="38" width="9.109375" style="36" hidden="1" customWidth="1"/>
    <col min="39" max="40" width="12" style="36" hidden="1" customWidth="1"/>
    <col min="41" max="41" width="11.109375" style="36" hidden="1" customWidth="1"/>
    <col min="42" max="42" width="9.109375" style="36" hidden="1" customWidth="1"/>
    <col min="43" max="16384" width="9.109375" style="36"/>
  </cols>
  <sheetData>
    <row r="1" spans="1:42" s="32" customFormat="1" ht="15.6">
      <c r="A1" s="488"/>
      <c r="B1" s="465" t="s">
        <v>0</v>
      </c>
      <c r="C1" s="466">
        <f>ML_Sum!$C1</f>
        <v>1</v>
      </c>
      <c r="D1" s="467" t="str">
        <f>ML_Sum!$D1</f>
        <v>SUNCREST HOTELS plc</v>
      </c>
      <c r="E1" s="468"/>
      <c r="F1" s="469">
        <f>ML_Sum!$F1</f>
        <v>0</v>
      </c>
      <c r="G1" s="496"/>
      <c r="H1"/>
      <c r="I1" s="261">
        <v>1</v>
      </c>
      <c r="J1" s="262">
        <f>ML_Sum!$J1</f>
        <v>1</v>
      </c>
      <c r="K1" s="262">
        <f>ML_Sum!$K1</f>
        <v>1</v>
      </c>
      <c r="L1" s="262">
        <f>ML_Sum!$L1</f>
        <v>1</v>
      </c>
      <c r="M1" s="262">
        <f>ML_Sum!$M1</f>
        <v>1</v>
      </c>
      <c r="N1" s="262">
        <f>ML_Sum!$N1</f>
        <v>1</v>
      </c>
      <c r="O1" s="262">
        <f>ML_Sum!$O1</f>
        <v>1</v>
      </c>
      <c r="P1"/>
      <c r="Q1" s="324" t="str">
        <f>ML_Sum!$Q1</f>
        <v>€</v>
      </c>
      <c r="R1" s="265" t="s">
        <v>1</v>
      </c>
      <c r="S1" s="323" t="str">
        <f>ML_Sum!$S1</f>
        <v>R</v>
      </c>
      <c r="T1" s="430">
        <f>ML_Sum!$T1</f>
        <v>1</v>
      </c>
      <c r="U1" s="431" t="str">
        <f>ML_Sum!W1</f>
        <v>BOQ</v>
      </c>
      <c r="V1" s="432" t="s">
        <v>173</v>
      </c>
      <c r="W1" s="489" t="s">
        <v>163</v>
      </c>
      <c r="X1" s="433" t="s">
        <v>164</v>
      </c>
      <c r="Y1" s="490" t="s">
        <v>165</v>
      </c>
      <c r="Z1" s="434" t="s">
        <v>161</v>
      </c>
      <c r="AA1" s="434" t="s">
        <v>166</v>
      </c>
      <c r="AB1" s="489" t="s">
        <v>167</v>
      </c>
      <c r="AG1" s="494"/>
      <c r="AH1" s="494"/>
      <c r="AI1" s="494"/>
      <c r="AJ1" s="494"/>
      <c r="AK1" s="495"/>
    </row>
    <row r="2" spans="1:42" s="32" customFormat="1">
      <c r="A2" s="464"/>
      <c r="B2" s="465" t="s">
        <v>2</v>
      </c>
      <c r="C2" s="466">
        <f>ML_Sum!$C2</f>
        <v>1</v>
      </c>
      <c r="D2" s="467" t="str">
        <f>ML_Sum!$D2</f>
        <v>Sunny Cost and Lido Redevelopment</v>
      </c>
      <c r="E2" s="471"/>
      <c r="F2" s="469" t="str">
        <f>ML_Sum!$F2</f>
        <v>Electrical</v>
      </c>
      <c r="G2" s="470"/>
      <c r="H2"/>
      <c r="I2" s="261">
        <v>2</v>
      </c>
      <c r="J2" s="262">
        <f>ML_Sum!$J2</f>
        <v>1</v>
      </c>
      <c r="K2" s="262">
        <f>ML_Sum!$K2</f>
        <v>1</v>
      </c>
      <c r="L2" s="262">
        <f>ML_Sum!$L2</f>
        <v>1</v>
      </c>
      <c r="M2" s="262">
        <f>ML_Sum!$M2</f>
        <v>1</v>
      </c>
      <c r="N2" s="262">
        <f>ML_Sum!$N2</f>
        <v>1</v>
      </c>
      <c r="O2" s="262">
        <f>ML_Sum!$O2</f>
        <v>1</v>
      </c>
      <c r="P2"/>
      <c r="Q2" s="330">
        <f>ML_Sum!$Q2</f>
        <v>0</v>
      </c>
      <c r="R2" s="18" t="s">
        <v>3</v>
      </c>
      <c r="S2" s="331">
        <f>ML_Sum!$S2</f>
        <v>1</v>
      </c>
      <c r="T2" s="332">
        <f>ML_Sum!$T2</f>
        <v>28.832999999999998</v>
      </c>
      <c r="V2" s="306"/>
      <c r="W2" s="306"/>
      <c r="X2" s="306"/>
      <c r="Y2" s="306"/>
      <c r="Z2" s="306"/>
      <c r="AA2" s="306"/>
      <c r="AB2" s="306"/>
    </row>
    <row r="3" spans="1:42" s="32" customFormat="1">
      <c r="A3" s="472"/>
      <c r="B3" s="473" t="s">
        <v>4</v>
      </c>
      <c r="C3" s="466">
        <f>ML_Sum!$C3</f>
        <v>1</v>
      </c>
      <c r="D3" s="467" t="str">
        <f>ML_Sum!$D3</f>
        <v>Sample Room - Electrical</v>
      </c>
      <c r="E3" s="472"/>
      <c r="F3" s="469" t="str">
        <f>ML_Sum!$F3</f>
        <v>Controls Section (Guy)</v>
      </c>
      <c r="G3" s="474"/>
      <c r="H3"/>
      <c r="I3" s="261">
        <v>3</v>
      </c>
      <c r="J3" s="262">
        <f>ML_Sum!$J3</f>
        <v>1</v>
      </c>
      <c r="K3" s="262">
        <f>ML_Sum!$K3</f>
        <v>1</v>
      </c>
      <c r="L3" s="262">
        <f>ML_Sum!$L3</f>
        <v>1</v>
      </c>
      <c r="M3" s="262">
        <f>ML_Sum!$M3</f>
        <v>1</v>
      </c>
      <c r="N3" s="262">
        <f>ML_Sum!$N3</f>
        <v>1</v>
      </c>
      <c r="O3" s="262">
        <f>ML_Sum!$O3</f>
        <v>1</v>
      </c>
      <c r="P3"/>
      <c r="Q3" s="330">
        <f>ML_Sum!$Q3</f>
        <v>0</v>
      </c>
      <c r="R3" s="19" t="s">
        <v>5</v>
      </c>
      <c r="S3" s="331">
        <f>ML_Sum!$S3</f>
        <v>1</v>
      </c>
      <c r="T3" s="332">
        <f>ML_Sum!$T3</f>
        <v>33</v>
      </c>
      <c r="V3" s="306"/>
      <c r="W3" s="306"/>
      <c r="X3" s="306"/>
      <c r="Y3" s="306"/>
      <c r="Z3" s="306"/>
      <c r="AA3" s="306"/>
      <c r="AB3" s="306"/>
    </row>
    <row r="4" spans="1:42" s="32" customFormat="1">
      <c r="A4" s="475"/>
      <c r="B4" s="465" t="s">
        <v>6</v>
      </c>
      <c r="C4" s="466">
        <f>ML_Sum!$C4</f>
        <v>1</v>
      </c>
      <c r="D4" s="467" t="str">
        <f>ML_Sum!$D4</f>
        <v>EL25-0700</v>
      </c>
      <c r="E4" s="472"/>
      <c r="F4" s="469" t="str">
        <f>ML_Sum!$F4</f>
        <v>Controls Section (Engineer)</v>
      </c>
      <c r="G4" s="474"/>
      <c r="H4"/>
      <c r="I4" s="261">
        <v>4</v>
      </c>
      <c r="J4" s="262">
        <f>ML_Sum!$J4</f>
        <v>1</v>
      </c>
      <c r="K4" s="262">
        <f>ML_Sum!$K4</f>
        <v>1</v>
      </c>
      <c r="L4" s="262">
        <f>ML_Sum!$L4</f>
        <v>1</v>
      </c>
      <c r="M4" s="262">
        <f>ML_Sum!$M4</f>
        <v>1</v>
      </c>
      <c r="N4" s="262">
        <f>ML_Sum!$N4</f>
        <v>1</v>
      </c>
      <c r="O4" s="262">
        <f>ML_Sum!$O4</f>
        <v>1</v>
      </c>
      <c r="P4"/>
      <c r="Q4" s="330">
        <f>ML_Sum!$Q4</f>
        <v>0</v>
      </c>
      <c r="R4" s="20" t="s">
        <v>8</v>
      </c>
      <c r="S4" s="331">
        <f>ML_Sum!$S4</f>
        <v>1</v>
      </c>
      <c r="T4" s="332">
        <f>ML_Sum!$T4</f>
        <v>30</v>
      </c>
      <c r="V4" s="306"/>
      <c r="W4" s="306"/>
      <c r="X4" s="306"/>
      <c r="Y4" s="306"/>
      <c r="Z4" s="306"/>
      <c r="AA4" s="306"/>
      <c r="AB4" s="306"/>
    </row>
    <row r="5" spans="1:42" s="32" customFormat="1">
      <c r="A5" s="475"/>
      <c r="B5" s="465" t="s">
        <v>175</v>
      </c>
      <c r="C5" s="466">
        <f>ML_Sum!$C5</f>
        <v>1</v>
      </c>
      <c r="D5" s="467" t="str">
        <f>ML_Sum!$D5</f>
        <v>Sample Room</v>
      </c>
      <c r="E5" s="472"/>
      <c r="F5" s="469" t="str">
        <f>ML_Sum!$F5</f>
        <v>Fire Alarm (Josef)</v>
      </c>
      <c r="G5" s="476"/>
      <c r="H5"/>
      <c r="I5" s="261">
        <v>5</v>
      </c>
      <c r="J5" s="262">
        <f>ML_Sum!$J5</f>
        <v>1</v>
      </c>
      <c r="K5" s="262">
        <f>ML_Sum!$K5</f>
        <v>1</v>
      </c>
      <c r="L5" s="262">
        <f>ML_Sum!$L5</f>
        <v>1</v>
      </c>
      <c r="M5" s="262">
        <f>ML_Sum!$M5</f>
        <v>1</v>
      </c>
      <c r="N5" s="262">
        <f>ML_Sum!$N5</f>
        <v>1</v>
      </c>
      <c r="O5" s="262">
        <f>ML_Sum!$O5</f>
        <v>1</v>
      </c>
      <c r="P5"/>
      <c r="Q5" s="330">
        <f>ML_Sum!$Q5</f>
        <v>0</v>
      </c>
      <c r="R5" s="21" t="s">
        <v>10</v>
      </c>
      <c r="S5" s="331">
        <f>ML_Sum!$S5</f>
        <v>1</v>
      </c>
      <c r="T5" s="332">
        <f>ML_Sum!$T5</f>
        <v>28.832999999999998</v>
      </c>
      <c r="V5" s="306"/>
      <c r="W5" s="306"/>
      <c r="X5" s="306"/>
      <c r="Y5" s="306"/>
      <c r="Z5" s="306"/>
      <c r="AA5" s="306"/>
      <c r="AB5" s="306"/>
    </row>
    <row r="6" spans="1:42" s="32" customFormat="1">
      <c r="A6"/>
      <c r="B6" s="473" t="s">
        <v>9</v>
      </c>
      <c r="C6" s="466">
        <f>ML_Sum!$C6</f>
        <v>1</v>
      </c>
      <c r="D6" s="467" t="str">
        <f>ML_Sum!$D6</f>
        <v>VAT EXCL.</v>
      </c>
      <c r="E6"/>
      <c r="F6" s="469">
        <f>ML_Sum!$F6</f>
        <v>0</v>
      </c>
      <c r="G6" s="476"/>
      <c r="H6"/>
      <c r="I6" s="261">
        <v>6</v>
      </c>
      <c r="J6" s="262">
        <f>ML_Sum!$J6</f>
        <v>1</v>
      </c>
      <c r="K6" s="262">
        <f>ML_Sum!$K6</f>
        <v>1</v>
      </c>
      <c r="L6" s="262">
        <f>ML_Sum!$L6</f>
        <v>1</v>
      </c>
      <c r="M6" s="262">
        <f>ML_Sum!$M6</f>
        <v>1</v>
      </c>
      <c r="N6" s="262">
        <f>ML_Sum!$N6</f>
        <v>1</v>
      </c>
      <c r="O6" s="262">
        <f>ML_Sum!$O6</f>
        <v>1</v>
      </c>
      <c r="P6"/>
      <c r="Q6" s="330">
        <f>ML_Sum!$Q6</f>
        <v>0</v>
      </c>
      <c r="R6" s="22" t="s">
        <v>11</v>
      </c>
      <c r="S6" s="331">
        <f>ML_Sum!$S6</f>
        <v>0</v>
      </c>
      <c r="T6" s="332">
        <f>ML_Sum!$T6</f>
        <v>0</v>
      </c>
      <c r="V6" s="306"/>
      <c r="W6" s="306"/>
      <c r="X6" s="306"/>
      <c r="Y6" s="306"/>
      <c r="Z6" s="306"/>
      <c r="AA6" s="306"/>
      <c r="AB6" s="306"/>
    </row>
    <row r="7" spans="1:42" s="32" customFormat="1">
      <c r="A7" s="464"/>
      <c r="B7" s="473" t="s">
        <v>12</v>
      </c>
      <c r="C7" s="466">
        <f>ML_Sum!$C7</f>
        <v>1</v>
      </c>
      <c r="D7" s="477">
        <v>39364</v>
      </c>
      <c r="E7" s="478"/>
      <c r="F7" s="469">
        <f>ML_Sum!$F7</f>
        <v>0</v>
      </c>
      <c r="G7" s="479"/>
      <c r="H7"/>
      <c r="I7" s="261">
        <v>7</v>
      </c>
      <c r="J7" s="262">
        <f>ML_Sum!$J7</f>
        <v>1</v>
      </c>
      <c r="K7" s="262">
        <f>ML_Sum!$K7</f>
        <v>1</v>
      </c>
      <c r="L7" s="262">
        <f>ML_Sum!$L7</f>
        <v>1</v>
      </c>
      <c r="M7" s="262">
        <f>ML_Sum!$M7</f>
        <v>1</v>
      </c>
      <c r="N7" s="262">
        <f>ML_Sum!$N7</f>
        <v>1</v>
      </c>
      <c r="O7" s="262">
        <f>ML_Sum!$O7</f>
        <v>0</v>
      </c>
      <c r="P7"/>
      <c r="Q7" s="330">
        <f>ML_Sum!$Q7</f>
        <v>0</v>
      </c>
      <c r="R7" s="23" t="s">
        <v>13</v>
      </c>
      <c r="S7" s="331">
        <f>ML_Sum!$S7</f>
        <v>0</v>
      </c>
      <c r="T7" s="332">
        <f>ML_Sum!$T7</f>
        <v>0</v>
      </c>
      <c r="V7" s="306"/>
      <c r="W7" s="306"/>
      <c r="X7" s="306"/>
      <c r="Y7" s="306"/>
      <c r="Z7" s="306"/>
      <c r="AA7" s="306"/>
      <c r="AB7" s="306"/>
    </row>
    <row r="8" spans="1:42" s="32" customFormat="1">
      <c r="A8" s="475"/>
      <c r="B8" s="473" t="s">
        <v>14</v>
      </c>
      <c r="C8" s="466">
        <f>ML_Sum!$C8</f>
        <v>1</v>
      </c>
      <c r="D8" s="467" t="str">
        <f>ML_Sum!$D8</f>
        <v>R.Farrugia</v>
      </c>
      <c r="E8" s="472"/>
      <c r="F8" s="469">
        <f>ML_Sum!$F8</f>
        <v>0</v>
      </c>
      <c r="G8" s="480"/>
      <c r="H8"/>
      <c r="I8" s="261">
        <v>8</v>
      </c>
      <c r="J8" s="262">
        <f>ML_Sum!$J8</f>
        <v>1</v>
      </c>
      <c r="K8" s="262">
        <f>ML_Sum!$K8</f>
        <v>1</v>
      </c>
      <c r="L8" s="262">
        <f>ML_Sum!$L8</f>
        <v>1</v>
      </c>
      <c r="M8" s="262">
        <f>ML_Sum!$M8</f>
        <v>1</v>
      </c>
      <c r="N8" s="262">
        <f>ML_Sum!$N8</f>
        <v>1</v>
      </c>
      <c r="O8" s="262">
        <f>ML_Sum!$O8</f>
        <v>0</v>
      </c>
      <c r="P8"/>
      <c r="Q8" s="330">
        <f>ML_Sum!$Q8</f>
        <v>0</v>
      </c>
      <c r="R8" s="24" t="s">
        <v>15</v>
      </c>
      <c r="S8" s="331">
        <f>ML_Sum!$S8</f>
        <v>0</v>
      </c>
      <c r="T8" s="332">
        <f>ML_Sum!$T8</f>
        <v>0</v>
      </c>
      <c r="V8" s="306"/>
      <c r="W8" s="306"/>
      <c r="X8" s="306"/>
      <c r="Y8" s="306"/>
      <c r="Z8" s="306"/>
      <c r="AA8" s="306"/>
      <c r="AB8" s="306"/>
    </row>
    <row r="9" spans="1:42" s="32" customFormat="1">
      <c r="A9" s="475"/>
      <c r="B9" s="473" t="s">
        <v>240</v>
      </c>
      <c r="C9" s="466">
        <f>ML_Sum!$C9</f>
        <v>1</v>
      </c>
      <c r="D9" s="467">
        <f>ML_Sum!$D9</f>
        <v>28.832999999999998</v>
      </c>
      <c r="E9" s="472"/>
      <c r="F9" s="469">
        <f>ML_Sum!$F9</f>
        <v>0</v>
      </c>
      <c r="G9" s="480"/>
      <c r="H9"/>
      <c r="I9" s="261">
        <v>9</v>
      </c>
      <c r="J9" s="262">
        <f>ML_Sum!$J9</f>
        <v>1</v>
      </c>
      <c r="K9" s="262">
        <f>ML_Sum!$K9</f>
        <v>1</v>
      </c>
      <c r="L9" s="262">
        <f>ML_Sum!$L9</f>
        <v>1</v>
      </c>
      <c r="M9" s="262">
        <f>ML_Sum!$M9</f>
        <v>1</v>
      </c>
      <c r="N9" s="262">
        <f>ML_Sum!$N9</f>
        <v>1</v>
      </c>
      <c r="O9" s="262">
        <f>ML_Sum!$O9</f>
        <v>0</v>
      </c>
      <c r="P9"/>
      <c r="Q9" s="330">
        <f>ML_Sum!$Q9</f>
        <v>0</v>
      </c>
      <c r="R9" s="25" t="s">
        <v>16</v>
      </c>
      <c r="S9" s="331">
        <f>ML_Sum!$S9</f>
        <v>0</v>
      </c>
      <c r="T9" s="332">
        <f>ML_Sum!$T9</f>
        <v>0</v>
      </c>
      <c r="V9" s="306"/>
      <c r="W9" s="306"/>
      <c r="X9" s="306"/>
      <c r="Y9" s="306"/>
      <c r="Z9" s="306"/>
      <c r="AA9" s="306"/>
      <c r="AB9" s="306"/>
    </row>
    <row r="10" spans="1:42" s="32" customFormat="1">
      <c r="A10" s="475"/>
      <c r="B10" s="464"/>
      <c r="C10" s="466">
        <f>ML_Sum!$C10</f>
        <v>1</v>
      </c>
      <c r="D10" s="464"/>
      <c r="E10" s="472"/>
      <c r="F10" s="469">
        <f>ML_Sum!$F10</f>
        <v>0</v>
      </c>
      <c r="G10" s="480"/>
      <c r="H10"/>
      <c r="I10" s="261">
        <v>10</v>
      </c>
      <c r="J10" s="262">
        <f>ML_Sum!$J10</f>
        <v>1</v>
      </c>
      <c r="K10" s="262">
        <f>ML_Sum!$K10</f>
        <v>1</v>
      </c>
      <c r="L10" s="262">
        <f>ML_Sum!$L10</f>
        <v>1</v>
      </c>
      <c r="M10" s="262">
        <f>ML_Sum!$M10</f>
        <v>1</v>
      </c>
      <c r="N10" s="262">
        <f>ML_Sum!$N10</f>
        <v>1</v>
      </c>
      <c r="O10" s="262">
        <f>ML_Sum!$O10</f>
        <v>1</v>
      </c>
      <c r="P10"/>
      <c r="Q10" s="330">
        <f>ML_Sum!$Q10</f>
        <v>0</v>
      </c>
      <c r="R10" s="26" t="s">
        <v>17</v>
      </c>
      <c r="S10" s="331">
        <f>ML_Sum!$S10</f>
        <v>0</v>
      </c>
      <c r="T10" s="332">
        <f>ML_Sum!$T10</f>
        <v>0</v>
      </c>
      <c r="V10" s="306"/>
      <c r="W10" s="306"/>
      <c r="X10" s="306"/>
      <c r="Y10" s="306"/>
      <c r="Z10" s="306"/>
      <c r="AA10" s="306"/>
      <c r="AB10" s="306"/>
    </row>
    <row r="11" spans="1:42" s="32" customFormat="1">
      <c r="A11" s="475"/>
      <c r="B11" s="464"/>
      <c r="C11" s="466">
        <f>ML_Sum!$C11</f>
        <v>1</v>
      </c>
      <c r="D11" s="464"/>
      <c r="E11" s="472"/>
      <c r="F11" s="469">
        <f>ML_Sum!$F11</f>
        <v>0</v>
      </c>
      <c r="G11" s="480"/>
      <c r="H11" s="480"/>
      <c r="I11" s="464"/>
      <c r="J11" s="464"/>
      <c r="K11" s="464"/>
      <c r="L11" s="464"/>
      <c r="M11" s="464"/>
      <c r="N11" s="464"/>
      <c r="O11" s="464"/>
      <c r="P11" s="480"/>
      <c r="Q11" s="330">
        <f>ML_Sum!$Q11</f>
        <v>0</v>
      </c>
      <c r="R11" s="27" t="s">
        <v>18</v>
      </c>
      <c r="S11" s="331">
        <f>ML_Sum!$S11</f>
        <v>0</v>
      </c>
      <c r="T11" s="332">
        <f>ML_Sum!$T11</f>
        <v>0</v>
      </c>
      <c r="V11" s="306"/>
      <c r="W11" s="306"/>
      <c r="X11" s="306"/>
      <c r="Y11" s="306"/>
      <c r="Z11" s="306"/>
      <c r="AA11" s="306"/>
      <c r="AB11" s="306"/>
    </row>
    <row r="12" spans="1:42" s="32" customFormat="1" ht="14.4" thickBot="1">
      <c r="A12" s="475"/>
      <c r="B12" s="464"/>
      <c r="C12" s="466">
        <f>ML_Sum!$C12</f>
        <v>1</v>
      </c>
      <c r="D12" s="464"/>
      <c r="E12" s="472"/>
      <c r="F12" s="469">
        <f>ML_Sum!$F12</f>
        <v>0</v>
      </c>
      <c r="G12" s="480"/>
      <c r="H12" s="480"/>
      <c r="I12" s="464"/>
      <c r="J12" s="464"/>
      <c r="K12" s="464"/>
      <c r="L12" s="464"/>
      <c r="M12" s="464"/>
      <c r="N12" s="464"/>
      <c r="O12" s="464"/>
      <c r="P12" s="480"/>
      <c r="Q12" s="330">
        <f>ML_Sum!$Q12</f>
        <v>0</v>
      </c>
      <c r="R12" s="380" t="s">
        <v>191</v>
      </c>
      <c r="S12" s="331" t="str">
        <f>ML_Sum!$S12</f>
        <v>MAT MU</v>
      </c>
      <c r="T12" s="332" t="str">
        <f>ML_Sum!$T12</f>
        <v>LAB RATE</v>
      </c>
      <c r="V12" s="306"/>
      <c r="W12" s="306"/>
      <c r="X12" s="306"/>
      <c r="Y12" s="306"/>
      <c r="Z12" s="306"/>
      <c r="AA12" s="306"/>
      <c r="AB12" s="306"/>
    </row>
    <row r="13" spans="1:42" s="32" customFormat="1" ht="14.4" thickBot="1">
      <c r="A13" s="481"/>
      <c r="B13" s="482"/>
      <c r="C13" s="483"/>
      <c r="D13" s="484"/>
      <c r="E13" s="485"/>
      <c r="F13" s="486"/>
      <c r="G13" s="487" t="s">
        <v>135</v>
      </c>
      <c r="H13" s="487" t="s">
        <v>20</v>
      </c>
      <c r="I13" s="487" t="s">
        <v>21</v>
      </c>
      <c r="J13" s="487" t="s">
        <v>22</v>
      </c>
      <c r="K13" s="487" t="s">
        <v>23</v>
      </c>
      <c r="L13" s="487" t="s">
        <v>24</v>
      </c>
      <c r="M13" s="487" t="s">
        <v>25</v>
      </c>
      <c r="N13" s="487" t="s">
        <v>26</v>
      </c>
      <c r="O13" s="487" t="s">
        <v>27</v>
      </c>
      <c r="P13" s="487" t="s">
        <v>28</v>
      </c>
      <c r="Q13" s="28" t="s">
        <v>186</v>
      </c>
      <c r="R13" s="29" t="s">
        <v>30</v>
      </c>
      <c r="S13" s="30" t="s">
        <v>31</v>
      </c>
      <c r="T13" s="31" t="s">
        <v>32</v>
      </c>
      <c r="V13" s="306"/>
      <c r="W13" s="306"/>
      <c r="X13" s="306"/>
      <c r="Y13" s="306"/>
      <c r="Z13" s="306"/>
      <c r="AA13" s="306"/>
      <c r="AB13" s="306"/>
      <c r="AG13"/>
      <c r="AH13"/>
      <c r="AI13"/>
      <c r="AJ13"/>
      <c r="AK13"/>
      <c r="AM13" s="497" t="s">
        <v>238</v>
      </c>
      <c r="AN13" s="499" t="s">
        <v>243</v>
      </c>
      <c r="AO13" s="499" t="s">
        <v>239</v>
      </c>
      <c r="AP13" s="498" t="s">
        <v>237</v>
      </c>
    </row>
    <row r="14" spans="1:42" s="618" customFormat="1" ht="13.2">
      <c r="A14" s="736"/>
      <c r="B14" s="736"/>
      <c r="C14" s="737"/>
      <c r="D14" s="737"/>
      <c r="E14" s="736"/>
      <c r="F14" s="736"/>
      <c r="G14" s="736"/>
      <c r="H14" s="736"/>
      <c r="I14" s="736"/>
      <c r="J14" s="736"/>
      <c r="K14" s="736" t="s">
        <v>489</v>
      </c>
      <c r="L14" s="736"/>
      <c r="M14" s="736"/>
      <c r="N14" s="736"/>
      <c r="O14" s="738"/>
      <c r="P14" s="736"/>
      <c r="Q14" s="736"/>
      <c r="R14" s="736"/>
      <c r="S14" s="736"/>
      <c r="T14" s="736"/>
    </row>
    <row r="15" spans="1:42" s="618" customFormat="1" ht="12">
      <c r="A15" s="736"/>
      <c r="B15" s="736"/>
      <c r="C15" s="736" t="s">
        <v>490</v>
      </c>
      <c r="D15" s="743"/>
      <c r="E15" s="736"/>
      <c r="F15" s="736"/>
      <c r="G15" s="736"/>
      <c r="H15" s="736"/>
      <c r="I15" s="736"/>
      <c r="J15" s="736"/>
      <c r="K15" s="736"/>
      <c r="L15" s="736"/>
      <c r="M15" s="736"/>
      <c r="N15" s="736"/>
      <c r="O15" s="738"/>
      <c r="P15" s="736"/>
      <c r="Q15" s="736"/>
      <c r="R15" s="736"/>
      <c r="S15" s="736"/>
      <c r="T15" s="736"/>
    </row>
    <row r="16" spans="1:42" s="618" customFormat="1" ht="12">
      <c r="A16" s="736"/>
      <c r="B16" s="736"/>
      <c r="C16" s="736"/>
      <c r="D16" s="739" t="s">
        <v>278</v>
      </c>
      <c r="E16" s="736"/>
      <c r="F16" s="736"/>
      <c r="G16" s="736"/>
      <c r="H16" s="736"/>
      <c r="I16" s="736"/>
      <c r="J16" s="736"/>
      <c r="K16" s="736"/>
      <c r="L16" s="736"/>
      <c r="M16" s="736"/>
      <c r="N16" s="736"/>
      <c r="O16" s="738"/>
      <c r="P16" s="736"/>
      <c r="Q16" s="736"/>
      <c r="R16" s="736"/>
      <c r="S16" s="740"/>
      <c r="T16" s="740"/>
    </row>
    <row r="17" spans="1:41" s="3" customFormat="1" thickBot="1">
      <c r="A17" s="741"/>
      <c r="B17" s="737"/>
      <c r="C17" s="737"/>
      <c r="D17" s="737"/>
      <c r="E17" s="737"/>
      <c r="F17" s="737"/>
      <c r="G17" s="737"/>
      <c r="H17" s="737"/>
      <c r="I17" s="737"/>
      <c r="J17" s="737"/>
      <c r="K17" s="737"/>
      <c r="L17" s="737"/>
      <c r="M17" s="737"/>
      <c r="N17" s="737"/>
      <c r="O17" s="742"/>
      <c r="P17" s="737"/>
      <c r="Q17" s="737"/>
      <c r="R17" s="737"/>
      <c r="S17" s="737"/>
      <c r="T17" s="737"/>
    </row>
    <row r="18" spans="1:41" s="618" customFormat="1" ht="12" thickTop="1">
      <c r="A18" s="616"/>
      <c r="B18" s="622"/>
      <c r="C18" s="616"/>
      <c r="E18" s="37" t="s">
        <v>491</v>
      </c>
      <c r="F18" s="37" t="s">
        <v>492</v>
      </c>
      <c r="G18" s="616"/>
      <c r="H18" s="616"/>
      <c r="I18" s="616"/>
      <c r="J18" s="616"/>
      <c r="K18" s="616" t="s">
        <v>493</v>
      </c>
      <c r="L18" s="616"/>
      <c r="M18" s="616"/>
      <c r="N18" s="616"/>
      <c r="O18" s="617"/>
      <c r="P18" s="616"/>
      <c r="Q18" s="616"/>
      <c r="R18" s="616"/>
      <c r="S18" s="616"/>
      <c r="T18" s="622"/>
      <c r="AG18" s="623" t="s">
        <v>494</v>
      </c>
      <c r="AH18" s="623" t="s">
        <v>495</v>
      </c>
      <c r="AI18" s="623" t="s">
        <v>496</v>
      </c>
      <c r="AJ18" s="623" t="s">
        <v>497</v>
      </c>
      <c r="AK18" s="623" t="s">
        <v>498</v>
      </c>
      <c r="AM18" s="624" t="s">
        <v>499</v>
      </c>
      <c r="AN18" s="625" t="s">
        <v>500</v>
      </c>
      <c r="AO18" s="626" t="s">
        <v>501</v>
      </c>
    </row>
    <row r="19" spans="1:41" s="618" customFormat="1" ht="12" customHeight="1">
      <c r="A19" s="627">
        <v>1</v>
      </c>
      <c r="B19" s="628" t="s">
        <v>255</v>
      </c>
      <c r="C19" s="629"/>
      <c r="D19" s="630" t="s">
        <v>504</v>
      </c>
      <c r="E19" s="631">
        <f>IF(AND($A19=0,$A$1="DIF"),0, ROUND(ROUND(($R24*$S$2+($T24*$T$2))/A19,2)*$C$2,2))</f>
        <v>0</v>
      </c>
      <c r="F19" s="632">
        <f>ROUND($A19*$E19,2)</f>
        <v>0</v>
      </c>
      <c r="G19" s="88" t="s">
        <v>135</v>
      </c>
      <c r="H19" s="2"/>
      <c r="I19" s="633"/>
      <c r="J19" s="2"/>
      <c r="K19" s="2" t="s">
        <v>3</v>
      </c>
      <c r="L19" s="634" t="s">
        <v>136</v>
      </c>
      <c r="M19" s="634"/>
      <c r="N19" s="634"/>
      <c r="O19" s="634"/>
      <c r="P19" s="634"/>
      <c r="Q19" s="616" t="s">
        <v>256</v>
      </c>
      <c r="T19" s="635" t="str">
        <f>IF(AND($R24=0,$T24=0),"0.00","mu :" &amp; ROUND($F19/$C$2/($R24+$T24*$D$9),2))</f>
        <v>0.00</v>
      </c>
      <c r="W19" s="636"/>
      <c r="AG19" s="637">
        <f>IF($E19=0,0,ROUND($R24*$S$2*$C$2/$A19,2))</f>
        <v>0</v>
      </c>
      <c r="AH19" s="637">
        <f>$AG19*$A19</f>
        <v>0</v>
      </c>
      <c r="AI19" s="638">
        <f>$E19-$AG19</f>
        <v>0</v>
      </c>
      <c r="AJ19" s="638">
        <f>$A19*$AI19</f>
        <v>0</v>
      </c>
      <c r="AK19" s="639">
        <f>ROUND(($AG19+$AI19)*$A19,2)</f>
        <v>0</v>
      </c>
      <c r="AM19" s="640">
        <f>ROUND(R24,2)</f>
        <v>0</v>
      </c>
      <c r="AN19" s="641">
        <f>ROUND(T24,2)</f>
        <v>0</v>
      </c>
      <c r="AO19" s="642">
        <f>ROUND(AM19+AN19,2)*A19</f>
        <v>0</v>
      </c>
    </row>
    <row r="20" spans="1:41" s="618" customFormat="1" ht="13.2">
      <c r="A20" s="629"/>
      <c r="B20"/>
      <c r="C20" s="629"/>
      <c r="D20" s="630" t="s">
        <v>279</v>
      </c>
      <c r="F20" s="2"/>
      <c r="G20" s="3"/>
      <c r="H20" s="2"/>
      <c r="I20" s="633"/>
      <c r="J20" s="2"/>
      <c r="K20" s="2" t="s">
        <v>502</v>
      </c>
      <c r="L20" s="2"/>
      <c r="M20" s="2"/>
      <c r="N20" s="2"/>
      <c r="O20" s="2"/>
      <c r="P20" s="2"/>
      <c r="Q20" s="616"/>
      <c r="R20" s="643"/>
      <c r="S20" s="644"/>
      <c r="T20" s="2"/>
    </row>
    <row r="21" spans="1:41" s="618" customFormat="1" ht="12">
      <c r="A21" s="616"/>
      <c r="B21" s="645"/>
      <c r="C21" s="645"/>
      <c r="D21" s="645"/>
      <c r="E21" s="645"/>
      <c r="F21" s="2"/>
      <c r="G21" s="645"/>
      <c r="H21" s="645"/>
      <c r="I21" s="646"/>
      <c r="J21" s="645"/>
      <c r="K21" s="645"/>
      <c r="L21" s="645"/>
      <c r="M21" s="645"/>
      <c r="N21" s="645"/>
      <c r="O21" s="645"/>
      <c r="P21" s="645"/>
      <c r="Q21" s="646"/>
      <c r="R21" s="647">
        <f t="shared" ref="R21:R23" si="0">$A21*Q21</f>
        <v>0</v>
      </c>
      <c r="S21" s="646"/>
      <c r="T21" s="648">
        <f t="shared" ref="T21:T23" si="1">$A21*S21*$T$1</f>
        <v>0</v>
      </c>
    </row>
    <row r="22" spans="1:41" s="618" customFormat="1" ht="12">
      <c r="A22" s="616"/>
      <c r="B22" s="645"/>
      <c r="C22" s="645"/>
      <c r="D22" s="645" t="s">
        <v>256</v>
      </c>
      <c r="E22" s="645"/>
      <c r="F22" s="2"/>
      <c r="G22" s="645"/>
      <c r="H22" s="645"/>
      <c r="I22" s="646"/>
      <c r="J22" s="645"/>
      <c r="K22" s="645"/>
      <c r="L22" s="645"/>
      <c r="M22" s="645"/>
      <c r="N22" s="645"/>
      <c r="O22" s="645"/>
      <c r="P22" s="645"/>
      <c r="Q22" s="646"/>
      <c r="R22" s="647">
        <f t="shared" si="0"/>
        <v>0</v>
      </c>
      <c r="S22" s="646"/>
      <c r="T22" s="648">
        <f t="shared" si="1"/>
        <v>0</v>
      </c>
    </row>
    <row r="23" spans="1:41" s="618" customFormat="1" ht="12">
      <c r="A23" s="645"/>
      <c r="B23" s="645"/>
      <c r="C23" s="645"/>
      <c r="D23" s="645"/>
      <c r="E23" s="645"/>
      <c r="F23" s="2"/>
      <c r="G23" s="645"/>
      <c r="H23" s="645"/>
      <c r="I23" s="646"/>
      <c r="J23" s="645"/>
      <c r="K23" s="645"/>
      <c r="L23" s="645"/>
      <c r="M23" s="645"/>
      <c r="N23" s="645"/>
      <c r="O23" s="645"/>
      <c r="P23" s="645"/>
      <c r="Q23" s="646"/>
      <c r="R23" s="647">
        <f t="shared" si="0"/>
        <v>0</v>
      </c>
      <c r="S23" s="646"/>
      <c r="T23" s="648">
        <f t="shared" si="1"/>
        <v>0</v>
      </c>
    </row>
    <row r="24" spans="1:41" s="618" customFormat="1" ht="12.6" thickBot="1">
      <c r="A24" s="649" t="s">
        <v>137</v>
      </c>
      <c r="B24" s="650">
        <f>(R23+T23)</f>
        <v>0</v>
      </c>
      <c r="C24" s="651"/>
      <c r="D24" s="651"/>
      <c r="E24" s="651"/>
      <c r="F24" s="652"/>
      <c r="G24" s="651" t="s">
        <v>503</v>
      </c>
      <c r="H24" s="651"/>
      <c r="I24" s="653"/>
      <c r="J24" s="651"/>
      <c r="K24" s="651" t="s">
        <v>3</v>
      </c>
      <c r="L24" s="654" t="s">
        <v>136</v>
      </c>
      <c r="M24" s="654"/>
      <c r="N24" s="654"/>
      <c r="O24" s="654"/>
      <c r="P24" s="654"/>
      <c r="Q24" s="655"/>
      <c r="R24" s="656">
        <f>SUM(R20:R23)</f>
        <v>0</v>
      </c>
      <c r="S24" s="651"/>
      <c r="T24" s="656">
        <f>SUM(T20:T23)</f>
        <v>0</v>
      </c>
      <c r="U24" s="621"/>
      <c r="V24" s="621"/>
      <c r="W24" s="621"/>
      <c r="X24" s="621"/>
      <c r="Y24" s="621"/>
      <c r="Z24" s="621"/>
      <c r="AA24" s="621"/>
      <c r="AB24" s="621"/>
      <c r="AC24" s="621"/>
      <c r="AD24" s="621"/>
      <c r="AE24" s="621"/>
      <c r="AF24" s="621"/>
      <c r="AG24" s="621"/>
      <c r="AH24" s="621"/>
      <c r="AI24" s="621"/>
      <c r="AJ24" s="621"/>
      <c r="AK24" s="621"/>
      <c r="AL24" s="621"/>
      <c r="AM24" s="621"/>
      <c r="AN24" s="621"/>
      <c r="AO24" s="621"/>
    </row>
    <row r="25" spans="1:41" s="618" customFormat="1" thickTop="1">
      <c r="A25" s="616"/>
      <c r="B25" s="616"/>
      <c r="C25" s="3"/>
      <c r="D25" s="3"/>
      <c r="E25" s="616"/>
      <c r="F25" s="616"/>
      <c r="G25" s="616"/>
      <c r="H25" s="616"/>
      <c r="I25" s="616"/>
      <c r="J25" s="616"/>
      <c r="K25" s="616" t="s">
        <v>489</v>
      </c>
      <c r="L25" s="616"/>
      <c r="M25" s="616"/>
      <c r="N25" s="616"/>
      <c r="O25" s="617"/>
      <c r="P25" s="616"/>
      <c r="Q25" s="616"/>
      <c r="R25" s="616"/>
      <c r="S25" s="616"/>
      <c r="T25" s="616"/>
    </row>
    <row r="26" spans="1:41" s="618" customFormat="1" ht="12">
      <c r="A26" s="616"/>
      <c r="B26" s="616"/>
      <c r="C26" s="616" t="s">
        <v>490</v>
      </c>
      <c r="D26" s="619"/>
      <c r="E26" s="616"/>
      <c r="F26" s="616"/>
      <c r="G26" s="616"/>
      <c r="H26" s="616"/>
      <c r="I26" s="616"/>
      <c r="J26" s="616"/>
      <c r="K26" s="616"/>
      <c r="L26" s="616"/>
      <c r="M26" s="616"/>
      <c r="N26" s="616"/>
      <c r="O26" s="617"/>
      <c r="P26" s="616"/>
      <c r="Q26" s="616"/>
      <c r="R26" s="616"/>
      <c r="S26" s="616"/>
      <c r="T26" s="616"/>
    </row>
    <row r="27" spans="1:41" s="618" customFormat="1" ht="12">
      <c r="A27" s="616"/>
      <c r="B27" s="616"/>
      <c r="C27" s="616"/>
      <c r="D27" s="619" t="s">
        <v>280</v>
      </c>
      <c r="E27" s="616"/>
      <c r="F27" s="616"/>
      <c r="G27" s="616"/>
      <c r="H27" s="616"/>
      <c r="I27" s="616"/>
      <c r="J27" s="616"/>
      <c r="K27" s="616"/>
      <c r="L27" s="616"/>
      <c r="M27" s="616"/>
      <c r="N27" s="616"/>
      <c r="O27" s="617"/>
      <c r="P27" s="616"/>
      <c r="Q27" s="616"/>
      <c r="R27" s="616"/>
      <c r="S27" s="620"/>
      <c r="T27" s="620"/>
    </row>
    <row r="28" spans="1:41" s="3" customFormat="1" thickBot="1">
      <c r="A28" s="621"/>
      <c r="O28" s="96"/>
    </row>
    <row r="29" spans="1:41" s="618" customFormat="1" thickTop="1">
      <c r="A29" s="616"/>
      <c r="B29" s="616"/>
      <c r="C29" s="3"/>
      <c r="D29" s="3"/>
      <c r="E29" s="616"/>
      <c r="F29" s="616"/>
      <c r="G29" s="616"/>
      <c r="H29" s="616"/>
      <c r="I29" s="616"/>
      <c r="J29" s="616"/>
      <c r="K29" s="616" t="s">
        <v>489</v>
      </c>
      <c r="L29" s="616"/>
      <c r="M29" s="616"/>
      <c r="N29" s="616"/>
      <c r="O29" s="617"/>
      <c r="P29" s="616"/>
      <c r="Q29" s="616"/>
      <c r="R29" s="616"/>
      <c r="S29" s="616"/>
      <c r="T29" s="616"/>
    </row>
    <row r="30" spans="1:41" s="618" customFormat="1" ht="12">
      <c r="A30" s="616"/>
      <c r="B30" s="616"/>
      <c r="C30" s="616" t="s">
        <v>490</v>
      </c>
      <c r="D30" s="619"/>
      <c r="E30" s="616"/>
      <c r="F30" s="616"/>
      <c r="G30" s="616"/>
      <c r="H30" s="616"/>
      <c r="I30" s="616"/>
      <c r="J30" s="616"/>
      <c r="K30" s="616"/>
      <c r="L30" s="616"/>
      <c r="M30" s="616"/>
      <c r="N30" s="616"/>
      <c r="O30" s="617"/>
      <c r="P30" s="616"/>
      <c r="Q30" s="616"/>
      <c r="R30" s="616"/>
      <c r="S30" s="616"/>
      <c r="T30" s="616"/>
    </row>
    <row r="31" spans="1:41" s="618" customFormat="1" ht="36">
      <c r="A31" s="616"/>
      <c r="B31" s="616"/>
      <c r="C31" s="616"/>
      <c r="D31" s="744" t="s">
        <v>281</v>
      </c>
      <c r="E31" s="744"/>
      <c r="F31" s="744"/>
      <c r="G31" s="744"/>
      <c r="H31" s="744"/>
      <c r="I31" s="744"/>
      <c r="J31" s="744"/>
      <c r="K31" s="744"/>
      <c r="L31" s="744"/>
      <c r="M31" s="744"/>
      <c r="N31" s="744"/>
      <c r="O31" s="744"/>
      <c r="P31" s="744"/>
      <c r="Q31" s="744"/>
      <c r="R31" s="669"/>
      <c r="S31" s="669"/>
      <c r="T31" s="669"/>
    </row>
    <row r="32" spans="1:41" s="3" customFormat="1" thickBot="1">
      <c r="A32" s="621"/>
      <c r="O32" s="96"/>
    </row>
    <row r="33" spans="1:41" s="618" customFormat="1" thickTop="1">
      <c r="A33" s="616"/>
      <c r="B33" s="616"/>
      <c r="C33" s="3"/>
      <c r="D33" s="3"/>
      <c r="E33" s="616"/>
      <c r="F33" s="616"/>
      <c r="G33" s="616"/>
      <c r="H33" s="616"/>
      <c r="I33" s="616"/>
      <c r="J33" s="616"/>
      <c r="K33" s="616" t="s">
        <v>489</v>
      </c>
      <c r="L33" s="616"/>
      <c r="M33" s="616"/>
      <c r="N33" s="616"/>
      <c r="O33" s="617"/>
      <c r="P33" s="616"/>
      <c r="Q33" s="616"/>
      <c r="R33" s="616"/>
      <c r="S33" s="616"/>
      <c r="T33" s="616"/>
    </row>
    <row r="34" spans="1:41" s="618" customFormat="1" ht="12">
      <c r="A34" s="616"/>
      <c r="B34" s="616"/>
      <c r="C34" s="616" t="s">
        <v>490</v>
      </c>
      <c r="D34" s="619"/>
      <c r="E34" s="616"/>
      <c r="F34" s="616"/>
      <c r="G34" s="616"/>
      <c r="H34" s="616"/>
      <c r="I34" s="616"/>
      <c r="J34" s="616"/>
      <c r="K34" s="616"/>
      <c r="L34" s="616"/>
      <c r="M34" s="616"/>
      <c r="N34" s="616"/>
      <c r="O34" s="617"/>
      <c r="P34" s="616"/>
      <c r="Q34" s="616"/>
      <c r="R34" s="616"/>
      <c r="S34" s="616"/>
      <c r="T34" s="616"/>
    </row>
    <row r="35" spans="1:41" s="618" customFormat="1" ht="12">
      <c r="A35" s="616"/>
      <c r="B35" s="616"/>
      <c r="C35" s="616"/>
      <c r="D35" s="619" t="s">
        <v>282</v>
      </c>
      <c r="E35" s="616"/>
      <c r="F35" s="616"/>
      <c r="G35" s="616"/>
      <c r="H35" s="616"/>
      <c r="I35" s="616"/>
      <c r="J35" s="616"/>
      <c r="K35" s="616"/>
      <c r="L35" s="616"/>
      <c r="M35" s="616"/>
      <c r="N35" s="616"/>
      <c r="O35" s="617"/>
      <c r="P35" s="616"/>
      <c r="Q35" s="616"/>
      <c r="R35" s="616"/>
      <c r="S35" s="620"/>
      <c r="T35" s="620"/>
    </row>
    <row r="36" spans="1:41" s="3" customFormat="1" thickBot="1">
      <c r="A36" s="621"/>
      <c r="O36" s="96"/>
    </row>
    <row r="37" spans="1:41" s="618" customFormat="1" ht="12" thickTop="1">
      <c r="A37" s="616"/>
      <c r="B37" s="622"/>
      <c r="C37" s="616"/>
      <c r="E37" s="37" t="s">
        <v>491</v>
      </c>
      <c r="F37" s="37" t="s">
        <v>492</v>
      </c>
      <c r="G37" s="616"/>
      <c r="H37" s="616"/>
      <c r="I37" s="616"/>
      <c r="J37" s="616"/>
      <c r="K37" s="616" t="s">
        <v>493</v>
      </c>
      <c r="L37" s="616"/>
      <c r="M37" s="616"/>
      <c r="N37" s="616"/>
      <c r="O37" s="617"/>
      <c r="P37" s="616"/>
      <c r="Q37" s="616"/>
      <c r="R37" s="616"/>
      <c r="S37" s="616"/>
      <c r="T37" s="622"/>
      <c r="AG37" s="623" t="s">
        <v>494</v>
      </c>
      <c r="AH37" s="623" t="s">
        <v>495</v>
      </c>
      <c r="AI37" s="623" t="s">
        <v>496</v>
      </c>
      <c r="AJ37" s="623" t="s">
        <v>497</v>
      </c>
      <c r="AK37" s="623" t="s">
        <v>498</v>
      </c>
      <c r="AM37" s="624" t="s">
        <v>499</v>
      </c>
      <c r="AN37" s="625" t="s">
        <v>500</v>
      </c>
      <c r="AO37" s="626" t="s">
        <v>501</v>
      </c>
    </row>
    <row r="38" spans="1:41" s="618" customFormat="1" ht="12" customHeight="1">
      <c r="A38" s="627">
        <v>25</v>
      </c>
      <c r="B38" s="628" t="s">
        <v>284</v>
      </c>
      <c r="C38" s="629"/>
      <c r="D38" s="630" t="s">
        <v>505</v>
      </c>
      <c r="E38" s="631">
        <f>IF(AND($A38=0,$A$1="DIF"),0, ROUND(ROUND(($R46*$S$2+($T46*$T$2))/A38,2)*$C$2,2))</f>
        <v>3.56</v>
      </c>
      <c r="F38" s="632">
        <f>ROUND($A38*$E38,2)</f>
        <v>89</v>
      </c>
      <c r="G38" s="88" t="s">
        <v>135</v>
      </c>
      <c r="H38" s="2"/>
      <c r="I38" s="633"/>
      <c r="J38" s="2"/>
      <c r="K38" s="2" t="s">
        <v>3</v>
      </c>
      <c r="L38" s="634" t="s">
        <v>136</v>
      </c>
      <c r="M38" s="634"/>
      <c r="N38" s="634"/>
      <c r="O38" s="634"/>
      <c r="P38" s="634"/>
      <c r="Q38" s="616"/>
      <c r="T38" s="635" t="str">
        <f>IF(AND($R46=0,$T46=0),"0.00","mu :" &amp; ROUND($F38/$C$2/($R46+$T46*$D$9),2))</f>
        <v>mu :1</v>
      </c>
      <c r="W38" s="636"/>
      <c r="AG38" s="637">
        <f>IF($E38=0,0,ROUND($R46*$S$2*$C$2/$A38,2))</f>
        <v>2.0699999999999998</v>
      </c>
      <c r="AH38" s="637">
        <f>$AG38*$A38</f>
        <v>51.749999999999993</v>
      </c>
      <c r="AI38" s="638">
        <f>$E38-$AG38</f>
        <v>1.4900000000000002</v>
      </c>
      <c r="AJ38" s="638">
        <f>$A38*$AI38</f>
        <v>37.250000000000007</v>
      </c>
      <c r="AK38" s="639">
        <f>ROUND(($AG38+$AI38)*$A38,2)</f>
        <v>89</v>
      </c>
      <c r="AM38" s="640">
        <f>ROUND(R46,2)</f>
        <v>51.69</v>
      </c>
      <c r="AN38" s="641">
        <f>ROUND(T46,2)</f>
        <v>1.29</v>
      </c>
      <c r="AO38" s="642">
        <f>ROUND(AM38+AN38,2)*A38</f>
        <v>1324.5</v>
      </c>
    </row>
    <row r="39" spans="1:41" s="618" customFormat="1" ht="13.2">
      <c r="A39" s="629"/>
      <c r="B39"/>
      <c r="C39" s="629"/>
      <c r="D39" s="630" t="s">
        <v>283</v>
      </c>
      <c r="F39" s="2"/>
      <c r="G39" s="3"/>
      <c r="H39" s="2"/>
      <c r="I39" s="633"/>
      <c r="J39" s="2"/>
      <c r="K39" s="2" t="s">
        <v>502</v>
      </c>
      <c r="L39" s="2"/>
      <c r="M39" s="2"/>
      <c r="N39" s="2"/>
      <c r="O39" s="2"/>
      <c r="P39" s="2"/>
      <c r="Q39" s="616"/>
      <c r="R39" s="643"/>
      <c r="S39" s="644"/>
      <c r="T39" s="2"/>
    </row>
    <row r="40" spans="1:41" s="783" customFormat="1" ht="13.2">
      <c r="A40">
        <v>25</v>
      </c>
      <c r="B40" s="783" t="s">
        <v>284</v>
      </c>
      <c r="D40" s="783" t="s">
        <v>711</v>
      </c>
      <c r="F40" s="783" t="s">
        <v>853</v>
      </c>
      <c r="G40" s="784" t="s">
        <v>712</v>
      </c>
      <c r="H40" s="785">
        <v>616</v>
      </c>
      <c r="I40" s="783" t="s">
        <v>682</v>
      </c>
      <c r="J40" s="783" t="s">
        <v>713</v>
      </c>
      <c r="K40" s="783" t="s">
        <v>714</v>
      </c>
      <c r="O40" s="786">
        <v>2</v>
      </c>
      <c r="P40" s="787"/>
      <c r="Q40" s="788">
        <f>1.77*1.1</f>
        <v>1.9470000000000003</v>
      </c>
      <c r="R40" s="789">
        <f>$A40*Q40</f>
        <v>48.675000000000004</v>
      </c>
      <c r="S40" s="788">
        <f>0.845 *(0.03)</f>
        <v>2.5349999999999998E-2</v>
      </c>
      <c r="T40" s="790">
        <f>$A40*S40*$T$1</f>
        <v>0.63374999999999992</v>
      </c>
    </row>
    <row r="41" spans="1:41" s="783" customFormat="1" ht="13.2">
      <c r="A41" s="105">
        <v>25</v>
      </c>
      <c r="B41" s="783" t="s">
        <v>134</v>
      </c>
      <c r="D41" s="783" t="s">
        <v>715</v>
      </c>
      <c r="G41" s="784" t="s">
        <v>716</v>
      </c>
      <c r="H41" s="785">
        <v>875</v>
      </c>
      <c r="I41" s="783" t="s">
        <v>627</v>
      </c>
      <c r="K41" s="783" t="s">
        <v>717</v>
      </c>
      <c r="O41" s="786">
        <v>1</v>
      </c>
      <c r="P41" s="787">
        <v>34669</v>
      </c>
      <c r="Q41" s="788">
        <v>0.05</v>
      </c>
      <c r="R41" s="789">
        <f>$A41*Q41</f>
        <v>1.25</v>
      </c>
      <c r="S41" s="788"/>
      <c r="T41" s="790">
        <f>$A41*S41*$T$1</f>
        <v>0</v>
      </c>
    </row>
    <row r="42" spans="1:41" s="783" customFormat="1" ht="13.2">
      <c r="A42" s="105">
        <v>2</v>
      </c>
      <c r="B42" s="783" t="s">
        <v>134</v>
      </c>
      <c r="D42" s="783" t="s">
        <v>812</v>
      </c>
      <c r="G42" s="784" t="s">
        <v>813</v>
      </c>
      <c r="H42" s="785">
        <v>620</v>
      </c>
      <c r="I42" s="783" t="s">
        <v>627</v>
      </c>
      <c r="O42" s="786">
        <v>2</v>
      </c>
      <c r="P42" s="787">
        <v>35431</v>
      </c>
      <c r="Q42" s="788">
        <v>0.6</v>
      </c>
      <c r="R42" s="789">
        <f t="shared" ref="R42:R44" si="2">$A42*Q42</f>
        <v>1.2</v>
      </c>
      <c r="S42" s="788">
        <f>0.845 *(0.3)</f>
        <v>0.2535</v>
      </c>
      <c r="T42" s="790">
        <f t="shared" ref="T42:T44" si="3">$A42*S42*$T$1</f>
        <v>0.50700000000000001</v>
      </c>
    </row>
    <row r="43" spans="1:41" s="783" customFormat="1" ht="13.2">
      <c r="A43" s="105">
        <v>6</v>
      </c>
      <c r="B43" s="783" t="s">
        <v>134</v>
      </c>
      <c r="D43" s="783" t="s">
        <v>814</v>
      </c>
      <c r="G43" s="784" t="s">
        <v>815</v>
      </c>
      <c r="H43" s="785">
        <v>620</v>
      </c>
      <c r="I43" s="783" t="s">
        <v>816</v>
      </c>
      <c r="O43" s="786">
        <v>2</v>
      </c>
      <c r="P43" s="787">
        <v>34669</v>
      </c>
      <c r="Q43" s="788">
        <v>0.06</v>
      </c>
      <c r="R43" s="789">
        <f t="shared" si="2"/>
        <v>0.36</v>
      </c>
      <c r="S43" s="788">
        <f>0.845 *(0.03)</f>
        <v>2.5349999999999998E-2</v>
      </c>
      <c r="T43" s="790">
        <f t="shared" si="3"/>
        <v>0.15209999999999999</v>
      </c>
    </row>
    <row r="44" spans="1:41" s="783" customFormat="1" ht="13.2">
      <c r="A44" s="105">
        <v>2</v>
      </c>
      <c r="B44" s="783" t="s">
        <v>134</v>
      </c>
      <c r="D44" s="783" t="s">
        <v>817</v>
      </c>
      <c r="G44" s="784" t="s">
        <v>818</v>
      </c>
      <c r="H44" s="785">
        <v>620</v>
      </c>
      <c r="I44" s="783" t="s">
        <v>627</v>
      </c>
      <c r="O44" s="786">
        <v>2</v>
      </c>
      <c r="P44" s="787"/>
      <c r="Q44" s="788">
        <v>0.1</v>
      </c>
      <c r="R44" s="789">
        <f t="shared" si="2"/>
        <v>0.2</v>
      </c>
      <c r="S44" s="788"/>
      <c r="T44" s="790">
        <f t="shared" si="3"/>
        <v>0</v>
      </c>
    </row>
    <row r="45" spans="1:41" s="618" customFormat="1" ht="12">
      <c r="A45" s="645"/>
      <c r="B45" s="645"/>
      <c r="C45" s="645"/>
      <c r="D45" s="645"/>
      <c r="E45" s="645"/>
      <c r="F45" s="2"/>
      <c r="G45" s="645"/>
      <c r="H45" s="645"/>
      <c r="I45" s="646"/>
      <c r="J45" s="645"/>
      <c r="K45" s="645"/>
      <c r="L45" s="645"/>
      <c r="M45" s="645"/>
      <c r="N45" s="645"/>
      <c r="O45" s="645"/>
      <c r="P45" s="645"/>
      <c r="Q45" s="646"/>
      <c r="R45" s="647">
        <f t="shared" ref="R45" si="4">$A45*Q45</f>
        <v>0</v>
      </c>
      <c r="S45" s="646"/>
      <c r="T45" s="648">
        <f t="shared" ref="T45" si="5">$A45*S45*$T$1</f>
        <v>0</v>
      </c>
    </row>
    <row r="46" spans="1:41" s="618" customFormat="1" ht="12.6" thickBot="1">
      <c r="A46" s="649" t="s">
        <v>137</v>
      </c>
      <c r="B46" s="650">
        <f>(R45+T45)</f>
        <v>0</v>
      </c>
      <c r="C46" s="651"/>
      <c r="D46" s="651"/>
      <c r="E46" s="651"/>
      <c r="F46" s="652"/>
      <c r="G46" s="651" t="s">
        <v>503</v>
      </c>
      <c r="H46" s="651"/>
      <c r="I46" s="653"/>
      <c r="J46" s="651"/>
      <c r="K46" s="651" t="s">
        <v>3</v>
      </c>
      <c r="L46" s="654" t="s">
        <v>136</v>
      </c>
      <c r="M46" s="654"/>
      <c r="N46" s="654"/>
      <c r="O46" s="654"/>
      <c r="P46" s="654"/>
      <c r="Q46" s="655"/>
      <c r="R46" s="656">
        <f>SUM(R39:R45)</f>
        <v>51.685000000000009</v>
      </c>
      <c r="S46" s="651"/>
      <c r="T46" s="656">
        <f>SUM(T39:T45)</f>
        <v>1.2928499999999998</v>
      </c>
      <c r="U46" s="621"/>
      <c r="V46" s="621"/>
      <c r="W46" s="621"/>
      <c r="X46" s="621"/>
      <c r="Y46" s="621"/>
      <c r="Z46" s="621"/>
      <c r="AA46" s="621"/>
      <c r="AB46" s="621"/>
      <c r="AC46" s="621"/>
      <c r="AD46" s="621"/>
      <c r="AE46" s="621"/>
      <c r="AF46" s="621"/>
      <c r="AG46" s="621"/>
      <c r="AH46" s="621"/>
      <c r="AI46" s="621"/>
      <c r="AJ46" s="621"/>
      <c r="AK46" s="621"/>
      <c r="AL46" s="621"/>
      <c r="AM46" s="621"/>
      <c r="AN46" s="621"/>
      <c r="AO46" s="621"/>
    </row>
    <row r="47" spans="1:41" s="618" customFormat="1" thickTop="1">
      <c r="A47" s="616"/>
      <c r="B47" s="616"/>
      <c r="C47" s="3"/>
      <c r="D47" s="3"/>
      <c r="E47" s="616"/>
      <c r="F47" s="616"/>
      <c r="G47" s="616"/>
      <c r="H47" s="616"/>
      <c r="I47" s="616"/>
      <c r="J47" s="616"/>
      <c r="K47" s="616" t="s">
        <v>489</v>
      </c>
      <c r="L47" s="616"/>
      <c r="M47" s="616"/>
      <c r="N47" s="616"/>
      <c r="O47" s="617"/>
      <c r="P47" s="616"/>
      <c r="Q47" s="616"/>
      <c r="R47" s="616"/>
      <c r="S47" s="616"/>
      <c r="T47" s="616"/>
    </row>
    <row r="48" spans="1:41" s="618" customFormat="1" ht="12">
      <c r="A48" s="616"/>
      <c r="B48" s="616"/>
      <c r="C48" s="616" t="s">
        <v>490</v>
      </c>
      <c r="D48" s="619"/>
      <c r="E48" s="616"/>
      <c r="F48" s="616"/>
      <c r="G48" s="616"/>
      <c r="H48" s="616"/>
      <c r="I48" s="616"/>
      <c r="J48" s="616"/>
      <c r="K48" s="616"/>
      <c r="L48" s="616"/>
      <c r="M48" s="616"/>
      <c r="N48" s="616"/>
      <c r="O48" s="617"/>
      <c r="P48" s="616"/>
      <c r="Q48" s="616"/>
      <c r="R48" s="616"/>
      <c r="S48" s="616"/>
      <c r="T48" s="616"/>
    </row>
    <row r="49" spans="1:41" s="618" customFormat="1" ht="12">
      <c r="A49" s="616"/>
      <c r="B49" s="616"/>
      <c r="C49" s="616"/>
      <c r="D49" s="619" t="s">
        <v>285</v>
      </c>
      <c r="E49" s="616"/>
      <c r="F49" s="616"/>
      <c r="G49" s="616"/>
      <c r="H49" s="616"/>
      <c r="I49" s="616"/>
      <c r="J49" s="616"/>
      <c r="K49" s="616"/>
      <c r="L49" s="616"/>
      <c r="M49" s="616"/>
      <c r="N49" s="616"/>
      <c r="O49" s="617"/>
      <c r="P49" s="616"/>
      <c r="Q49" s="616"/>
      <c r="R49" s="616"/>
      <c r="S49" s="620"/>
      <c r="T49" s="620"/>
    </row>
    <row r="50" spans="1:41" s="3" customFormat="1" thickBot="1">
      <c r="A50" s="621"/>
      <c r="O50" s="96"/>
    </row>
    <row r="51" spans="1:41" s="618" customFormat="1" thickTop="1">
      <c r="A51" s="616"/>
      <c r="B51" s="616"/>
      <c r="C51" s="3"/>
      <c r="D51" s="3"/>
      <c r="E51" s="616"/>
      <c r="F51" s="616"/>
      <c r="G51" s="616"/>
      <c r="H51" s="616"/>
      <c r="I51" s="616"/>
      <c r="J51" s="616"/>
      <c r="K51" s="616" t="s">
        <v>489</v>
      </c>
      <c r="L51" s="616"/>
      <c r="M51" s="616"/>
      <c r="N51" s="616"/>
      <c r="O51" s="617"/>
      <c r="P51" s="616"/>
      <c r="Q51" s="616"/>
      <c r="R51" s="616"/>
      <c r="S51" s="616"/>
      <c r="T51" s="616"/>
    </row>
    <row r="52" spans="1:41" s="618" customFormat="1" ht="12">
      <c r="A52" s="616"/>
      <c r="B52" s="616"/>
      <c r="C52" s="616" t="s">
        <v>490</v>
      </c>
      <c r="D52" s="619"/>
      <c r="E52" s="616"/>
      <c r="F52" s="616"/>
      <c r="G52" s="616"/>
      <c r="H52" s="616"/>
      <c r="I52" s="616"/>
      <c r="J52" s="616"/>
      <c r="K52" s="616"/>
      <c r="L52" s="616"/>
      <c r="M52" s="616"/>
      <c r="N52" s="616"/>
      <c r="O52" s="617"/>
      <c r="P52" s="616"/>
      <c r="Q52" s="616"/>
      <c r="R52" s="616"/>
      <c r="S52" s="616"/>
      <c r="T52" s="616"/>
    </row>
    <row r="53" spans="1:41" s="618" customFormat="1" ht="48">
      <c r="A53" s="616"/>
      <c r="B53" s="616"/>
      <c r="C53" s="616"/>
      <c r="D53" s="744" t="s">
        <v>286</v>
      </c>
      <c r="E53" s="744"/>
      <c r="F53" s="744"/>
      <c r="G53" s="744"/>
      <c r="H53" s="744"/>
      <c r="I53" s="744"/>
      <c r="J53" s="744"/>
      <c r="K53" s="744"/>
      <c r="L53" s="744"/>
      <c r="M53" s="744"/>
      <c r="N53" s="744"/>
      <c r="O53" s="744"/>
      <c r="P53" s="744"/>
      <c r="Q53" s="744"/>
      <c r="R53" s="669"/>
      <c r="S53" s="669"/>
      <c r="T53" s="669"/>
    </row>
    <row r="54" spans="1:41" s="3" customFormat="1" thickBot="1">
      <c r="A54" s="621"/>
      <c r="O54" s="96"/>
    </row>
    <row r="55" spans="1:41" s="618" customFormat="1" ht="12" thickTop="1">
      <c r="A55" s="616"/>
      <c r="B55" s="622"/>
      <c r="C55" s="616"/>
      <c r="E55" s="37" t="s">
        <v>491</v>
      </c>
      <c r="F55" s="37" t="s">
        <v>492</v>
      </c>
      <c r="G55" s="616"/>
      <c r="H55" s="616"/>
      <c r="I55" s="616"/>
      <c r="J55" s="616"/>
      <c r="K55" s="616" t="s">
        <v>493</v>
      </c>
      <c r="L55" s="616"/>
      <c r="M55" s="616"/>
      <c r="N55" s="616"/>
      <c r="O55" s="617"/>
      <c r="P55" s="616"/>
      <c r="Q55" s="616"/>
      <c r="R55" s="616"/>
      <c r="S55" s="616"/>
      <c r="T55" s="622"/>
      <c r="AG55" s="623" t="s">
        <v>494</v>
      </c>
      <c r="AH55" s="623" t="s">
        <v>495</v>
      </c>
      <c r="AI55" s="623" t="s">
        <v>496</v>
      </c>
      <c r="AJ55" s="623" t="s">
        <v>497</v>
      </c>
      <c r="AK55" s="623" t="s">
        <v>498</v>
      </c>
      <c r="AM55" s="624" t="s">
        <v>499</v>
      </c>
      <c r="AN55" s="625" t="s">
        <v>500</v>
      </c>
      <c r="AO55" s="626" t="s">
        <v>501</v>
      </c>
    </row>
    <row r="56" spans="1:41" s="618" customFormat="1" ht="12" customHeight="1">
      <c r="A56" s="627">
        <v>1</v>
      </c>
      <c r="B56" s="628" t="s">
        <v>255</v>
      </c>
      <c r="C56" s="629"/>
      <c r="D56" s="630" t="s">
        <v>506</v>
      </c>
      <c r="E56" s="631">
        <f>IF(AND($A56=0,$A$1="DIF"),0, ROUND(ROUND(($R76*$S$2+($T76*$T$2))/A56,2)*$C$2,2))</f>
        <v>528.28</v>
      </c>
      <c r="F56" s="632">
        <f>ROUND($A56*$E56,2)</f>
        <v>528.28</v>
      </c>
      <c r="G56" s="88" t="s">
        <v>135</v>
      </c>
      <c r="H56" s="2"/>
      <c r="I56" s="633"/>
      <c r="J56" s="2"/>
      <c r="K56" s="2" t="s">
        <v>3</v>
      </c>
      <c r="L56" s="634" t="s">
        <v>136</v>
      </c>
      <c r="M56" s="634"/>
      <c r="N56" s="634"/>
      <c r="O56" s="634"/>
      <c r="P56" s="634"/>
      <c r="Q56" s="616"/>
      <c r="T56" s="635" t="str">
        <f>IF(AND($R76=0,$T76=0),"0.00","mu :" &amp; ROUND($F56/$C$2/($R76+$T76*$D$9),2))</f>
        <v>mu :1</v>
      </c>
      <c r="W56" s="636"/>
      <c r="AG56" s="637">
        <f>IF($E56=0,0,ROUND($R76*$S$2*$C$2/$A56,2))</f>
        <v>333.37</v>
      </c>
      <c r="AH56" s="637">
        <f>$AG56*$A56</f>
        <v>333.37</v>
      </c>
      <c r="AI56" s="638">
        <f>$E56-$AG56</f>
        <v>194.90999999999997</v>
      </c>
      <c r="AJ56" s="638">
        <f>$A56*$AI56</f>
        <v>194.90999999999997</v>
      </c>
      <c r="AK56" s="639">
        <f>ROUND(($AG56+$AI56)*$A56,2)</f>
        <v>528.28</v>
      </c>
      <c r="AM56" s="640">
        <f>ROUND(R76,2)</f>
        <v>333.37</v>
      </c>
      <c r="AN56" s="641">
        <f>ROUND(T76,2)</f>
        <v>6.76</v>
      </c>
      <c r="AO56" s="642">
        <f>ROUND(AM56+AN56,2)*A56</f>
        <v>340.13</v>
      </c>
    </row>
    <row r="57" spans="1:41" s="618" customFormat="1" ht="36">
      <c r="A57" s="616"/>
      <c r="B57" s="616"/>
      <c r="C57" s="616"/>
      <c r="D57" s="744" t="s">
        <v>287</v>
      </c>
      <c r="E57" s="744"/>
      <c r="F57" s="744"/>
      <c r="G57" s="744"/>
      <c r="H57" s="744"/>
      <c r="I57" s="744"/>
      <c r="J57" s="744"/>
      <c r="K57" s="744"/>
      <c r="L57" s="744"/>
      <c r="M57" s="744"/>
      <c r="N57" s="744"/>
      <c r="O57" s="744"/>
      <c r="P57" s="744"/>
      <c r="Q57" s="744"/>
      <c r="R57" s="669"/>
      <c r="S57" s="669"/>
      <c r="T57" s="669"/>
    </row>
    <row r="58" spans="1:41" s="783" customFormat="1" ht="13.2">
      <c r="A58">
        <v>1</v>
      </c>
      <c r="B58" s="783" t="s">
        <v>134</v>
      </c>
      <c r="D58" s="783" t="s">
        <v>846</v>
      </c>
      <c r="G58" s="784" t="s">
        <v>718</v>
      </c>
      <c r="H58" s="785">
        <v>510</v>
      </c>
      <c r="I58" s="783" t="s">
        <v>627</v>
      </c>
      <c r="K58" s="783" t="s">
        <v>719</v>
      </c>
      <c r="O58" s="786">
        <v>2</v>
      </c>
      <c r="P58" s="787"/>
      <c r="Q58" s="788">
        <f>45*0.88</f>
        <v>39.6</v>
      </c>
      <c r="R58" s="789">
        <f t="shared" ref="R58:R69" si="6">$A58*Q58</f>
        <v>39.6</v>
      </c>
      <c r="S58" s="788">
        <f>0.845 *(0.75)</f>
        <v>0.63375000000000004</v>
      </c>
      <c r="T58" s="790">
        <f t="shared" ref="T58:T69" si="7">$A58*S58*$T$1</f>
        <v>0.63375000000000004</v>
      </c>
    </row>
    <row r="59" spans="1:41" s="783" customFormat="1" ht="13.2">
      <c r="A59">
        <v>1</v>
      </c>
      <c r="B59" s="783" t="s">
        <v>134</v>
      </c>
      <c r="D59" s="783" t="s">
        <v>847</v>
      </c>
      <c r="G59" s="784" t="s">
        <v>718</v>
      </c>
      <c r="H59" s="785">
        <v>510</v>
      </c>
      <c r="I59" s="783" t="s">
        <v>627</v>
      </c>
      <c r="K59" s="783" t="s">
        <v>719</v>
      </c>
      <c r="O59" s="786">
        <v>2</v>
      </c>
      <c r="P59" s="787"/>
      <c r="Q59" s="788">
        <f>15.21*0.88</f>
        <v>13.3848</v>
      </c>
      <c r="R59" s="789">
        <f t="shared" si="6"/>
        <v>13.3848</v>
      </c>
      <c r="S59" s="788">
        <f t="shared" ref="S59:S65" si="8">0.845 *(0.25)</f>
        <v>0.21124999999999999</v>
      </c>
      <c r="T59" s="790">
        <f t="shared" si="7"/>
        <v>0.21124999999999999</v>
      </c>
    </row>
    <row r="60" spans="1:41" s="783" customFormat="1" ht="13.2">
      <c r="A60">
        <v>1</v>
      </c>
      <c r="B60" s="783" t="s">
        <v>134</v>
      </c>
      <c r="D60" s="783" t="s">
        <v>720</v>
      </c>
      <c r="G60" s="784" t="s">
        <v>718</v>
      </c>
      <c r="H60" s="785">
        <v>510</v>
      </c>
      <c r="I60" s="783" t="s">
        <v>627</v>
      </c>
      <c r="K60" s="783" t="s">
        <v>719</v>
      </c>
      <c r="O60" s="786">
        <v>2</v>
      </c>
      <c r="P60" s="787"/>
      <c r="Q60" s="788">
        <f>8.5*0.88</f>
        <v>7.48</v>
      </c>
      <c r="R60" s="789">
        <f t="shared" si="6"/>
        <v>7.48</v>
      </c>
      <c r="S60" s="788">
        <f t="shared" si="8"/>
        <v>0.21124999999999999</v>
      </c>
      <c r="T60" s="790">
        <f t="shared" si="7"/>
        <v>0.21124999999999999</v>
      </c>
    </row>
    <row r="61" spans="1:41" s="783" customFormat="1" ht="13.2">
      <c r="A61">
        <v>1</v>
      </c>
      <c r="B61" s="783" t="s">
        <v>134</v>
      </c>
      <c r="D61" s="783" t="s">
        <v>722</v>
      </c>
      <c r="G61" s="784" t="s">
        <v>718</v>
      </c>
      <c r="H61" s="785">
        <v>510</v>
      </c>
      <c r="I61" s="783" t="s">
        <v>627</v>
      </c>
      <c r="K61" s="783" t="s">
        <v>719</v>
      </c>
      <c r="O61" s="786">
        <v>2</v>
      </c>
      <c r="P61" s="787"/>
      <c r="Q61" s="788">
        <f>24*0.88</f>
        <v>21.12</v>
      </c>
      <c r="R61" s="789">
        <f t="shared" si="6"/>
        <v>21.12</v>
      </c>
      <c r="S61" s="788">
        <f t="shared" si="8"/>
        <v>0.21124999999999999</v>
      </c>
      <c r="T61" s="790">
        <f t="shared" si="7"/>
        <v>0.21124999999999999</v>
      </c>
    </row>
    <row r="62" spans="1:41" s="783" customFormat="1" ht="13.2">
      <c r="A62">
        <v>5</v>
      </c>
      <c r="B62" s="783" t="s">
        <v>134</v>
      </c>
      <c r="D62" s="783" t="s">
        <v>721</v>
      </c>
      <c r="G62" s="784" t="s">
        <v>718</v>
      </c>
      <c r="H62" s="785">
        <v>510</v>
      </c>
      <c r="I62" s="783" t="s">
        <v>627</v>
      </c>
      <c r="K62" s="783" t="s">
        <v>719</v>
      </c>
      <c r="O62" s="786">
        <v>2</v>
      </c>
      <c r="P62" s="787"/>
      <c r="Q62" s="788">
        <f t="shared" ref="Q62:Q64" si="9">24*0.88</f>
        <v>21.12</v>
      </c>
      <c r="R62" s="789">
        <f t="shared" si="6"/>
        <v>105.60000000000001</v>
      </c>
      <c r="S62" s="788">
        <f t="shared" si="8"/>
        <v>0.21124999999999999</v>
      </c>
      <c r="T62" s="790">
        <f t="shared" si="7"/>
        <v>1.0562499999999999</v>
      </c>
    </row>
    <row r="63" spans="1:41" s="783" customFormat="1" ht="13.2">
      <c r="A63">
        <v>2</v>
      </c>
      <c r="B63" s="783" t="s">
        <v>134</v>
      </c>
      <c r="D63" s="783" t="s">
        <v>723</v>
      </c>
      <c r="G63" s="784" t="s">
        <v>718</v>
      </c>
      <c r="H63" s="785">
        <v>510</v>
      </c>
      <c r="I63" s="783" t="s">
        <v>627</v>
      </c>
      <c r="K63" s="783" t="s">
        <v>719</v>
      </c>
      <c r="O63" s="786">
        <v>2</v>
      </c>
      <c r="P63" s="787"/>
      <c r="Q63" s="788">
        <f t="shared" si="9"/>
        <v>21.12</v>
      </c>
      <c r="R63" s="789">
        <f t="shared" si="6"/>
        <v>42.24</v>
      </c>
      <c r="S63" s="788">
        <f t="shared" si="8"/>
        <v>0.21124999999999999</v>
      </c>
      <c r="T63" s="790">
        <f t="shared" si="7"/>
        <v>0.42249999999999999</v>
      </c>
    </row>
    <row r="64" spans="1:41" s="783" customFormat="1" ht="13.2">
      <c r="A64">
        <v>2</v>
      </c>
      <c r="B64" s="783" t="s">
        <v>134</v>
      </c>
      <c r="D64" s="783" t="s">
        <v>724</v>
      </c>
      <c r="G64" s="784" t="s">
        <v>718</v>
      </c>
      <c r="H64" s="785">
        <v>510</v>
      </c>
      <c r="I64" s="783" t="s">
        <v>627</v>
      </c>
      <c r="K64" s="783" t="s">
        <v>719</v>
      </c>
      <c r="O64" s="786">
        <v>2</v>
      </c>
      <c r="P64" s="787"/>
      <c r="Q64" s="788">
        <f t="shared" si="9"/>
        <v>21.12</v>
      </c>
      <c r="R64" s="789">
        <f t="shared" si="6"/>
        <v>42.24</v>
      </c>
      <c r="S64" s="788">
        <f t="shared" si="8"/>
        <v>0.21124999999999999</v>
      </c>
      <c r="T64" s="790">
        <f t="shared" si="7"/>
        <v>0.42249999999999999</v>
      </c>
    </row>
    <row r="65" spans="1:41" s="783" customFormat="1" ht="13.2">
      <c r="A65">
        <v>1</v>
      </c>
      <c r="B65" s="783" t="s">
        <v>134</v>
      </c>
      <c r="D65" s="783" t="s">
        <v>725</v>
      </c>
      <c r="G65" s="784" t="s">
        <v>718</v>
      </c>
      <c r="H65" s="785">
        <v>510</v>
      </c>
      <c r="I65" s="783" t="s">
        <v>627</v>
      </c>
      <c r="K65" s="783" t="s">
        <v>719</v>
      </c>
      <c r="O65" s="786">
        <v>2</v>
      </c>
      <c r="P65" s="787"/>
      <c r="Q65" s="788">
        <f>35*0.88</f>
        <v>30.8</v>
      </c>
      <c r="R65" s="789">
        <f t="shared" si="6"/>
        <v>30.8</v>
      </c>
      <c r="S65" s="788">
        <f t="shared" si="8"/>
        <v>0.21124999999999999</v>
      </c>
      <c r="T65" s="790">
        <f t="shared" si="7"/>
        <v>0.21124999999999999</v>
      </c>
    </row>
    <row r="66" spans="1:41" s="783" customFormat="1" ht="13.2">
      <c r="A66">
        <v>30</v>
      </c>
      <c r="B66" s="783" t="s">
        <v>134</v>
      </c>
      <c r="D66" s="783" t="s">
        <v>848</v>
      </c>
      <c r="G66" s="784" t="s">
        <v>718</v>
      </c>
      <c r="H66" s="785">
        <v>510</v>
      </c>
      <c r="I66" s="783" t="s">
        <v>627</v>
      </c>
      <c r="K66" s="783" t="s">
        <v>719</v>
      </c>
      <c r="O66" s="786">
        <v>2</v>
      </c>
      <c r="P66" s="787"/>
      <c r="Q66" s="788">
        <f>0.54*0.88</f>
        <v>0.47520000000000001</v>
      </c>
      <c r="R66" s="789">
        <f t="shared" si="6"/>
        <v>14.256</v>
      </c>
      <c r="S66" s="788"/>
      <c r="T66" s="790">
        <f t="shared" si="7"/>
        <v>0</v>
      </c>
    </row>
    <row r="67" spans="1:41" s="783" customFormat="1" ht="13.2">
      <c r="A67">
        <v>1</v>
      </c>
      <c r="B67" s="783" t="s">
        <v>134</v>
      </c>
      <c r="D67" s="783" t="s">
        <v>726</v>
      </c>
      <c r="F67" s="866" t="s">
        <v>727</v>
      </c>
      <c r="G67" s="784" t="s">
        <v>718</v>
      </c>
      <c r="H67" s="785">
        <v>510</v>
      </c>
      <c r="I67" s="783" t="s">
        <v>627</v>
      </c>
      <c r="K67" s="783" t="s">
        <v>719</v>
      </c>
      <c r="O67" s="786">
        <v>2</v>
      </c>
      <c r="P67" s="787"/>
      <c r="Q67" s="788">
        <v>0</v>
      </c>
      <c r="R67" s="789">
        <f t="shared" si="6"/>
        <v>0</v>
      </c>
      <c r="S67" s="788">
        <f>0.845 *(0.25)</f>
        <v>0.21124999999999999</v>
      </c>
      <c r="T67" s="790">
        <f t="shared" si="7"/>
        <v>0.21124999999999999</v>
      </c>
    </row>
    <row r="68" spans="1:41" s="783" customFormat="1" ht="13.2">
      <c r="A68">
        <v>2</v>
      </c>
      <c r="B68" s="783" t="s">
        <v>134</v>
      </c>
      <c r="D68" s="783" t="s">
        <v>728</v>
      </c>
      <c r="F68" s="866" t="s">
        <v>727</v>
      </c>
      <c r="G68" s="784" t="s">
        <v>718</v>
      </c>
      <c r="H68" s="785">
        <v>510</v>
      </c>
      <c r="I68" s="783" t="s">
        <v>627</v>
      </c>
      <c r="K68" s="783" t="s">
        <v>719</v>
      </c>
      <c r="O68" s="786">
        <v>2</v>
      </c>
      <c r="P68" s="787"/>
      <c r="Q68" s="788">
        <v>0</v>
      </c>
      <c r="R68" s="789">
        <f t="shared" si="6"/>
        <v>0</v>
      </c>
      <c r="S68" s="788">
        <f>0.845 *(0.25)</f>
        <v>0.21124999999999999</v>
      </c>
      <c r="T68" s="790">
        <f t="shared" si="7"/>
        <v>0.42249999999999999</v>
      </c>
    </row>
    <row r="69" spans="1:41" s="783" customFormat="1" ht="13.2">
      <c r="A69">
        <v>5</v>
      </c>
      <c r="B69" s="783" t="s">
        <v>134</v>
      </c>
      <c r="D69" s="783" t="s">
        <v>729</v>
      </c>
      <c r="F69" s="866" t="s">
        <v>727</v>
      </c>
      <c r="G69" s="784" t="s">
        <v>718</v>
      </c>
      <c r="H69" s="785">
        <v>510</v>
      </c>
      <c r="I69" s="783" t="s">
        <v>627</v>
      </c>
      <c r="K69" s="783" t="s">
        <v>719</v>
      </c>
      <c r="O69" s="786">
        <v>2</v>
      </c>
      <c r="P69" s="787"/>
      <c r="Q69" s="788">
        <v>0</v>
      </c>
      <c r="R69" s="789">
        <f t="shared" si="6"/>
        <v>0</v>
      </c>
      <c r="S69" s="788">
        <f>0.845 *(0.25)</f>
        <v>0.21124999999999999</v>
      </c>
      <c r="T69" s="790">
        <f t="shared" si="7"/>
        <v>1.0562499999999999</v>
      </c>
    </row>
    <row r="70" spans="1:41" s="783" customFormat="1" ht="13.2">
      <c r="A70">
        <v>1</v>
      </c>
      <c r="B70" s="783" t="s">
        <v>255</v>
      </c>
      <c r="D70" s="783" t="s">
        <v>730</v>
      </c>
      <c r="G70" s="784" t="s">
        <v>718</v>
      </c>
      <c r="H70" s="785">
        <v>510</v>
      </c>
      <c r="I70" s="783" t="s">
        <v>627</v>
      </c>
      <c r="K70" s="783" t="s">
        <v>719</v>
      </c>
      <c r="O70" s="786">
        <v>2</v>
      </c>
      <c r="P70" s="787"/>
      <c r="Q70" s="788">
        <v>10</v>
      </c>
      <c r="R70" s="789">
        <f t="shared" ref="R70" si="10">$A70*Q70</f>
        <v>10</v>
      </c>
      <c r="S70" s="788">
        <f>0.845 *(2)</f>
        <v>1.69</v>
      </c>
      <c r="T70" s="790">
        <f t="shared" ref="T70" si="11">$A70*S70*$T$1</f>
        <v>1.69</v>
      </c>
    </row>
    <row r="71" spans="1:41" s="783" customFormat="1" ht="13.2">
      <c r="A71" s="105">
        <v>1</v>
      </c>
      <c r="B71" s="783" t="s">
        <v>134</v>
      </c>
      <c r="D71" s="783" t="s">
        <v>731</v>
      </c>
      <c r="G71" s="784" t="s">
        <v>732</v>
      </c>
      <c r="H71" s="785">
        <v>880</v>
      </c>
      <c r="I71" s="783" t="s">
        <v>627</v>
      </c>
      <c r="O71" s="786">
        <v>3</v>
      </c>
      <c r="P71" s="787">
        <v>35443</v>
      </c>
      <c r="Q71" s="788">
        <v>3</v>
      </c>
      <c r="R71" s="789">
        <f>$A71*Q71</f>
        <v>3</v>
      </c>
      <c r="S71" s="788"/>
      <c r="T71" s="790">
        <f>$A71*S71*$T$1</f>
        <v>0</v>
      </c>
    </row>
    <row r="72" spans="1:41" s="783" customFormat="1" ht="13.2">
      <c r="A72" s="105">
        <v>1</v>
      </c>
      <c r="B72" s="783" t="s">
        <v>134</v>
      </c>
      <c r="D72" s="783" t="s">
        <v>733</v>
      </c>
      <c r="G72" s="784" t="s">
        <v>734</v>
      </c>
      <c r="H72" s="785">
        <v>875</v>
      </c>
      <c r="I72" s="783" t="s">
        <v>627</v>
      </c>
      <c r="K72" s="783" t="s">
        <v>735</v>
      </c>
      <c r="O72" s="786">
        <v>3</v>
      </c>
      <c r="P72" s="787">
        <v>34820</v>
      </c>
      <c r="Q72" s="788">
        <v>3.49</v>
      </c>
      <c r="R72" s="789">
        <f>$A72*Q72</f>
        <v>3.49</v>
      </c>
      <c r="S72" s="788"/>
      <c r="T72" s="790">
        <f>$A72*S72*$T$1</f>
        <v>0</v>
      </c>
    </row>
    <row r="73" spans="1:41" s="783" customFormat="1" ht="13.2">
      <c r="A73" s="105">
        <v>4</v>
      </c>
      <c r="B73" s="783" t="s">
        <v>134</v>
      </c>
      <c r="D73" s="783" t="s">
        <v>736</v>
      </c>
      <c r="G73" s="784" t="s">
        <v>737</v>
      </c>
      <c r="H73" s="785">
        <v>875</v>
      </c>
      <c r="I73" s="783" t="s">
        <v>627</v>
      </c>
      <c r="K73" s="783" t="s">
        <v>738</v>
      </c>
      <c r="O73" s="786">
        <v>1</v>
      </c>
      <c r="P73" s="787">
        <v>34669</v>
      </c>
      <c r="Q73" s="788">
        <v>0.02</v>
      </c>
      <c r="R73" s="789">
        <f>$A73*Q73</f>
        <v>0.08</v>
      </c>
      <c r="S73" s="788"/>
      <c r="T73" s="790">
        <f>$A73*S73*$T$1</f>
        <v>0</v>
      </c>
    </row>
    <row r="74" spans="1:41" s="783" customFormat="1" ht="13.2">
      <c r="A74" s="105">
        <v>4</v>
      </c>
      <c r="B74" s="783" t="s">
        <v>134</v>
      </c>
      <c r="D74" s="783" t="s">
        <v>739</v>
      </c>
      <c r="G74" s="784" t="s">
        <v>740</v>
      </c>
      <c r="H74" s="785">
        <v>875</v>
      </c>
      <c r="I74" s="783" t="s">
        <v>627</v>
      </c>
      <c r="K74" s="783" t="s">
        <v>741</v>
      </c>
      <c r="O74" s="786">
        <v>1</v>
      </c>
      <c r="P74" s="787">
        <v>34669</v>
      </c>
      <c r="Q74" s="788">
        <v>0.02</v>
      </c>
      <c r="R74" s="789">
        <f>$A74*Q74</f>
        <v>0.08</v>
      </c>
      <c r="S74" s="788"/>
      <c r="T74" s="790">
        <f>$A74*S74*$T$1</f>
        <v>0</v>
      </c>
    </row>
    <row r="75" spans="1:41" s="618" customFormat="1" ht="12">
      <c r="A75" s="645"/>
      <c r="B75" s="645"/>
      <c r="C75" s="645"/>
      <c r="D75" s="645"/>
      <c r="E75" s="645"/>
      <c r="F75" s="2"/>
      <c r="G75" s="645"/>
      <c r="H75" s="645"/>
      <c r="I75" s="646"/>
      <c r="J75" s="645"/>
      <c r="K75" s="645"/>
      <c r="L75" s="645"/>
      <c r="M75" s="645"/>
      <c r="N75" s="645"/>
      <c r="O75" s="645"/>
      <c r="P75" s="645"/>
      <c r="Q75" s="646"/>
      <c r="R75" s="647">
        <f t="shared" ref="R75" si="12">$A75*Q75</f>
        <v>0</v>
      </c>
      <c r="S75" s="646"/>
      <c r="T75" s="648">
        <f t="shared" ref="T75" si="13">$A75*S75*$T$1</f>
        <v>0</v>
      </c>
    </row>
    <row r="76" spans="1:41" s="618" customFormat="1" ht="12.6" thickBot="1">
      <c r="A76" s="649" t="s">
        <v>137</v>
      </c>
      <c r="B76" s="650">
        <f>(R75+T75)</f>
        <v>0</v>
      </c>
      <c r="C76" s="651"/>
      <c r="D76" s="651"/>
      <c r="E76" s="651"/>
      <c r="F76" s="652"/>
      <c r="G76" s="651" t="s">
        <v>503</v>
      </c>
      <c r="H76" s="651"/>
      <c r="I76" s="653"/>
      <c r="J76" s="651"/>
      <c r="K76" s="651" t="s">
        <v>3</v>
      </c>
      <c r="L76" s="654" t="s">
        <v>136</v>
      </c>
      <c r="M76" s="654"/>
      <c r="N76" s="654"/>
      <c r="O76" s="654"/>
      <c r="P76" s="654"/>
      <c r="Q76" s="655"/>
      <c r="R76" s="656">
        <f>SUM(R57:R75)</f>
        <v>333.37080000000003</v>
      </c>
      <c r="S76" s="651"/>
      <c r="T76" s="656">
        <f>SUM(T57:T75)</f>
        <v>6.76</v>
      </c>
      <c r="U76" s="621"/>
      <c r="V76" s="621"/>
      <c r="W76" s="621"/>
      <c r="X76" s="621"/>
      <c r="Y76" s="621"/>
      <c r="Z76" s="621"/>
      <c r="AA76" s="621"/>
      <c r="AB76" s="621"/>
      <c r="AC76" s="621"/>
      <c r="AD76" s="621"/>
      <c r="AE76" s="621"/>
      <c r="AF76" s="621"/>
      <c r="AG76" s="621"/>
      <c r="AH76" s="621"/>
      <c r="AI76" s="621"/>
      <c r="AJ76" s="621"/>
      <c r="AK76" s="621"/>
      <c r="AL76" s="621"/>
      <c r="AM76" s="621"/>
      <c r="AN76" s="621"/>
      <c r="AO76" s="621"/>
    </row>
    <row r="77" spans="1:41" s="618" customFormat="1" ht="12" thickTop="1">
      <c r="A77" s="616"/>
      <c r="B77" s="622"/>
      <c r="C77" s="616"/>
      <c r="E77" s="37" t="s">
        <v>491</v>
      </c>
      <c r="F77" s="37" t="s">
        <v>492</v>
      </c>
      <c r="G77" s="616"/>
      <c r="H77" s="616"/>
      <c r="I77" s="616"/>
      <c r="J77" s="616"/>
      <c r="K77" s="616" t="s">
        <v>493</v>
      </c>
      <c r="L77" s="616"/>
      <c r="M77" s="616"/>
      <c r="N77" s="616"/>
      <c r="O77" s="617"/>
      <c r="P77" s="616"/>
      <c r="Q77" s="616"/>
      <c r="R77" s="616"/>
      <c r="S77" s="616"/>
      <c r="T77" s="622"/>
      <c r="AG77" s="623" t="s">
        <v>494</v>
      </c>
      <c r="AH77" s="623" t="s">
        <v>495</v>
      </c>
      <c r="AI77" s="623" t="s">
        <v>496</v>
      </c>
      <c r="AJ77" s="623" t="s">
        <v>497</v>
      </c>
      <c r="AK77" s="623" t="s">
        <v>498</v>
      </c>
      <c r="AM77" s="624" t="s">
        <v>499</v>
      </c>
      <c r="AN77" s="625" t="s">
        <v>500</v>
      </c>
      <c r="AO77" s="626" t="s">
        <v>501</v>
      </c>
    </row>
    <row r="78" spans="1:41" s="618" customFormat="1" ht="12" customHeight="1">
      <c r="A78" s="627">
        <v>1</v>
      </c>
      <c r="B78" s="628" t="s">
        <v>255</v>
      </c>
      <c r="C78" s="629"/>
      <c r="D78" s="630" t="s">
        <v>507</v>
      </c>
      <c r="E78" s="631">
        <f>IF(AND($A78=0,$A$1="DIF"),0, ROUND(ROUND(($R83*$S$2+($T83*$T$2))/A78,2)*$C$2,2))</f>
        <v>79.45</v>
      </c>
      <c r="F78" s="632">
        <f>ROUND($A78*$E78,2)</f>
        <v>79.45</v>
      </c>
      <c r="G78" s="88" t="s">
        <v>135</v>
      </c>
      <c r="H78" s="2"/>
      <c r="I78" s="633"/>
      <c r="J78" s="2"/>
      <c r="K78" s="2" t="s">
        <v>3</v>
      </c>
      <c r="L78" s="634" t="s">
        <v>136</v>
      </c>
      <c r="M78" s="634"/>
      <c r="N78" s="634"/>
      <c r="O78" s="634"/>
      <c r="P78" s="634"/>
      <c r="Q78" s="616"/>
      <c r="T78" s="635" t="str">
        <f>IF(AND($R83=0,$T83=0),"0.00","mu :" &amp; ROUND($F78/$C$2/($R83+$T83*$D$9),2))</f>
        <v>mu :1</v>
      </c>
      <c r="W78" s="636"/>
      <c r="AG78" s="637">
        <f>IF($E78=0,0,ROUND($R83*$S$2*$C$2/$A78,2))</f>
        <v>53.87</v>
      </c>
      <c r="AH78" s="637">
        <f>$AG78*$A78</f>
        <v>53.87</v>
      </c>
      <c r="AI78" s="638">
        <f>$E78-$AG78</f>
        <v>25.580000000000005</v>
      </c>
      <c r="AJ78" s="638">
        <f>$A78*$AI78</f>
        <v>25.580000000000005</v>
      </c>
      <c r="AK78" s="639">
        <f>ROUND(($AG78+$AI78)*$A78,2)</f>
        <v>79.45</v>
      </c>
      <c r="AM78" s="640">
        <f>ROUND(R83,2)</f>
        <v>53.87</v>
      </c>
      <c r="AN78" s="641">
        <f>ROUND(T83,2)</f>
        <v>0.89</v>
      </c>
      <c r="AO78" s="642">
        <f>ROUND(AM78+AN78,2)*A78</f>
        <v>54.76</v>
      </c>
    </row>
    <row r="79" spans="1:41" s="618" customFormat="1" ht="24">
      <c r="A79" s="616"/>
      <c r="B79" s="616"/>
      <c r="C79" s="616"/>
      <c r="D79" s="744" t="s">
        <v>288</v>
      </c>
      <c r="E79" s="744"/>
      <c r="F79" s="744"/>
      <c r="G79" s="744"/>
      <c r="H79" s="744"/>
      <c r="I79" s="744"/>
      <c r="J79" s="744"/>
      <c r="K79" s="744" t="s">
        <v>502</v>
      </c>
      <c r="L79" s="744"/>
      <c r="M79" s="744"/>
      <c r="N79" s="744"/>
      <c r="O79" s="744"/>
      <c r="P79" s="744"/>
      <c r="Q79" s="744"/>
      <c r="R79" s="669"/>
      <c r="S79" s="669"/>
      <c r="T79" s="669"/>
    </row>
    <row r="80" spans="1:41" s="783" customFormat="1" ht="13.2">
      <c r="A80" s="105">
        <v>6</v>
      </c>
      <c r="B80" s="783" t="s">
        <v>134</v>
      </c>
      <c r="D80" s="783" t="s">
        <v>742</v>
      </c>
      <c r="F80" s="783" t="s">
        <v>747</v>
      </c>
      <c r="G80" s="784" t="s">
        <v>743</v>
      </c>
      <c r="H80" s="785">
        <v>726</v>
      </c>
      <c r="I80" s="783" t="s">
        <v>744</v>
      </c>
      <c r="M80" s="783">
        <v>0</v>
      </c>
      <c r="N80" s="783">
        <v>0</v>
      </c>
      <c r="O80" s="786">
        <v>3</v>
      </c>
      <c r="P80" s="787">
        <v>41544</v>
      </c>
      <c r="Q80" s="788">
        <v>8.08</v>
      </c>
      <c r="R80" s="789">
        <f>$A80*Q80</f>
        <v>48.480000000000004</v>
      </c>
      <c r="S80" s="788">
        <f>0.845 *(0.15)</f>
        <v>0.12675</v>
      </c>
      <c r="T80" s="790">
        <f>$A80*S80*$T$1</f>
        <v>0.76049999999999995</v>
      </c>
    </row>
    <row r="81" spans="1:41" s="783" customFormat="1" ht="13.2">
      <c r="A81" s="105">
        <v>1</v>
      </c>
      <c r="B81" s="783" t="s">
        <v>134</v>
      </c>
      <c r="D81" s="783" t="s">
        <v>745</v>
      </c>
      <c r="G81" s="784" t="s">
        <v>746</v>
      </c>
      <c r="H81" s="785">
        <v>726</v>
      </c>
      <c r="I81" s="783" t="s">
        <v>627</v>
      </c>
      <c r="O81" s="786">
        <v>3</v>
      </c>
      <c r="P81" s="787">
        <v>38848</v>
      </c>
      <c r="Q81" s="788">
        <f>75.46/14</f>
        <v>5.39</v>
      </c>
      <c r="R81" s="789">
        <f t="shared" ref="R81" si="14">$A81*Q81</f>
        <v>5.39</v>
      </c>
      <c r="S81" s="788">
        <f>0.845 *(0.15)</f>
        <v>0.12675</v>
      </c>
      <c r="T81" s="790">
        <f t="shared" ref="T81" si="15">$A81*S81*$T$1</f>
        <v>0.12675</v>
      </c>
    </row>
    <row r="82" spans="1:41" s="618" customFormat="1" ht="12">
      <c r="A82" s="645"/>
      <c r="B82" s="645"/>
      <c r="C82" s="645"/>
      <c r="D82" s="645"/>
      <c r="E82" s="645"/>
      <c r="F82" s="2"/>
      <c r="G82" s="645"/>
      <c r="H82" s="645"/>
      <c r="I82" s="646"/>
      <c r="J82" s="645"/>
      <c r="K82" s="645"/>
      <c r="L82" s="645"/>
      <c r="M82" s="645"/>
      <c r="N82" s="645"/>
      <c r="O82" s="645"/>
      <c r="P82" s="645"/>
      <c r="Q82" s="646"/>
      <c r="R82" s="647">
        <f t="shared" ref="R82" si="16">$A82*Q82</f>
        <v>0</v>
      </c>
      <c r="S82" s="646"/>
      <c r="T82" s="648">
        <f t="shared" ref="T82" si="17">$A82*S82*$T$1</f>
        <v>0</v>
      </c>
    </row>
    <row r="83" spans="1:41" s="618" customFormat="1" ht="12.6" thickBot="1">
      <c r="A83" s="649" t="s">
        <v>137</v>
      </c>
      <c r="B83" s="650">
        <f>(R82+T82)</f>
        <v>0</v>
      </c>
      <c r="C83" s="651"/>
      <c r="D83" s="651"/>
      <c r="E83" s="651"/>
      <c r="F83" s="652"/>
      <c r="G83" s="651" t="s">
        <v>503</v>
      </c>
      <c r="H83" s="651"/>
      <c r="I83" s="653"/>
      <c r="J83" s="651"/>
      <c r="K83" s="651" t="s">
        <v>3</v>
      </c>
      <c r="L83" s="654" t="s">
        <v>136</v>
      </c>
      <c r="M83" s="654"/>
      <c r="N83" s="654"/>
      <c r="O83" s="654"/>
      <c r="P83" s="654"/>
      <c r="Q83" s="655"/>
      <c r="R83" s="656">
        <f>SUM(R79:R82)</f>
        <v>53.870000000000005</v>
      </c>
      <c r="S83" s="651"/>
      <c r="T83" s="656">
        <f>SUM(T79:T82)</f>
        <v>0.88724999999999998</v>
      </c>
      <c r="U83" s="621"/>
      <c r="V83" s="621"/>
      <c r="W83" s="621"/>
      <c r="X83" s="621"/>
      <c r="Y83" s="621"/>
      <c r="Z83" s="621"/>
      <c r="AA83" s="621"/>
      <c r="AB83" s="621"/>
      <c r="AC83" s="621"/>
      <c r="AD83" s="621"/>
      <c r="AE83" s="621"/>
      <c r="AF83" s="621"/>
      <c r="AG83" s="621"/>
      <c r="AH83" s="621"/>
      <c r="AI83" s="621"/>
      <c r="AJ83" s="621"/>
      <c r="AK83" s="621"/>
      <c r="AL83" s="621"/>
      <c r="AM83" s="621"/>
      <c r="AN83" s="621"/>
      <c r="AO83" s="621"/>
    </row>
    <row r="84" spans="1:41" s="618" customFormat="1" ht="12" thickTop="1">
      <c r="A84" s="616"/>
      <c r="B84" s="622"/>
      <c r="C84" s="616"/>
      <c r="E84" s="37" t="s">
        <v>491</v>
      </c>
      <c r="F84" s="37" t="s">
        <v>492</v>
      </c>
      <c r="G84" s="616"/>
      <c r="H84" s="616"/>
      <c r="I84" s="616"/>
      <c r="J84" s="616"/>
      <c r="K84" s="616" t="s">
        <v>493</v>
      </c>
      <c r="L84" s="616"/>
      <c r="M84" s="616"/>
      <c r="N84" s="616"/>
      <c r="O84" s="617"/>
      <c r="P84" s="616"/>
      <c r="Q84" s="616"/>
      <c r="R84" s="616"/>
      <c r="S84" s="616"/>
      <c r="T84" s="622"/>
      <c r="AG84" s="623" t="s">
        <v>494</v>
      </c>
      <c r="AH84" s="623" t="s">
        <v>495</v>
      </c>
      <c r="AI84" s="623" t="s">
        <v>496</v>
      </c>
      <c r="AJ84" s="623" t="s">
        <v>497</v>
      </c>
      <c r="AK84" s="623" t="s">
        <v>498</v>
      </c>
      <c r="AM84" s="624" t="s">
        <v>499</v>
      </c>
      <c r="AN84" s="625" t="s">
        <v>500</v>
      </c>
      <c r="AO84" s="626" t="s">
        <v>501</v>
      </c>
    </row>
    <row r="85" spans="1:41" s="618" customFormat="1" ht="12" customHeight="1">
      <c r="A85" s="627">
        <v>2</v>
      </c>
      <c r="B85" s="628" t="s">
        <v>255</v>
      </c>
      <c r="C85" s="629"/>
      <c r="D85" s="630" t="s">
        <v>508</v>
      </c>
      <c r="E85" s="631">
        <f>IF(AND($A85=0,$A$1="DIF"),0, ROUND(ROUND(($R89*$S$2+($T89*$T$2))/A85,2)*$C$2,2))</f>
        <v>30.8</v>
      </c>
      <c r="F85" s="632">
        <f>ROUND($A85*$E85,2)</f>
        <v>61.6</v>
      </c>
      <c r="G85" s="88" t="s">
        <v>135</v>
      </c>
      <c r="H85" s="2"/>
      <c r="I85" s="633"/>
      <c r="J85" s="2"/>
      <c r="K85" s="2" t="s">
        <v>3</v>
      </c>
      <c r="L85" s="634" t="s">
        <v>136</v>
      </c>
      <c r="M85" s="634"/>
      <c r="N85" s="634"/>
      <c r="O85" s="634"/>
      <c r="P85" s="634"/>
      <c r="Q85" s="616"/>
      <c r="T85" s="635" t="str">
        <f>IF(AND($R89=0,$T89=0),"0.00","mu :" &amp; ROUND($F85/$C$2/($R89+$T89*$D$9),2))</f>
        <v>mu :1</v>
      </c>
      <c r="W85" s="636"/>
      <c r="AG85" s="637">
        <f>IF($E85=0,0,ROUND($R89*$S$2*$C$2/$A85,2))</f>
        <v>30.8</v>
      </c>
      <c r="AH85" s="637">
        <f>$AG85*$A85</f>
        <v>61.6</v>
      </c>
      <c r="AI85" s="638">
        <f>$E85-$AG85</f>
        <v>0</v>
      </c>
      <c r="AJ85" s="638">
        <f>$A85*$AI85</f>
        <v>0</v>
      </c>
      <c r="AK85" s="639">
        <f>ROUND(($AG85+$AI85)*$A85,2)</f>
        <v>61.6</v>
      </c>
      <c r="AM85" s="640">
        <f>ROUND(R89,2)</f>
        <v>61.6</v>
      </c>
      <c r="AN85" s="641">
        <f>ROUND(T89,2)</f>
        <v>0</v>
      </c>
      <c r="AO85" s="642">
        <f>ROUND(AM85+AN85,2)*A85</f>
        <v>123.2</v>
      </c>
    </row>
    <row r="86" spans="1:41" s="618" customFormat="1" ht="36">
      <c r="A86" s="616"/>
      <c r="B86" s="616"/>
      <c r="C86" s="616"/>
      <c r="D86" s="744" t="s">
        <v>289</v>
      </c>
      <c r="E86" s="744"/>
      <c r="F86" s="744"/>
      <c r="G86" s="744"/>
      <c r="H86" s="744"/>
      <c r="I86" s="744"/>
      <c r="J86" s="744"/>
      <c r="K86" s="744"/>
      <c r="L86" s="744"/>
      <c r="M86" s="744"/>
      <c r="N86" s="744"/>
      <c r="O86" s="744"/>
      <c r="P86" s="744"/>
      <c r="Q86" s="744"/>
      <c r="R86" s="669"/>
      <c r="S86" s="669"/>
      <c r="T86" s="669"/>
    </row>
    <row r="87" spans="1:41" s="783" customFormat="1" ht="13.2">
      <c r="A87">
        <v>2</v>
      </c>
      <c r="B87" s="783" t="s">
        <v>134</v>
      </c>
      <c r="D87" s="783" t="s">
        <v>728</v>
      </c>
      <c r="F87" s="866"/>
      <c r="G87" s="784" t="s">
        <v>718</v>
      </c>
      <c r="H87" s="785">
        <v>510</v>
      </c>
      <c r="I87" s="783" t="s">
        <v>627</v>
      </c>
      <c r="K87" s="783" t="s">
        <v>719</v>
      </c>
      <c r="O87" s="786">
        <v>2</v>
      </c>
      <c r="P87" s="787"/>
      <c r="Q87" s="788">
        <f>35*0.88</f>
        <v>30.8</v>
      </c>
      <c r="R87" s="789">
        <f>$A87*Q87</f>
        <v>61.6</v>
      </c>
      <c r="S87" s="788"/>
      <c r="T87" s="790">
        <f>$A87*S87*$T$1</f>
        <v>0</v>
      </c>
    </row>
    <row r="88" spans="1:41" s="618" customFormat="1" ht="12">
      <c r="A88" s="645"/>
      <c r="B88" s="645"/>
      <c r="C88" s="645"/>
      <c r="D88" s="645"/>
      <c r="E88" s="645"/>
      <c r="F88" s="2"/>
      <c r="G88" s="645"/>
      <c r="H88" s="645"/>
      <c r="I88" s="646"/>
      <c r="J88" s="645"/>
      <c r="K88" s="645"/>
      <c r="L88" s="645"/>
      <c r="M88" s="645"/>
      <c r="N88" s="645"/>
      <c r="O88" s="645"/>
      <c r="P88" s="645"/>
      <c r="Q88" s="646"/>
      <c r="R88" s="647">
        <f t="shared" ref="R88" si="18">$A88*Q88</f>
        <v>0</v>
      </c>
      <c r="S88" s="646"/>
      <c r="T88" s="648">
        <f t="shared" ref="T88" si="19">$A88*S88*$T$1</f>
        <v>0</v>
      </c>
    </row>
    <row r="89" spans="1:41" s="618" customFormat="1" ht="12.6" thickBot="1">
      <c r="A89" s="649" t="s">
        <v>137</v>
      </c>
      <c r="B89" s="650">
        <f>(R88+T88)</f>
        <v>0</v>
      </c>
      <c r="C89" s="651"/>
      <c r="D89" s="651"/>
      <c r="E89" s="651"/>
      <c r="F89" s="652"/>
      <c r="G89" s="651" t="s">
        <v>503</v>
      </c>
      <c r="H89" s="651"/>
      <c r="I89" s="653"/>
      <c r="J89" s="651"/>
      <c r="K89" s="651" t="s">
        <v>3</v>
      </c>
      <c r="L89" s="654" t="s">
        <v>136</v>
      </c>
      <c r="M89" s="654"/>
      <c r="N89" s="654"/>
      <c r="O89" s="654"/>
      <c r="P89" s="654"/>
      <c r="Q89" s="655"/>
      <c r="R89" s="656">
        <f>SUM(R86:R88)</f>
        <v>61.6</v>
      </c>
      <c r="S89" s="651"/>
      <c r="T89" s="656">
        <f>SUM(T86:T88)</f>
        <v>0</v>
      </c>
      <c r="U89" s="621"/>
      <c r="V89" s="621"/>
      <c r="W89" s="621"/>
      <c r="X89" s="621"/>
      <c r="Y89" s="621"/>
      <c r="Z89" s="621"/>
      <c r="AA89" s="621"/>
      <c r="AB89" s="621"/>
      <c r="AC89" s="621"/>
      <c r="AD89" s="621"/>
      <c r="AE89" s="621"/>
      <c r="AF89" s="621"/>
      <c r="AG89" s="621"/>
      <c r="AH89" s="621"/>
      <c r="AI89" s="621"/>
      <c r="AJ89" s="621"/>
      <c r="AK89" s="621"/>
      <c r="AL89" s="621"/>
      <c r="AM89" s="621"/>
      <c r="AN89" s="621"/>
      <c r="AO89" s="621"/>
    </row>
    <row r="90" spans="1:41" s="618" customFormat="1" thickTop="1">
      <c r="A90" s="616"/>
      <c r="B90" s="616"/>
      <c r="C90" s="3"/>
      <c r="D90" s="3"/>
      <c r="E90" s="616"/>
      <c r="F90" s="616"/>
      <c r="G90" s="616"/>
      <c r="H90" s="616"/>
      <c r="I90" s="616"/>
      <c r="J90" s="616"/>
      <c r="K90" s="616" t="s">
        <v>489</v>
      </c>
      <c r="L90" s="616"/>
      <c r="M90" s="616"/>
      <c r="N90" s="616"/>
      <c r="O90" s="617"/>
      <c r="P90" s="616"/>
      <c r="Q90" s="616"/>
      <c r="R90" s="616"/>
      <c r="S90" s="616"/>
      <c r="T90" s="616"/>
    </row>
    <row r="91" spans="1:41" s="618" customFormat="1" ht="12">
      <c r="A91" s="616"/>
      <c r="B91" s="616"/>
      <c r="C91" s="616" t="s">
        <v>490</v>
      </c>
      <c r="D91" s="619"/>
      <c r="E91" s="616"/>
      <c r="F91" s="616"/>
      <c r="G91" s="616"/>
      <c r="H91" s="616"/>
      <c r="I91" s="616"/>
      <c r="J91" s="616"/>
      <c r="K91" s="616"/>
      <c r="L91" s="616"/>
      <c r="M91" s="616"/>
      <c r="N91" s="616"/>
      <c r="O91" s="617"/>
      <c r="P91" s="616"/>
      <c r="Q91" s="616"/>
      <c r="R91" s="616"/>
      <c r="S91" s="616"/>
      <c r="T91" s="616"/>
    </row>
    <row r="92" spans="1:41" s="618" customFormat="1" ht="12">
      <c r="A92" s="616"/>
      <c r="B92" s="616"/>
      <c r="C92" s="616"/>
      <c r="D92" s="619" t="s">
        <v>290</v>
      </c>
      <c r="E92" s="616"/>
      <c r="F92" s="616"/>
      <c r="G92" s="616"/>
      <c r="H92" s="616"/>
      <c r="I92" s="616"/>
      <c r="J92" s="616"/>
      <c r="K92" s="616"/>
      <c r="L92" s="616"/>
      <c r="M92" s="616"/>
      <c r="N92" s="616"/>
      <c r="O92" s="617"/>
      <c r="P92" s="616"/>
      <c r="Q92" s="616"/>
      <c r="R92" s="616"/>
      <c r="S92" s="620"/>
      <c r="T92" s="620"/>
    </row>
    <row r="93" spans="1:41" s="3" customFormat="1" thickBot="1">
      <c r="A93" s="621"/>
      <c r="O93" s="96"/>
    </row>
    <row r="94" spans="1:41" s="618" customFormat="1" thickTop="1">
      <c r="A94" s="616"/>
      <c r="B94" s="616"/>
      <c r="C94" s="3"/>
      <c r="D94" s="3"/>
      <c r="E94" s="616"/>
      <c r="F94" s="616"/>
      <c r="G94" s="616"/>
      <c r="H94" s="616"/>
      <c r="I94" s="616"/>
      <c r="J94" s="616"/>
      <c r="K94" s="616" t="s">
        <v>489</v>
      </c>
      <c r="L94" s="616"/>
      <c r="M94" s="616"/>
      <c r="N94" s="616"/>
      <c r="O94" s="617"/>
      <c r="P94" s="616"/>
      <c r="Q94" s="616"/>
      <c r="R94" s="616"/>
      <c r="S94" s="616"/>
      <c r="T94" s="616"/>
    </row>
    <row r="95" spans="1:41" s="618" customFormat="1" ht="12">
      <c r="A95" s="616"/>
      <c r="B95" s="616"/>
      <c r="C95" s="616" t="s">
        <v>490</v>
      </c>
      <c r="D95" s="619"/>
      <c r="E95" s="616"/>
      <c r="F95" s="616"/>
      <c r="G95" s="616"/>
      <c r="H95" s="616"/>
      <c r="I95" s="616"/>
      <c r="J95" s="616"/>
      <c r="K95" s="616"/>
      <c r="L95" s="616"/>
      <c r="M95" s="616"/>
      <c r="N95" s="616"/>
      <c r="O95" s="617"/>
      <c r="P95" s="616"/>
      <c r="Q95" s="616"/>
      <c r="R95" s="616"/>
      <c r="S95" s="616"/>
      <c r="T95" s="616"/>
    </row>
    <row r="96" spans="1:41" s="618" customFormat="1" ht="12">
      <c r="A96" s="616"/>
      <c r="B96" s="616"/>
      <c r="C96" s="616"/>
      <c r="D96" s="619" t="s">
        <v>291</v>
      </c>
      <c r="E96" s="616"/>
      <c r="F96" s="616"/>
      <c r="G96" s="616"/>
      <c r="H96" s="616"/>
      <c r="I96" s="616"/>
      <c r="J96" s="616"/>
      <c r="K96" s="616"/>
      <c r="L96" s="616"/>
      <c r="M96" s="616"/>
      <c r="N96" s="616"/>
      <c r="O96" s="617"/>
      <c r="P96" s="616"/>
      <c r="Q96" s="616"/>
      <c r="R96" s="616"/>
      <c r="S96" s="620"/>
      <c r="T96" s="620"/>
    </row>
    <row r="97" spans="1:41" s="3" customFormat="1" thickBot="1">
      <c r="A97" s="621"/>
      <c r="O97" s="96"/>
    </row>
    <row r="98" spans="1:41" s="618" customFormat="1" thickTop="1">
      <c r="A98" s="616"/>
      <c r="B98" s="616"/>
      <c r="C98" s="3"/>
      <c r="D98" s="3"/>
      <c r="E98" s="616"/>
      <c r="F98" s="616"/>
      <c r="G98" s="616"/>
      <c r="H98" s="616"/>
      <c r="I98" s="616"/>
      <c r="J98" s="616"/>
      <c r="K98" s="616" t="s">
        <v>489</v>
      </c>
      <c r="L98" s="616"/>
      <c r="M98" s="616"/>
      <c r="N98" s="616"/>
      <c r="O98" s="617"/>
      <c r="P98" s="616"/>
      <c r="Q98" s="616"/>
      <c r="R98" s="616"/>
      <c r="S98" s="616"/>
      <c r="T98" s="616"/>
    </row>
    <row r="99" spans="1:41" s="618" customFormat="1" ht="12">
      <c r="A99" s="616"/>
      <c r="B99" s="616"/>
      <c r="C99" s="616" t="s">
        <v>490</v>
      </c>
      <c r="D99" s="619"/>
      <c r="E99" s="616"/>
      <c r="F99" s="616"/>
      <c r="G99" s="616"/>
      <c r="H99" s="616"/>
      <c r="I99" s="616"/>
      <c r="J99" s="616"/>
      <c r="K99" s="616"/>
      <c r="L99" s="616"/>
      <c r="M99" s="616"/>
      <c r="N99" s="616"/>
      <c r="O99" s="617"/>
      <c r="P99" s="616"/>
      <c r="Q99" s="616"/>
      <c r="R99" s="616"/>
      <c r="S99" s="616"/>
      <c r="T99" s="616"/>
    </row>
    <row r="100" spans="1:41" s="618" customFormat="1" ht="36">
      <c r="A100" s="616"/>
      <c r="B100" s="616"/>
      <c r="C100" s="616"/>
      <c r="D100" s="744" t="s">
        <v>509</v>
      </c>
      <c r="E100" s="744"/>
      <c r="F100" s="744"/>
      <c r="G100" s="744"/>
      <c r="H100" s="744"/>
      <c r="I100" s="744"/>
      <c r="J100" s="744"/>
      <c r="K100" s="744"/>
      <c r="L100" s="744"/>
      <c r="M100" s="744"/>
      <c r="N100" s="744"/>
      <c r="O100" s="744"/>
      <c r="P100" s="744"/>
      <c r="Q100" s="744"/>
      <c r="R100" s="669"/>
      <c r="S100" s="669"/>
      <c r="T100" s="669"/>
    </row>
    <row r="101" spans="1:41" s="3" customFormat="1" thickBot="1">
      <c r="A101" s="621"/>
      <c r="O101" s="96"/>
    </row>
    <row r="102" spans="1:41" s="618" customFormat="1" ht="12" thickTop="1">
      <c r="A102" s="616"/>
      <c r="B102" s="622"/>
      <c r="C102" s="616"/>
      <c r="E102" s="37" t="s">
        <v>491</v>
      </c>
      <c r="F102" s="37" t="s">
        <v>492</v>
      </c>
      <c r="G102" s="616"/>
      <c r="H102" s="616"/>
      <c r="I102" s="616"/>
      <c r="J102" s="616"/>
      <c r="K102" s="616" t="s">
        <v>493</v>
      </c>
      <c r="L102" s="616"/>
      <c r="M102" s="616"/>
      <c r="N102" s="616"/>
      <c r="O102" s="617"/>
      <c r="P102" s="616"/>
      <c r="Q102" s="616"/>
      <c r="R102" s="616"/>
      <c r="S102" s="616"/>
      <c r="T102" s="622"/>
      <c r="AG102" s="623" t="s">
        <v>494</v>
      </c>
      <c r="AH102" s="623" t="s">
        <v>495</v>
      </c>
      <c r="AI102" s="623" t="s">
        <v>496</v>
      </c>
      <c r="AJ102" s="623" t="s">
        <v>497</v>
      </c>
      <c r="AK102" s="623" t="s">
        <v>498</v>
      </c>
      <c r="AM102" s="624" t="s">
        <v>499</v>
      </c>
      <c r="AN102" s="625" t="s">
        <v>500</v>
      </c>
      <c r="AO102" s="626" t="s">
        <v>501</v>
      </c>
    </row>
    <row r="103" spans="1:41" s="618" customFormat="1" ht="12" customHeight="1">
      <c r="A103" s="627">
        <v>3</v>
      </c>
      <c r="B103" s="628" t="s">
        <v>294</v>
      </c>
      <c r="C103" s="629"/>
      <c r="D103" s="630" t="s">
        <v>510</v>
      </c>
      <c r="E103" s="631">
        <f ca="1">IF(AND($A103=0,$A$1="DIF"),0, ROUND(ROUND(($R108*$S$2+($T108*$T$2))/A103,2)*$C$2,2))</f>
        <v>34.89</v>
      </c>
      <c r="F103" s="632">
        <f ca="1">ROUND($A103*$E103,2)</f>
        <v>104.67</v>
      </c>
      <c r="G103" s="88" t="s">
        <v>135</v>
      </c>
      <c r="H103" s="2"/>
      <c r="I103" s="633"/>
      <c r="J103" s="2"/>
      <c r="K103" s="2" t="s">
        <v>3</v>
      </c>
      <c r="L103" s="634" t="s">
        <v>136</v>
      </c>
      <c r="M103" s="634"/>
      <c r="N103" s="634"/>
      <c r="O103" s="634"/>
      <c r="P103" s="634"/>
      <c r="Q103" s="616"/>
      <c r="T103" s="635" t="str">
        <f ca="1">IF(AND($R108=0,$T108=0),"0.00","mu :" &amp; ROUND($F103/$C$2/($R108+$T108*$D$9),2))</f>
        <v>mu :1</v>
      </c>
      <c r="W103" s="636"/>
      <c r="AG103" s="637">
        <f ca="1">IF($E103=0,0,ROUND($R108*$S$2*$C$2/$A103,2))</f>
        <v>9.52</v>
      </c>
      <c r="AH103" s="637">
        <f ca="1">$AG103*$A103</f>
        <v>28.56</v>
      </c>
      <c r="AI103" s="638">
        <f ca="1">$E103-$AG103</f>
        <v>25.37</v>
      </c>
      <c r="AJ103" s="638">
        <f ca="1">$A103*$AI103</f>
        <v>76.11</v>
      </c>
      <c r="AK103" s="639">
        <f ca="1">ROUND(($AG103+$AI103)*$A103,2)</f>
        <v>104.67</v>
      </c>
      <c r="AM103" s="640">
        <f ca="1">ROUND(R108,2)</f>
        <v>28.56</v>
      </c>
      <c r="AN103" s="641">
        <f ca="1">ROUND(T108,2)</f>
        <v>2.64</v>
      </c>
      <c r="AO103" s="642">
        <f ca="1">ROUND(AM103+AN103,2)*A103</f>
        <v>93.6</v>
      </c>
    </row>
    <row r="104" spans="1:41" s="618" customFormat="1" ht="13.2">
      <c r="A104" s="629"/>
      <c r="B104"/>
      <c r="C104" s="629"/>
      <c r="D104" s="630" t="s">
        <v>293</v>
      </c>
      <c r="F104" s="2"/>
      <c r="G104" s="3"/>
      <c r="H104" s="2"/>
      <c r="I104" s="633"/>
      <c r="J104" s="2"/>
      <c r="K104" s="2" t="s">
        <v>502</v>
      </c>
      <c r="L104" s="2"/>
      <c r="M104" s="2"/>
      <c r="N104" s="2"/>
      <c r="O104" s="2"/>
      <c r="P104" s="2"/>
      <c r="Q104" s="616"/>
      <c r="R104" s="643"/>
      <c r="S104" s="644"/>
      <c r="T104" s="2"/>
    </row>
    <row r="105" spans="1:41" s="753" customFormat="1" ht="13.2">
      <c r="A105"/>
      <c r="B105" s="824"/>
      <c r="C105" s="824" t="s">
        <v>677</v>
      </c>
      <c r="D105" s="824" t="str">
        <f ca="1">CELL("Address",Elec_Rates!D$38)</f>
        <v>[EL25_0700_Mock_Up_Room_Elec_Estim.xlsx]Elec_Rates!$D$38</v>
      </c>
      <c r="E105" s="825"/>
      <c r="F105" s="825"/>
      <c r="G105" s="826" t="s">
        <v>678</v>
      </c>
      <c r="H105" s="826"/>
      <c r="I105" s="826"/>
      <c r="J105" s="826"/>
      <c r="K105" s="827"/>
      <c r="L105" s="825"/>
      <c r="M105" s="825"/>
      <c r="N105" s="825"/>
      <c r="O105" s="828"/>
      <c r="P105" s="825"/>
      <c r="Q105" s="829"/>
      <c r="R105" s="830"/>
      <c r="S105" s="829"/>
      <c r="T105" s="831"/>
      <c r="U105" s="832"/>
    </row>
    <row r="106" spans="1:41" s="753" customFormat="1" ht="11.4">
      <c r="A106" s="833">
        <v>3</v>
      </c>
      <c r="B106" s="834">
        <v>1</v>
      </c>
      <c r="C106" s="834">
        <f>$A106*$B106</f>
        <v>3</v>
      </c>
      <c r="D106" s="835" t="str">
        <f>Elec_Rates!$D$38</f>
        <v>004# Power Point in LSZH Conduit</v>
      </c>
      <c r="E106" s="835"/>
      <c r="F106" s="835"/>
      <c r="G106" s="836" t="s">
        <v>679</v>
      </c>
      <c r="H106" s="836"/>
      <c r="I106" s="836"/>
      <c r="J106" s="836"/>
      <c r="K106" s="837"/>
      <c r="L106" s="832"/>
      <c r="M106" s="832"/>
      <c r="N106" s="832"/>
      <c r="O106" s="838"/>
      <c r="P106" s="835"/>
      <c r="Q106" s="839">
        <f ca="1">$B106*Elec_Rates!$R$38</f>
        <v>9.52</v>
      </c>
      <c r="R106" s="830">
        <f ca="1">$A106*Q106</f>
        <v>28.56</v>
      </c>
      <c r="S106" s="839">
        <f ca="1">$B106*Elec_Rates!$T$38</f>
        <v>0.88</v>
      </c>
      <c r="T106" s="831">
        <f ca="1">$A106*S106</f>
        <v>2.64</v>
      </c>
      <c r="U106" s="840"/>
    </row>
    <row r="107" spans="1:41" s="618" customFormat="1" ht="12">
      <c r="A107" s="645"/>
      <c r="B107" s="645"/>
      <c r="C107" s="645"/>
      <c r="D107" s="645"/>
      <c r="E107" s="645"/>
      <c r="F107" s="2"/>
      <c r="G107" s="645"/>
      <c r="H107" s="645"/>
      <c r="I107" s="646"/>
      <c r="J107" s="645"/>
      <c r="K107" s="645"/>
      <c r="L107" s="645"/>
      <c r="M107" s="645"/>
      <c r="N107" s="645"/>
      <c r="O107" s="645"/>
      <c r="P107" s="645"/>
      <c r="Q107" s="646"/>
      <c r="R107" s="647">
        <f t="shared" ref="R107" si="20">$A107*Q107</f>
        <v>0</v>
      </c>
      <c r="S107" s="646"/>
      <c r="T107" s="648">
        <f t="shared" ref="T107" si="21">$A107*S107*$T$1</f>
        <v>0</v>
      </c>
    </row>
    <row r="108" spans="1:41" s="618" customFormat="1" ht="12.6" thickBot="1">
      <c r="A108" s="649" t="s">
        <v>137</v>
      </c>
      <c r="B108" s="650">
        <f>(R107+T107)</f>
        <v>0</v>
      </c>
      <c r="C108" s="651"/>
      <c r="D108" s="651"/>
      <c r="E108" s="651"/>
      <c r="F108" s="652"/>
      <c r="G108" s="651" t="s">
        <v>503</v>
      </c>
      <c r="H108" s="651"/>
      <c r="I108" s="653"/>
      <c r="J108" s="651"/>
      <c r="K108" s="651" t="s">
        <v>3</v>
      </c>
      <c r="L108" s="654" t="s">
        <v>136</v>
      </c>
      <c r="M108" s="654"/>
      <c r="N108" s="654"/>
      <c r="O108" s="654"/>
      <c r="P108" s="654"/>
      <c r="Q108" s="655"/>
      <c r="R108" s="656">
        <f ca="1">SUM(R104:R107)</f>
        <v>28.56</v>
      </c>
      <c r="S108" s="651"/>
      <c r="T108" s="656">
        <f ca="1">SUM(T104:T107)</f>
        <v>2.64</v>
      </c>
      <c r="U108" s="621"/>
      <c r="V108" s="621"/>
      <c r="W108" s="621"/>
      <c r="X108" s="621"/>
      <c r="Y108" s="621"/>
      <c r="Z108" s="621"/>
      <c r="AA108" s="621"/>
      <c r="AB108" s="621"/>
      <c r="AC108" s="621"/>
      <c r="AD108" s="621"/>
      <c r="AE108" s="621"/>
      <c r="AF108" s="621"/>
      <c r="AG108" s="621"/>
      <c r="AH108" s="621"/>
      <c r="AI108" s="621"/>
      <c r="AJ108" s="621"/>
      <c r="AK108" s="621"/>
      <c r="AL108" s="621"/>
      <c r="AM108" s="621"/>
      <c r="AN108" s="621"/>
      <c r="AO108" s="621"/>
    </row>
    <row r="109" spans="1:41" s="618" customFormat="1" ht="12" thickTop="1">
      <c r="A109" s="616"/>
      <c r="B109" s="622"/>
      <c r="C109" s="616"/>
      <c r="E109" s="37" t="s">
        <v>491</v>
      </c>
      <c r="F109" s="37" t="s">
        <v>492</v>
      </c>
      <c r="G109" s="616"/>
      <c r="H109" s="616"/>
      <c r="I109" s="616"/>
      <c r="J109" s="616"/>
      <c r="K109" s="616" t="s">
        <v>493</v>
      </c>
      <c r="L109" s="616"/>
      <c r="M109" s="616"/>
      <c r="N109" s="616"/>
      <c r="O109" s="617"/>
      <c r="P109" s="616"/>
      <c r="Q109" s="616"/>
      <c r="R109" s="616"/>
      <c r="S109" s="616"/>
      <c r="T109" s="622"/>
      <c r="AG109" s="623" t="s">
        <v>494</v>
      </c>
      <c r="AH109" s="623" t="s">
        <v>495</v>
      </c>
      <c r="AI109" s="623" t="s">
        <v>496</v>
      </c>
      <c r="AJ109" s="623" t="s">
        <v>497</v>
      </c>
      <c r="AK109" s="623" t="s">
        <v>498</v>
      </c>
      <c r="AM109" s="624" t="s">
        <v>499</v>
      </c>
      <c r="AN109" s="625" t="s">
        <v>500</v>
      </c>
      <c r="AO109" s="626" t="s">
        <v>501</v>
      </c>
    </row>
    <row r="110" spans="1:41" s="618" customFormat="1" ht="12" customHeight="1">
      <c r="A110" s="627">
        <v>11</v>
      </c>
      <c r="B110" s="628" t="s">
        <v>294</v>
      </c>
      <c r="C110" s="629"/>
      <c r="D110" s="630" t="s">
        <v>511</v>
      </c>
      <c r="E110" s="631">
        <f>IF(AND($A110=0,$A$1="DIF"),0, ROUND(ROUND(($R117*$S$2+($T117*$T$2))/A110,2)*$C$2,2))</f>
        <v>19.809999999999999</v>
      </c>
      <c r="F110" s="632">
        <f>ROUND($A110*$E110,2)</f>
        <v>217.91</v>
      </c>
      <c r="G110" s="88" t="s">
        <v>135</v>
      </c>
      <c r="H110" s="2"/>
      <c r="I110" s="633"/>
      <c r="J110" s="2"/>
      <c r="K110" s="2" t="s">
        <v>3</v>
      </c>
      <c r="L110" s="634" t="s">
        <v>136</v>
      </c>
      <c r="M110" s="634"/>
      <c r="N110" s="634"/>
      <c r="O110" s="634"/>
      <c r="P110" s="634"/>
      <c r="Q110" s="616"/>
      <c r="T110" s="635" t="str">
        <f>IF(AND($R117=0,$T117=0),"0.00","mu :" &amp; ROUND($F110/$C$2/($R117+$T117*$D$9),2))</f>
        <v>mu :1</v>
      </c>
      <c r="W110" s="636"/>
      <c r="AG110" s="637">
        <f>IF($E110=0,0,ROUND($R117*$S$2*$C$2/$A110,2))</f>
        <v>4.72</v>
      </c>
      <c r="AH110" s="637">
        <f>$AG110*$A110</f>
        <v>51.919999999999995</v>
      </c>
      <c r="AI110" s="638">
        <f>$E110-$AG110</f>
        <v>15.09</v>
      </c>
      <c r="AJ110" s="638">
        <f>$A110*$AI110</f>
        <v>165.99</v>
      </c>
      <c r="AK110" s="639">
        <f>ROUND(($AG110+$AI110)*$A110,2)</f>
        <v>217.91</v>
      </c>
      <c r="AM110" s="640">
        <f>ROUND(R117,2)</f>
        <v>51.92</v>
      </c>
      <c r="AN110" s="641">
        <f>ROUND(T117,2)</f>
        <v>5.76</v>
      </c>
      <c r="AO110" s="642">
        <f>ROUND(AM110+AN110,2)*A110</f>
        <v>634.48</v>
      </c>
    </row>
    <row r="111" spans="1:41" s="618" customFormat="1" ht="13.2">
      <c r="A111" s="629"/>
      <c r="B111"/>
      <c r="C111" s="629"/>
      <c r="D111" s="630" t="s">
        <v>295</v>
      </c>
      <c r="F111" s="2"/>
      <c r="G111" s="3"/>
      <c r="H111" s="2"/>
      <c r="I111" s="633"/>
      <c r="J111" s="2"/>
      <c r="K111" s="2" t="s">
        <v>502</v>
      </c>
      <c r="L111" s="2"/>
      <c r="M111" s="2"/>
      <c r="N111" s="2"/>
      <c r="O111" s="2"/>
      <c r="P111" s="2"/>
      <c r="Q111" s="616"/>
      <c r="R111" s="643"/>
      <c r="S111" s="644"/>
      <c r="T111" s="2"/>
    </row>
    <row r="112" spans="1:41" s="783" customFormat="1" ht="11.4">
      <c r="A112" s="4">
        <v>22</v>
      </c>
      <c r="B112" s="783" t="s">
        <v>284</v>
      </c>
      <c r="D112" s="783" t="s">
        <v>621</v>
      </c>
      <c r="G112" s="784" t="s">
        <v>622</v>
      </c>
      <c r="H112" s="785">
        <v>700</v>
      </c>
      <c r="I112" s="783" t="s">
        <v>623</v>
      </c>
      <c r="J112" s="783" t="s">
        <v>624</v>
      </c>
      <c r="O112" s="786">
        <v>1</v>
      </c>
      <c r="P112" s="787">
        <v>42213</v>
      </c>
      <c r="Q112" s="788">
        <v>0.67</v>
      </c>
      <c r="R112" s="789">
        <f>$A112*Q112</f>
        <v>14.74</v>
      </c>
      <c r="S112" s="788">
        <f>0.845 *(0.13)</f>
        <v>0.10985</v>
      </c>
      <c r="T112" s="790">
        <f>$A112*S112*$T$1</f>
        <v>2.4167000000000001</v>
      </c>
    </row>
    <row r="113" spans="1:41" s="783" customFormat="1" ht="11.4">
      <c r="A113" s="4">
        <v>11</v>
      </c>
      <c r="B113" s="783" t="s">
        <v>284</v>
      </c>
      <c r="D113" s="783" t="s">
        <v>676</v>
      </c>
      <c r="G113" s="784" t="s">
        <v>622</v>
      </c>
      <c r="H113" s="785">
        <v>700</v>
      </c>
      <c r="I113" s="783" t="s">
        <v>623</v>
      </c>
      <c r="J113" s="783" t="s">
        <v>624</v>
      </c>
      <c r="O113" s="786">
        <v>1</v>
      </c>
      <c r="P113" s="787">
        <v>42213</v>
      </c>
      <c r="Q113" s="788">
        <v>0.41</v>
      </c>
      <c r="R113" s="789">
        <f>$A113*Q113</f>
        <v>4.51</v>
      </c>
      <c r="S113" s="788">
        <f>0.845 *(0.13)</f>
        <v>0.10985</v>
      </c>
      <c r="T113" s="790">
        <f>$A113*S113*$T$1</f>
        <v>1.20835</v>
      </c>
    </row>
    <row r="114" spans="1:41" s="783" customFormat="1" ht="13.2">
      <c r="A114" s="105">
        <v>8</v>
      </c>
      <c r="B114" s="783" t="s">
        <v>134</v>
      </c>
      <c r="D114" s="783" t="s">
        <v>755</v>
      </c>
      <c r="G114" s="784" t="s">
        <v>756</v>
      </c>
      <c r="H114" s="785">
        <v>700</v>
      </c>
      <c r="I114" s="783" t="s">
        <v>627</v>
      </c>
      <c r="J114" s="783" t="s">
        <v>757</v>
      </c>
      <c r="O114" s="786">
        <v>1</v>
      </c>
      <c r="P114" s="787">
        <v>38146</v>
      </c>
      <c r="Q114" s="788">
        <v>1.98</v>
      </c>
      <c r="R114" s="789">
        <f>$A114*Q114</f>
        <v>15.84</v>
      </c>
      <c r="S114" s="788">
        <f>0.845 *(0.13)</f>
        <v>0.10985</v>
      </c>
      <c r="T114" s="790">
        <f>$A114*S114*$T$1</f>
        <v>0.87880000000000003</v>
      </c>
    </row>
    <row r="115" spans="1:41" s="783" customFormat="1" ht="11.4">
      <c r="A115" s="4">
        <f>33*3</f>
        <v>99</v>
      </c>
      <c r="B115" s="783" t="s">
        <v>284</v>
      </c>
      <c r="D115" s="783" t="s">
        <v>752</v>
      </c>
      <c r="G115" s="784" t="s">
        <v>753</v>
      </c>
      <c r="H115" s="785">
        <v>615</v>
      </c>
      <c r="I115" s="783" t="s">
        <v>682</v>
      </c>
      <c r="K115" s="783" t="s">
        <v>754</v>
      </c>
      <c r="O115" s="786">
        <v>2</v>
      </c>
      <c r="P115" s="787">
        <v>38988</v>
      </c>
      <c r="Q115" s="788">
        <v>0.17</v>
      </c>
      <c r="R115" s="789">
        <f t="shared" ref="R115" si="22">$A115*Q115</f>
        <v>16.830000000000002</v>
      </c>
      <c r="S115" s="788">
        <f>0.845 *(0.015)</f>
        <v>1.2674999999999999E-2</v>
      </c>
      <c r="T115" s="790">
        <f t="shared" ref="T115" si="23">$A115*S115*$T$1</f>
        <v>1.2548249999999999</v>
      </c>
    </row>
    <row r="116" spans="1:41" s="618" customFormat="1" ht="12">
      <c r="A116" s="645"/>
      <c r="B116" s="645"/>
      <c r="C116" s="645"/>
      <c r="D116" s="645"/>
      <c r="E116" s="645"/>
      <c r="F116" s="2"/>
      <c r="G116" s="645"/>
      <c r="H116" s="645"/>
      <c r="I116" s="646"/>
      <c r="J116" s="645"/>
      <c r="K116" s="645"/>
      <c r="L116" s="645"/>
      <c r="M116" s="645"/>
      <c r="N116" s="645"/>
      <c r="O116" s="645"/>
      <c r="P116" s="645"/>
      <c r="Q116" s="646"/>
      <c r="R116" s="647">
        <f t="shared" ref="R116" si="24">$A116*Q116</f>
        <v>0</v>
      </c>
      <c r="S116" s="646"/>
      <c r="T116" s="648">
        <f t="shared" ref="T116" si="25">$A116*S116*$T$1</f>
        <v>0</v>
      </c>
    </row>
    <row r="117" spans="1:41" s="618" customFormat="1" ht="12.6" thickBot="1">
      <c r="A117" s="649" t="s">
        <v>137</v>
      </c>
      <c r="B117" s="650">
        <f>(R116+T116)</f>
        <v>0</v>
      </c>
      <c r="C117" s="651"/>
      <c r="D117" s="651"/>
      <c r="E117" s="651"/>
      <c r="F117" s="652"/>
      <c r="G117" s="651" t="s">
        <v>503</v>
      </c>
      <c r="H117" s="651"/>
      <c r="I117" s="653"/>
      <c r="J117" s="651"/>
      <c r="K117" s="651" t="s">
        <v>3</v>
      </c>
      <c r="L117" s="654" t="s">
        <v>136</v>
      </c>
      <c r="M117" s="654"/>
      <c r="N117" s="654"/>
      <c r="O117" s="654"/>
      <c r="P117" s="654"/>
      <c r="Q117" s="655"/>
      <c r="R117" s="656">
        <f>SUM(R111:R116)</f>
        <v>51.92</v>
      </c>
      <c r="S117" s="651"/>
      <c r="T117" s="656">
        <f>SUM(T111:T116)</f>
        <v>5.7586750000000002</v>
      </c>
      <c r="U117" s="621"/>
      <c r="V117" s="621"/>
      <c r="W117" s="621"/>
      <c r="X117" s="621"/>
      <c r="Y117" s="621"/>
      <c r="Z117" s="621"/>
      <c r="AA117" s="621"/>
      <c r="AB117" s="621"/>
      <c r="AC117" s="621"/>
      <c r="AD117" s="621"/>
      <c r="AE117" s="621"/>
      <c r="AF117" s="621"/>
      <c r="AG117" s="621"/>
      <c r="AH117" s="621"/>
      <c r="AI117" s="621"/>
      <c r="AJ117" s="621"/>
      <c r="AK117" s="621"/>
      <c r="AL117" s="621"/>
      <c r="AM117" s="621"/>
      <c r="AN117" s="621"/>
      <c r="AO117" s="621"/>
    </row>
    <row r="118" spans="1:41" s="618" customFormat="1" ht="12" thickTop="1">
      <c r="A118" s="616"/>
      <c r="B118" s="622"/>
      <c r="C118" s="616"/>
      <c r="E118" s="37" t="s">
        <v>491</v>
      </c>
      <c r="F118" s="37" t="s">
        <v>492</v>
      </c>
      <c r="G118" s="616"/>
      <c r="H118" s="616"/>
      <c r="I118" s="616"/>
      <c r="J118" s="616"/>
      <c r="K118" s="616" t="s">
        <v>493</v>
      </c>
      <c r="L118" s="616"/>
      <c r="M118" s="616"/>
      <c r="N118" s="616"/>
      <c r="O118" s="617"/>
      <c r="P118" s="616"/>
      <c r="Q118" s="616"/>
      <c r="R118" s="616"/>
      <c r="S118" s="616"/>
      <c r="T118" s="622"/>
      <c r="AG118" s="623" t="s">
        <v>494</v>
      </c>
      <c r="AH118" s="623" t="s">
        <v>495</v>
      </c>
      <c r="AI118" s="623" t="s">
        <v>496</v>
      </c>
      <c r="AJ118" s="623" t="s">
        <v>497</v>
      </c>
      <c r="AK118" s="623" t="s">
        <v>498</v>
      </c>
      <c r="AM118" s="624" t="s">
        <v>499</v>
      </c>
      <c r="AN118" s="625" t="s">
        <v>500</v>
      </c>
      <c r="AO118" s="626" t="s">
        <v>501</v>
      </c>
    </row>
    <row r="119" spans="1:41" s="618" customFormat="1" ht="12" customHeight="1">
      <c r="A119" s="627">
        <v>1</v>
      </c>
      <c r="B119" s="628" t="s">
        <v>294</v>
      </c>
      <c r="C119" s="629"/>
      <c r="D119" s="630" t="s">
        <v>512</v>
      </c>
      <c r="E119" s="631">
        <f>IF(AND($A119=0,$A$1="DIF"),0, ROUND(ROUND(($R124*$S$2+($T124*$T$2))/A119,2)*$C$2,2))</f>
        <v>0</v>
      </c>
      <c r="F119" s="632">
        <f>ROUND($A119*$E119,2)</f>
        <v>0</v>
      </c>
      <c r="G119" s="88" t="s">
        <v>135</v>
      </c>
      <c r="H119" s="2"/>
      <c r="I119" s="633"/>
      <c r="J119" s="2"/>
      <c r="K119" s="2" t="s">
        <v>3</v>
      </c>
      <c r="L119" s="634" t="s">
        <v>136</v>
      </c>
      <c r="M119" s="634"/>
      <c r="N119" s="634"/>
      <c r="O119" s="634"/>
      <c r="P119" s="634"/>
      <c r="Q119" s="616" t="s">
        <v>750</v>
      </c>
      <c r="T119" s="635" t="str">
        <f>IF(AND($R124=0,$T124=0),"0.00","mu :" &amp; ROUND($F119/$C$2/($R124+$T124*$D$9),2))</f>
        <v>0.00</v>
      </c>
      <c r="W119" s="636"/>
      <c r="AG119" s="637">
        <f>IF($E119=0,0,ROUND($R124*$S$2*$C$2/$A119,2))</f>
        <v>0</v>
      </c>
      <c r="AH119" s="637">
        <f>$AG119*$A119</f>
        <v>0</v>
      </c>
      <c r="AI119" s="638">
        <f>$E119-$AG119</f>
        <v>0</v>
      </c>
      <c r="AJ119" s="638">
        <f>$A119*$AI119</f>
        <v>0</v>
      </c>
      <c r="AK119" s="639">
        <f>ROUND(($AG119+$AI119)*$A119,2)</f>
        <v>0</v>
      </c>
      <c r="AM119" s="640">
        <f>ROUND(R124,2)</f>
        <v>0</v>
      </c>
      <c r="AN119" s="641">
        <f>ROUND(T124,2)</f>
        <v>0</v>
      </c>
      <c r="AO119" s="642">
        <f>ROUND(AM119+AN119,2)*A119</f>
        <v>0</v>
      </c>
    </row>
    <row r="120" spans="1:41" s="618" customFormat="1" ht="13.2">
      <c r="A120" s="629"/>
      <c r="B120"/>
      <c r="C120" s="629"/>
      <c r="D120" s="630" t="s">
        <v>296</v>
      </c>
      <c r="F120" s="2"/>
      <c r="G120" s="3"/>
      <c r="H120" s="2"/>
      <c r="I120" s="633"/>
      <c r="J120" s="2"/>
      <c r="K120" s="2" t="s">
        <v>502</v>
      </c>
      <c r="L120" s="2"/>
      <c r="M120" s="2"/>
      <c r="N120" s="2"/>
      <c r="O120" s="2"/>
      <c r="P120" s="2"/>
      <c r="Q120" s="616"/>
      <c r="R120" s="643"/>
      <c r="S120" s="644"/>
      <c r="T120" s="2"/>
    </row>
    <row r="121" spans="1:41" s="618" customFormat="1" ht="12">
      <c r="A121" s="616"/>
      <c r="B121" s="645"/>
      <c r="C121" s="645"/>
      <c r="D121" s="645"/>
      <c r="E121" s="645"/>
      <c r="F121" s="2"/>
      <c r="G121" s="645"/>
      <c r="H121" s="645"/>
      <c r="I121" s="646"/>
      <c r="J121" s="645"/>
      <c r="K121" s="645"/>
      <c r="L121" s="645"/>
      <c r="M121" s="645"/>
      <c r="N121" s="645"/>
      <c r="O121" s="645"/>
      <c r="P121" s="645"/>
      <c r="Q121" s="646"/>
      <c r="R121" s="647">
        <f t="shared" ref="R121:R123" si="26">$A121*Q121</f>
        <v>0</v>
      </c>
      <c r="S121" s="646"/>
      <c r="T121" s="648">
        <f t="shared" ref="T121:T123" si="27">$A121*S121*$T$1</f>
        <v>0</v>
      </c>
    </row>
    <row r="122" spans="1:41" s="618" customFormat="1" ht="12">
      <c r="A122" s="616"/>
      <c r="B122" s="645"/>
      <c r="C122" s="645"/>
      <c r="D122" s="616" t="s">
        <v>750</v>
      </c>
      <c r="E122" s="645"/>
      <c r="F122" s="2"/>
      <c r="G122" s="645"/>
      <c r="H122" s="645"/>
      <c r="I122" s="646"/>
      <c r="J122" s="645"/>
      <c r="K122" s="645"/>
      <c r="L122" s="645"/>
      <c r="M122" s="645"/>
      <c r="N122" s="645"/>
      <c r="O122" s="645"/>
      <c r="P122" s="645"/>
      <c r="Q122" s="646"/>
      <c r="R122" s="647">
        <f t="shared" si="26"/>
        <v>0</v>
      </c>
      <c r="S122" s="646"/>
      <c r="T122" s="648">
        <f t="shared" si="27"/>
        <v>0</v>
      </c>
    </row>
    <row r="123" spans="1:41" s="618" customFormat="1" ht="12">
      <c r="A123" s="645"/>
      <c r="B123" s="645"/>
      <c r="C123" s="645"/>
      <c r="D123" s="645"/>
      <c r="E123" s="645"/>
      <c r="F123" s="2"/>
      <c r="G123" s="645"/>
      <c r="H123" s="645"/>
      <c r="I123" s="646"/>
      <c r="J123" s="645"/>
      <c r="K123" s="645"/>
      <c r="L123" s="645"/>
      <c r="M123" s="645"/>
      <c r="N123" s="645"/>
      <c r="O123" s="645"/>
      <c r="P123" s="645"/>
      <c r="Q123" s="646"/>
      <c r="R123" s="647">
        <f t="shared" si="26"/>
        <v>0</v>
      </c>
      <c r="S123" s="646"/>
      <c r="T123" s="648">
        <f t="shared" si="27"/>
        <v>0</v>
      </c>
    </row>
    <row r="124" spans="1:41" s="618" customFormat="1" ht="12.6" thickBot="1">
      <c r="A124" s="649" t="s">
        <v>137</v>
      </c>
      <c r="B124" s="650">
        <f>(R123+T123)</f>
        <v>0</v>
      </c>
      <c r="C124" s="651"/>
      <c r="D124" s="651"/>
      <c r="E124" s="651"/>
      <c r="F124" s="652"/>
      <c r="G124" s="651" t="s">
        <v>503</v>
      </c>
      <c r="H124" s="651"/>
      <c r="I124" s="653"/>
      <c r="J124" s="651"/>
      <c r="K124" s="651" t="s">
        <v>3</v>
      </c>
      <c r="L124" s="654" t="s">
        <v>136</v>
      </c>
      <c r="M124" s="654"/>
      <c r="N124" s="654"/>
      <c r="O124" s="654"/>
      <c r="P124" s="654"/>
      <c r="Q124" s="655"/>
      <c r="R124" s="656">
        <f>SUM(R120:R123)</f>
        <v>0</v>
      </c>
      <c r="S124" s="651"/>
      <c r="T124" s="656">
        <f>SUM(T120:T123)</f>
        <v>0</v>
      </c>
      <c r="U124" s="621"/>
      <c r="V124" s="621"/>
      <c r="W124" s="621"/>
      <c r="X124" s="621"/>
      <c r="Y124" s="621"/>
      <c r="Z124" s="621"/>
      <c r="AA124" s="621"/>
      <c r="AB124" s="621"/>
      <c r="AC124" s="621"/>
      <c r="AD124" s="621"/>
      <c r="AE124" s="621"/>
      <c r="AF124" s="621"/>
      <c r="AG124" s="621"/>
      <c r="AH124" s="621"/>
      <c r="AI124" s="621"/>
      <c r="AJ124" s="621"/>
      <c r="AK124" s="621"/>
      <c r="AL124" s="621"/>
      <c r="AM124" s="621"/>
      <c r="AN124" s="621"/>
      <c r="AO124" s="621"/>
    </row>
    <row r="125" spans="1:41" s="618" customFormat="1" ht="12" thickTop="1">
      <c r="A125" s="616"/>
      <c r="B125" s="622"/>
      <c r="C125" s="616"/>
      <c r="E125" s="37" t="s">
        <v>491</v>
      </c>
      <c r="F125" s="37" t="s">
        <v>492</v>
      </c>
      <c r="G125" s="616"/>
      <c r="H125" s="616"/>
      <c r="I125" s="616"/>
      <c r="J125" s="616"/>
      <c r="K125" s="616" t="s">
        <v>493</v>
      </c>
      <c r="L125" s="616"/>
      <c r="M125" s="616"/>
      <c r="N125" s="616"/>
      <c r="O125" s="617"/>
      <c r="P125" s="616"/>
      <c r="Q125" s="616"/>
      <c r="R125" s="616"/>
      <c r="S125" s="616"/>
      <c r="T125" s="622"/>
      <c r="AG125" s="623" t="s">
        <v>494</v>
      </c>
      <c r="AH125" s="623" t="s">
        <v>495</v>
      </c>
      <c r="AI125" s="623" t="s">
        <v>496</v>
      </c>
      <c r="AJ125" s="623" t="s">
        <v>497</v>
      </c>
      <c r="AK125" s="623" t="s">
        <v>498</v>
      </c>
      <c r="AM125" s="624" t="s">
        <v>499</v>
      </c>
      <c r="AN125" s="625" t="s">
        <v>500</v>
      </c>
      <c r="AO125" s="626" t="s">
        <v>501</v>
      </c>
    </row>
    <row r="126" spans="1:41" s="618" customFormat="1" ht="12" customHeight="1">
      <c r="A126" s="627">
        <v>32</v>
      </c>
      <c r="B126" s="628" t="s">
        <v>294</v>
      </c>
      <c r="C126" s="629"/>
      <c r="D126" s="630" t="s">
        <v>513</v>
      </c>
      <c r="E126" s="631">
        <f ca="1">IF(AND($A126=0,$A$1="DIF"),0, ROUND(ROUND(($R131*$S$2+($T131*$T$2))/A126,2)*$C$2,2))</f>
        <v>18.100000000000001</v>
      </c>
      <c r="F126" s="632">
        <f ca="1">ROUND($A126*$E126,2)</f>
        <v>579.20000000000005</v>
      </c>
      <c r="G126" s="88" t="s">
        <v>135</v>
      </c>
      <c r="H126" s="2"/>
      <c r="I126" s="633"/>
      <c r="J126" s="2"/>
      <c r="K126" s="2" t="s">
        <v>3</v>
      </c>
      <c r="L126" s="634" t="s">
        <v>136</v>
      </c>
      <c r="M126" s="634"/>
      <c r="N126" s="634"/>
      <c r="O126" s="634"/>
      <c r="P126" s="634"/>
      <c r="Q126" s="616"/>
      <c r="T126" s="635" t="str">
        <f ca="1">IF(AND($R131=0,$T131=0),"0.00","mu :" &amp; ROUND($F126/$C$2/($R131+$T131*$D$9),2))</f>
        <v>mu :1</v>
      </c>
      <c r="W126" s="636"/>
      <c r="AG126" s="637">
        <f ca="1">IF($E126=0,0,ROUND($R131*$S$2*$C$2/$A126,2))</f>
        <v>4.26</v>
      </c>
      <c r="AH126" s="637">
        <f ca="1">$AG126*$A126</f>
        <v>136.32</v>
      </c>
      <c r="AI126" s="638">
        <f ca="1">$E126-$AG126</f>
        <v>13.840000000000002</v>
      </c>
      <c r="AJ126" s="638">
        <f ca="1">$A126*$AI126</f>
        <v>442.88000000000005</v>
      </c>
      <c r="AK126" s="639">
        <f ca="1">ROUND(($AG126+$AI126)*$A126,2)</f>
        <v>579.20000000000005</v>
      </c>
      <c r="AM126" s="640">
        <f ca="1">ROUND(R131,2)</f>
        <v>136.32</v>
      </c>
      <c r="AN126" s="641">
        <f ca="1">ROUND(T131,2)</f>
        <v>15.36</v>
      </c>
      <c r="AO126" s="642">
        <f ca="1">ROUND(AM126+AN126,2)*A126</f>
        <v>4853.76</v>
      </c>
    </row>
    <row r="127" spans="1:41" s="618" customFormat="1" ht="13.2">
      <c r="A127" s="629"/>
      <c r="B127"/>
      <c r="C127" s="629"/>
      <c r="D127" s="630" t="s">
        <v>297</v>
      </c>
      <c r="F127" s="2"/>
      <c r="G127" s="3"/>
      <c r="H127" s="2"/>
      <c r="I127" s="633"/>
      <c r="J127" s="2"/>
      <c r="K127" s="2" t="s">
        <v>502</v>
      </c>
      <c r="L127" s="2"/>
      <c r="M127" s="2"/>
      <c r="N127" s="2"/>
      <c r="O127" s="2"/>
      <c r="P127" s="2"/>
      <c r="Q127" s="616"/>
      <c r="R127" s="643"/>
      <c r="S127" s="644"/>
      <c r="T127" s="2"/>
    </row>
    <row r="128" spans="1:41" s="753" customFormat="1" ht="13.2">
      <c r="A128"/>
      <c r="B128" s="824"/>
      <c r="C128" s="824" t="s">
        <v>677</v>
      </c>
      <c r="D128" s="824" t="str">
        <f ca="1">CELL("Address",Elec_Rates!D$30)</f>
        <v>[EL25_0700_Mock_Up_Room_Elec_Estim.xlsx]Elec_Rates!$D$30</v>
      </c>
      <c r="E128" s="825"/>
      <c r="F128" s="825"/>
      <c r="G128" s="826" t="s">
        <v>678</v>
      </c>
      <c r="H128" s="826"/>
      <c r="I128" s="826"/>
      <c r="J128" s="826"/>
      <c r="K128" s="827"/>
      <c r="L128" s="825"/>
      <c r="M128" s="825"/>
      <c r="N128" s="825"/>
      <c r="O128" s="828"/>
      <c r="P128" s="825"/>
      <c r="Q128" s="829"/>
      <c r="R128" s="830"/>
      <c r="S128" s="829"/>
      <c r="T128" s="831"/>
      <c r="U128" s="832"/>
    </row>
    <row r="129" spans="1:41" s="753" customFormat="1" ht="11.4">
      <c r="A129" s="833">
        <v>32</v>
      </c>
      <c r="B129" s="834">
        <v>1</v>
      </c>
      <c r="C129" s="834">
        <f>$A129*$B129</f>
        <v>32</v>
      </c>
      <c r="D129" s="835" t="str">
        <f>Elec_Rates!$D$30</f>
        <v>003# Lighting Point in LSZH Conduit</v>
      </c>
      <c r="E129" s="835"/>
      <c r="F129" s="835"/>
      <c r="G129" s="836" t="s">
        <v>679</v>
      </c>
      <c r="H129" s="836"/>
      <c r="I129" s="836"/>
      <c r="J129" s="836"/>
      <c r="K129" s="837"/>
      <c r="L129" s="832"/>
      <c r="M129" s="832"/>
      <c r="N129" s="832"/>
      <c r="O129" s="838"/>
      <c r="P129" s="835"/>
      <c r="Q129" s="839">
        <f ca="1">$B129*Elec_Rates!$R$30</f>
        <v>4.26</v>
      </c>
      <c r="R129" s="830">
        <f ca="1">$A129*Q129</f>
        <v>136.32</v>
      </c>
      <c r="S129" s="839">
        <f ca="1">$B129*Elec_Rates!$T$30</f>
        <v>0.48</v>
      </c>
      <c r="T129" s="831">
        <f ca="1">$A129*S129</f>
        <v>15.36</v>
      </c>
      <c r="U129" s="840"/>
    </row>
    <row r="130" spans="1:41" s="618" customFormat="1" ht="12">
      <c r="A130" s="645"/>
      <c r="B130" s="645"/>
      <c r="C130" s="645"/>
      <c r="D130" s="645"/>
      <c r="E130" s="645"/>
      <c r="F130" s="2"/>
      <c r="G130" s="645"/>
      <c r="H130" s="645"/>
      <c r="I130" s="646"/>
      <c r="J130" s="645"/>
      <c r="K130" s="645"/>
      <c r="L130" s="645"/>
      <c r="M130" s="645"/>
      <c r="N130" s="645"/>
      <c r="O130" s="645"/>
      <c r="P130" s="645"/>
      <c r="Q130" s="646"/>
      <c r="R130" s="647">
        <f t="shared" ref="R130" si="28">$A130*Q130</f>
        <v>0</v>
      </c>
      <c r="S130" s="646"/>
      <c r="T130" s="648">
        <f t="shared" ref="T130" si="29">$A130*S130*$T$1</f>
        <v>0</v>
      </c>
    </row>
    <row r="131" spans="1:41" s="618" customFormat="1" ht="12.6" thickBot="1">
      <c r="A131" s="649" t="s">
        <v>137</v>
      </c>
      <c r="B131" s="650">
        <f>(R130+T130)</f>
        <v>0</v>
      </c>
      <c r="C131" s="651"/>
      <c r="D131" s="651"/>
      <c r="E131" s="651"/>
      <c r="F131" s="652"/>
      <c r="G131" s="651" t="s">
        <v>503</v>
      </c>
      <c r="H131" s="651"/>
      <c r="I131" s="653"/>
      <c r="J131" s="651"/>
      <c r="K131" s="651" t="s">
        <v>3</v>
      </c>
      <c r="L131" s="654" t="s">
        <v>136</v>
      </c>
      <c r="M131" s="654"/>
      <c r="N131" s="654"/>
      <c r="O131" s="654"/>
      <c r="P131" s="654"/>
      <c r="Q131" s="655"/>
      <c r="R131" s="656">
        <f ca="1">SUM(R127:R130)</f>
        <v>136.32</v>
      </c>
      <c r="S131" s="651"/>
      <c r="T131" s="656">
        <f ca="1">SUM(T127:T130)</f>
        <v>15.36</v>
      </c>
      <c r="U131" s="621"/>
      <c r="V131" s="621"/>
      <c r="W131" s="621"/>
      <c r="X131" s="621"/>
      <c r="Y131" s="621"/>
      <c r="Z131" s="621"/>
      <c r="AA131" s="621"/>
      <c r="AB131" s="621"/>
      <c r="AC131" s="621"/>
      <c r="AD131" s="621"/>
      <c r="AE131" s="621"/>
      <c r="AF131" s="621"/>
      <c r="AG131" s="621"/>
      <c r="AH131" s="621"/>
      <c r="AI131" s="621"/>
      <c r="AJ131" s="621"/>
      <c r="AK131" s="621"/>
      <c r="AL131" s="621"/>
      <c r="AM131" s="621"/>
      <c r="AN131" s="621"/>
      <c r="AO131" s="621"/>
    </row>
    <row r="132" spans="1:41" s="618" customFormat="1" ht="12" thickTop="1">
      <c r="A132" s="616"/>
      <c r="B132" s="622"/>
      <c r="C132" s="616"/>
      <c r="E132" s="37" t="s">
        <v>491</v>
      </c>
      <c r="F132" s="37" t="s">
        <v>492</v>
      </c>
      <c r="G132" s="616"/>
      <c r="H132" s="616"/>
      <c r="I132" s="616"/>
      <c r="J132" s="616"/>
      <c r="K132" s="616" t="s">
        <v>493</v>
      </c>
      <c r="L132" s="616"/>
      <c r="M132" s="616"/>
      <c r="N132" s="616"/>
      <c r="O132" s="617"/>
      <c r="P132" s="616"/>
      <c r="Q132" s="616"/>
      <c r="R132" s="616"/>
      <c r="S132" s="616"/>
      <c r="T132" s="622"/>
      <c r="AG132" s="623" t="s">
        <v>494</v>
      </c>
      <c r="AH132" s="623" t="s">
        <v>495</v>
      </c>
      <c r="AI132" s="623" t="s">
        <v>496</v>
      </c>
      <c r="AJ132" s="623" t="s">
        <v>497</v>
      </c>
      <c r="AK132" s="623" t="s">
        <v>498</v>
      </c>
      <c r="AM132" s="624" t="s">
        <v>499</v>
      </c>
      <c r="AN132" s="625" t="s">
        <v>500</v>
      </c>
      <c r="AO132" s="626" t="s">
        <v>501</v>
      </c>
    </row>
    <row r="133" spans="1:41" s="618" customFormat="1" ht="12" customHeight="1">
      <c r="A133" s="627">
        <v>2</v>
      </c>
      <c r="B133" s="628" t="s">
        <v>294</v>
      </c>
      <c r="C133" s="629"/>
      <c r="D133" s="630" t="s">
        <v>514</v>
      </c>
      <c r="E133" s="631">
        <f ca="1">IF(AND($A133=0,$A$1="DIF"),0, ROUND(ROUND(($R138*$S$2+($T138*$T$2))/A133,2)*$C$2,2))</f>
        <v>18.100000000000001</v>
      </c>
      <c r="F133" s="632">
        <f ca="1">ROUND($A133*$E133,2)</f>
        <v>36.200000000000003</v>
      </c>
      <c r="G133" s="88" t="s">
        <v>135</v>
      </c>
      <c r="H133" s="2"/>
      <c r="I133" s="633"/>
      <c r="J133" s="2"/>
      <c r="K133" s="2" t="s">
        <v>3</v>
      </c>
      <c r="L133" s="634" t="s">
        <v>136</v>
      </c>
      <c r="M133" s="634"/>
      <c r="N133" s="634"/>
      <c r="O133" s="634"/>
      <c r="P133" s="634"/>
      <c r="Q133" s="616"/>
      <c r="T133" s="635" t="str">
        <f ca="1">IF(AND($R138=0,$T138=0),"0.00","mu :" &amp; ROUND($F133/$C$2/($R138+$T138*$D$9),2))</f>
        <v>mu :1</v>
      </c>
      <c r="W133" s="636"/>
      <c r="AG133" s="637">
        <f ca="1">IF($E133=0,0,ROUND($R138*$S$2*$C$2/$A133,2))</f>
        <v>4.26</v>
      </c>
      <c r="AH133" s="637">
        <f ca="1">$AG133*$A133</f>
        <v>8.52</v>
      </c>
      <c r="AI133" s="638">
        <f ca="1">$E133-$AG133</f>
        <v>13.840000000000002</v>
      </c>
      <c r="AJ133" s="638">
        <f ca="1">$A133*$AI133</f>
        <v>27.680000000000003</v>
      </c>
      <c r="AK133" s="639">
        <f ca="1">ROUND(($AG133+$AI133)*$A133,2)</f>
        <v>36.200000000000003</v>
      </c>
      <c r="AM133" s="640">
        <f ca="1">ROUND(R138,2)</f>
        <v>8.52</v>
      </c>
      <c r="AN133" s="641">
        <f ca="1">ROUND(T138,2)</f>
        <v>0.96</v>
      </c>
      <c r="AO133" s="642">
        <f ca="1">ROUND(AM133+AN133,2)*A133</f>
        <v>18.96</v>
      </c>
    </row>
    <row r="134" spans="1:41" s="618" customFormat="1" ht="13.2">
      <c r="A134" s="629"/>
      <c r="B134"/>
      <c r="C134" s="629"/>
      <c r="D134" s="630" t="s">
        <v>298</v>
      </c>
      <c r="F134" s="2"/>
      <c r="G134" s="3"/>
      <c r="H134" s="2"/>
      <c r="I134" s="633"/>
      <c r="J134" s="2"/>
      <c r="K134" s="2" t="s">
        <v>502</v>
      </c>
      <c r="L134" s="2"/>
      <c r="M134" s="2"/>
      <c r="N134" s="2"/>
      <c r="O134" s="2"/>
      <c r="P134" s="2"/>
      <c r="Q134" s="616"/>
      <c r="R134" s="643"/>
      <c r="S134" s="644"/>
      <c r="T134" s="2"/>
    </row>
    <row r="135" spans="1:41" s="753" customFormat="1" ht="13.2">
      <c r="A135"/>
      <c r="B135" s="824"/>
      <c r="C135" s="824" t="s">
        <v>677</v>
      </c>
      <c r="D135" s="824" t="str">
        <f ca="1">CELL("Address",Elec_Rates!D$30)</f>
        <v>[EL25_0700_Mock_Up_Room_Elec_Estim.xlsx]Elec_Rates!$D$30</v>
      </c>
      <c r="E135" s="825"/>
      <c r="F135" s="825"/>
      <c r="G135" s="826" t="s">
        <v>678</v>
      </c>
      <c r="H135" s="826"/>
      <c r="I135" s="826"/>
      <c r="J135" s="826"/>
      <c r="K135" s="827"/>
      <c r="L135" s="825"/>
      <c r="M135" s="825"/>
      <c r="N135" s="825"/>
      <c r="O135" s="828"/>
      <c r="P135" s="825"/>
      <c r="Q135" s="829"/>
      <c r="R135" s="830"/>
      <c r="S135" s="829"/>
      <c r="T135" s="831"/>
      <c r="U135" s="832"/>
    </row>
    <row r="136" spans="1:41" s="753" customFormat="1" ht="11.4">
      <c r="A136" s="833">
        <v>2</v>
      </c>
      <c r="B136" s="834">
        <v>1</v>
      </c>
      <c r="C136" s="834">
        <f>$A136*$B136</f>
        <v>2</v>
      </c>
      <c r="D136" s="835" t="str">
        <f>Elec_Rates!$D$30</f>
        <v>003# Lighting Point in LSZH Conduit</v>
      </c>
      <c r="E136" s="835"/>
      <c r="F136" s="835"/>
      <c r="G136" s="836" t="s">
        <v>679</v>
      </c>
      <c r="H136" s="836"/>
      <c r="I136" s="836"/>
      <c r="J136" s="836"/>
      <c r="K136" s="837"/>
      <c r="L136" s="832"/>
      <c r="M136" s="832"/>
      <c r="N136" s="832"/>
      <c r="O136" s="838"/>
      <c r="P136" s="835"/>
      <c r="Q136" s="839">
        <f ca="1">$B136*Elec_Rates!$R$30</f>
        <v>4.26</v>
      </c>
      <c r="R136" s="830">
        <f ca="1">$A136*Q136</f>
        <v>8.52</v>
      </c>
      <c r="S136" s="839">
        <f ca="1">$B136*Elec_Rates!$T$30</f>
        <v>0.48</v>
      </c>
      <c r="T136" s="831">
        <f ca="1">$A136*S136</f>
        <v>0.96</v>
      </c>
      <c r="U136" s="840"/>
    </row>
    <row r="137" spans="1:41" s="618" customFormat="1" ht="12">
      <c r="A137" s="645"/>
      <c r="B137" s="645"/>
      <c r="C137" s="645"/>
      <c r="D137" s="645"/>
      <c r="E137" s="645"/>
      <c r="F137" s="2"/>
      <c r="G137" s="645"/>
      <c r="H137" s="645"/>
      <c r="I137" s="646"/>
      <c r="J137" s="645"/>
      <c r="K137" s="645"/>
      <c r="L137" s="645"/>
      <c r="M137" s="645"/>
      <c r="N137" s="645"/>
      <c r="O137" s="645"/>
      <c r="P137" s="645"/>
      <c r="Q137" s="646"/>
      <c r="R137" s="647">
        <f t="shared" ref="R137" si="30">$A137*Q137</f>
        <v>0</v>
      </c>
      <c r="S137" s="646"/>
      <c r="T137" s="648">
        <f t="shared" ref="T137" si="31">$A137*S137*$T$1</f>
        <v>0</v>
      </c>
    </row>
    <row r="138" spans="1:41" s="618" customFormat="1" ht="12.6" thickBot="1">
      <c r="A138" s="649" t="s">
        <v>137</v>
      </c>
      <c r="B138" s="650">
        <f>(R137+T137)</f>
        <v>0</v>
      </c>
      <c r="C138" s="651"/>
      <c r="D138" s="651"/>
      <c r="E138" s="651"/>
      <c r="F138" s="652"/>
      <c r="G138" s="651" t="s">
        <v>503</v>
      </c>
      <c r="H138" s="651"/>
      <c r="I138" s="653"/>
      <c r="J138" s="651"/>
      <c r="K138" s="651" t="s">
        <v>3</v>
      </c>
      <c r="L138" s="654" t="s">
        <v>136</v>
      </c>
      <c r="M138" s="654"/>
      <c r="N138" s="654"/>
      <c r="O138" s="654"/>
      <c r="P138" s="654"/>
      <c r="Q138" s="655"/>
      <c r="R138" s="656">
        <f ca="1">SUM(R134:R137)</f>
        <v>8.52</v>
      </c>
      <c r="S138" s="651"/>
      <c r="T138" s="656">
        <f ca="1">SUM(T134:T137)</f>
        <v>0.96</v>
      </c>
      <c r="U138" s="621"/>
      <c r="V138" s="621"/>
      <c r="W138" s="621"/>
      <c r="X138" s="621"/>
      <c r="Y138" s="621"/>
      <c r="Z138" s="621"/>
      <c r="AA138" s="621"/>
      <c r="AB138" s="621"/>
      <c r="AC138" s="621"/>
      <c r="AD138" s="621"/>
      <c r="AE138" s="621"/>
      <c r="AF138" s="621"/>
      <c r="AG138" s="621"/>
      <c r="AH138" s="621"/>
      <c r="AI138" s="621"/>
      <c r="AJ138" s="621"/>
      <c r="AK138" s="621"/>
      <c r="AL138" s="621"/>
      <c r="AM138" s="621"/>
      <c r="AN138" s="621"/>
      <c r="AO138" s="621"/>
    </row>
    <row r="139" spans="1:41" s="618" customFormat="1" ht="12" thickTop="1">
      <c r="A139" s="616"/>
      <c r="B139" s="622"/>
      <c r="C139" s="616"/>
      <c r="E139" s="37" t="s">
        <v>491</v>
      </c>
      <c r="F139" s="37" t="s">
        <v>492</v>
      </c>
      <c r="G139" s="616"/>
      <c r="H139" s="616"/>
      <c r="I139" s="616"/>
      <c r="J139" s="616"/>
      <c r="K139" s="616" t="s">
        <v>493</v>
      </c>
      <c r="L139" s="616"/>
      <c r="M139" s="616"/>
      <c r="N139" s="616"/>
      <c r="O139" s="617"/>
      <c r="P139" s="616"/>
      <c r="Q139" s="616"/>
      <c r="R139" s="616"/>
      <c r="S139" s="616"/>
      <c r="T139" s="622"/>
      <c r="AG139" s="623" t="s">
        <v>494</v>
      </c>
      <c r="AH139" s="623" t="s">
        <v>495</v>
      </c>
      <c r="AI139" s="623" t="s">
        <v>496</v>
      </c>
      <c r="AJ139" s="623" t="s">
        <v>497</v>
      </c>
      <c r="AK139" s="623" t="s">
        <v>498</v>
      </c>
      <c r="AM139" s="624" t="s">
        <v>499</v>
      </c>
      <c r="AN139" s="625" t="s">
        <v>500</v>
      </c>
      <c r="AO139" s="626" t="s">
        <v>501</v>
      </c>
    </row>
    <row r="140" spans="1:41" s="618" customFormat="1" ht="12" customHeight="1">
      <c r="A140" s="627">
        <v>1</v>
      </c>
      <c r="B140" s="628" t="s">
        <v>294</v>
      </c>
      <c r="C140" s="629"/>
      <c r="D140" s="630" t="s">
        <v>594</v>
      </c>
      <c r="E140" s="631">
        <f ca="1">IF(AND($A140=0,$A$1="DIF"),0, ROUND(ROUND(($R145*$S$2+($T145*$T$2))/A140,2)*$C$2,2))</f>
        <v>18.100000000000001</v>
      </c>
      <c r="F140" s="632">
        <f ca="1">ROUND($A140*$E140,2)</f>
        <v>18.100000000000001</v>
      </c>
      <c r="G140" s="88" t="s">
        <v>135</v>
      </c>
      <c r="H140" s="2"/>
      <c r="I140" s="633"/>
      <c r="J140" s="2"/>
      <c r="K140" s="2" t="s">
        <v>3</v>
      </c>
      <c r="L140" s="634" t="s">
        <v>136</v>
      </c>
      <c r="M140" s="634"/>
      <c r="N140" s="634"/>
      <c r="O140" s="634"/>
      <c r="P140" s="634"/>
      <c r="Q140" s="616"/>
      <c r="T140" s="635" t="str">
        <f ca="1">IF(AND($R145=0,$T145=0),"0.00","mu :" &amp; ROUND($F140/$C$2/($R145+$T145*$D$9),2))</f>
        <v>mu :1</v>
      </c>
      <c r="W140" s="636"/>
      <c r="AG140" s="637">
        <f ca="1">IF($E140=0,0,ROUND($R145*$S$2*$C$2/$A140,2))</f>
        <v>4.26</v>
      </c>
      <c r="AH140" s="637">
        <f ca="1">$AG140*$A140</f>
        <v>4.26</v>
      </c>
      <c r="AI140" s="638">
        <f ca="1">$E140-$AG140</f>
        <v>13.840000000000002</v>
      </c>
      <c r="AJ140" s="638">
        <f ca="1">$A140*$AI140</f>
        <v>13.840000000000002</v>
      </c>
      <c r="AK140" s="639">
        <f ca="1">ROUND(($AG140+$AI140)*$A140,2)</f>
        <v>18.100000000000001</v>
      </c>
      <c r="AM140" s="640">
        <f ca="1">ROUND(R145,2)</f>
        <v>4.26</v>
      </c>
      <c r="AN140" s="641">
        <f ca="1">ROUND(T145,2)</f>
        <v>0.48</v>
      </c>
      <c r="AO140" s="642">
        <f ca="1">ROUND(AM140+AN140,2)*A140</f>
        <v>4.74</v>
      </c>
    </row>
    <row r="141" spans="1:41" s="618" customFormat="1" ht="13.2">
      <c r="A141" s="629"/>
      <c r="B141"/>
      <c r="C141" s="629"/>
      <c r="D141" s="630" t="s">
        <v>515</v>
      </c>
      <c r="F141" s="2"/>
      <c r="G141" s="3"/>
      <c r="H141" s="2"/>
      <c r="I141" s="633"/>
      <c r="J141" s="2"/>
      <c r="K141" s="2" t="s">
        <v>502</v>
      </c>
      <c r="L141" s="2"/>
      <c r="M141" s="2"/>
      <c r="N141" s="2"/>
      <c r="O141" s="2"/>
      <c r="P141" s="2"/>
      <c r="Q141" s="616"/>
      <c r="R141" s="643"/>
      <c r="S141" s="644"/>
      <c r="T141" s="2"/>
    </row>
    <row r="142" spans="1:41" s="753" customFormat="1" ht="13.2">
      <c r="A142"/>
      <c r="B142" s="824"/>
      <c r="C142" s="824" t="s">
        <v>677</v>
      </c>
      <c r="D142" s="824" t="str">
        <f ca="1">CELL("Address",Elec_Rates!D$30)</f>
        <v>[EL25_0700_Mock_Up_Room_Elec_Estim.xlsx]Elec_Rates!$D$30</v>
      </c>
      <c r="E142" s="825"/>
      <c r="F142" s="825"/>
      <c r="G142" s="826" t="s">
        <v>678</v>
      </c>
      <c r="H142" s="826"/>
      <c r="I142" s="826"/>
      <c r="J142" s="826"/>
      <c r="K142" s="827"/>
      <c r="L142" s="825"/>
      <c r="M142" s="825"/>
      <c r="N142" s="825"/>
      <c r="O142" s="828"/>
      <c r="P142" s="825"/>
      <c r="Q142" s="829"/>
      <c r="R142" s="830"/>
      <c r="S142" s="829"/>
      <c r="T142" s="831"/>
      <c r="U142" s="832"/>
    </row>
    <row r="143" spans="1:41" s="753" customFormat="1" ht="11.4">
      <c r="A143" s="833">
        <v>1</v>
      </c>
      <c r="B143" s="834">
        <v>1</v>
      </c>
      <c r="C143" s="834">
        <f>$A143*$B143</f>
        <v>1</v>
      </c>
      <c r="D143" s="835" t="str">
        <f>Elec_Rates!$D$30</f>
        <v>003# Lighting Point in LSZH Conduit</v>
      </c>
      <c r="E143" s="835"/>
      <c r="F143" s="835"/>
      <c r="G143" s="836" t="s">
        <v>679</v>
      </c>
      <c r="H143" s="836"/>
      <c r="I143" s="836"/>
      <c r="J143" s="836"/>
      <c r="K143" s="837"/>
      <c r="L143" s="832"/>
      <c r="M143" s="832"/>
      <c r="N143" s="832"/>
      <c r="O143" s="838"/>
      <c r="P143" s="835"/>
      <c r="Q143" s="839">
        <f ca="1">$B143*Elec_Rates!$R$30</f>
        <v>4.26</v>
      </c>
      <c r="R143" s="830">
        <f ca="1">$A143*Q143</f>
        <v>4.26</v>
      </c>
      <c r="S143" s="839">
        <f ca="1">$B143*Elec_Rates!$T$30</f>
        <v>0.48</v>
      </c>
      <c r="T143" s="831">
        <f ca="1">$A143*S143</f>
        <v>0.48</v>
      </c>
      <c r="U143" s="840"/>
    </row>
    <row r="144" spans="1:41" s="618" customFormat="1" ht="12">
      <c r="A144" s="645"/>
      <c r="B144" s="645"/>
      <c r="C144" s="645"/>
      <c r="D144" s="645"/>
      <c r="E144" s="645"/>
      <c r="F144" s="2"/>
      <c r="G144" s="645"/>
      <c r="H144" s="645"/>
      <c r="I144" s="646"/>
      <c r="J144" s="645"/>
      <c r="K144" s="645"/>
      <c r="L144" s="645"/>
      <c r="M144" s="645"/>
      <c r="N144" s="645"/>
      <c r="O144" s="645"/>
      <c r="P144" s="645"/>
      <c r="Q144" s="646"/>
      <c r="R144" s="647">
        <f t="shared" ref="R144" si="32">$A144*Q144</f>
        <v>0</v>
      </c>
      <c r="S144" s="646"/>
      <c r="T144" s="648">
        <f t="shared" ref="T144" si="33">$A144*S144*$T$1</f>
        <v>0</v>
      </c>
    </row>
    <row r="145" spans="1:41" s="618" customFormat="1" ht="12.6" thickBot="1">
      <c r="A145" s="649" t="s">
        <v>137</v>
      </c>
      <c r="B145" s="650">
        <f>(R144+T144)</f>
        <v>0</v>
      </c>
      <c r="C145" s="651"/>
      <c r="D145" s="651"/>
      <c r="E145" s="651"/>
      <c r="F145" s="652"/>
      <c r="G145" s="651" t="s">
        <v>503</v>
      </c>
      <c r="H145" s="651"/>
      <c r="I145" s="653"/>
      <c r="J145" s="651"/>
      <c r="K145" s="651" t="s">
        <v>3</v>
      </c>
      <c r="L145" s="654" t="s">
        <v>136</v>
      </c>
      <c r="M145" s="654"/>
      <c r="N145" s="654"/>
      <c r="O145" s="654"/>
      <c r="P145" s="654"/>
      <c r="Q145" s="655"/>
      <c r="R145" s="656">
        <f ca="1">SUM(R141:R144)</f>
        <v>4.26</v>
      </c>
      <c r="S145" s="651"/>
      <c r="T145" s="656">
        <f ca="1">SUM(T141:T144)</f>
        <v>0.48</v>
      </c>
      <c r="U145" s="621"/>
      <c r="V145" s="621"/>
      <c r="W145" s="621"/>
      <c r="X145" s="621"/>
      <c r="Y145" s="621"/>
      <c r="Z145" s="621"/>
      <c r="AA145" s="621"/>
      <c r="AB145" s="621"/>
      <c r="AC145" s="621"/>
      <c r="AD145" s="621"/>
      <c r="AE145" s="621"/>
      <c r="AF145" s="621"/>
      <c r="AG145" s="621"/>
      <c r="AH145" s="621"/>
      <c r="AI145" s="621"/>
      <c r="AJ145" s="621"/>
      <c r="AK145" s="621"/>
      <c r="AL145" s="621"/>
      <c r="AM145" s="621"/>
      <c r="AN145" s="621"/>
      <c r="AO145" s="621"/>
    </row>
    <row r="146" spans="1:41" s="618" customFormat="1" ht="12" thickTop="1">
      <c r="A146" s="616"/>
      <c r="B146" s="622"/>
      <c r="C146" s="616"/>
      <c r="E146" s="37" t="s">
        <v>491</v>
      </c>
      <c r="F146" s="37" t="s">
        <v>492</v>
      </c>
      <c r="G146" s="616"/>
      <c r="H146" s="616"/>
      <c r="I146" s="616"/>
      <c r="J146" s="616"/>
      <c r="K146" s="616" t="s">
        <v>493</v>
      </c>
      <c r="L146" s="616"/>
      <c r="M146" s="616"/>
      <c r="N146" s="616"/>
      <c r="O146" s="617"/>
      <c r="P146" s="616"/>
      <c r="Q146" s="616"/>
      <c r="R146" s="616"/>
      <c r="S146" s="616"/>
      <c r="T146" s="622"/>
      <c r="AG146" s="623" t="s">
        <v>494</v>
      </c>
      <c r="AH146" s="623" t="s">
        <v>495</v>
      </c>
      <c r="AI146" s="623" t="s">
        <v>496</v>
      </c>
      <c r="AJ146" s="623" t="s">
        <v>497</v>
      </c>
      <c r="AK146" s="623" t="s">
        <v>498</v>
      </c>
      <c r="AM146" s="624" t="s">
        <v>499</v>
      </c>
      <c r="AN146" s="625" t="s">
        <v>500</v>
      </c>
      <c r="AO146" s="626" t="s">
        <v>501</v>
      </c>
    </row>
    <row r="147" spans="1:41" s="618" customFormat="1" ht="12" customHeight="1">
      <c r="A147" s="627">
        <v>1</v>
      </c>
      <c r="B147" s="628" t="s">
        <v>294</v>
      </c>
      <c r="C147" s="629"/>
      <c r="D147" s="630" t="s">
        <v>516</v>
      </c>
      <c r="E147" s="631">
        <f ca="1">IF(AND($A147=0,$A$1="DIF"),0, ROUND(ROUND(($R152*$S$2+($T152*$T$2))/A147,2)*$C$2,2))</f>
        <v>34.89</v>
      </c>
      <c r="F147" s="632">
        <f ca="1">ROUND($A147*$E147,2)</f>
        <v>34.89</v>
      </c>
      <c r="G147" s="88" t="s">
        <v>135</v>
      </c>
      <c r="H147" s="2"/>
      <c r="I147" s="633"/>
      <c r="J147" s="2"/>
      <c r="K147" s="2" t="s">
        <v>3</v>
      </c>
      <c r="L147" s="634" t="s">
        <v>136</v>
      </c>
      <c r="M147" s="634"/>
      <c r="N147" s="634"/>
      <c r="O147" s="634"/>
      <c r="P147" s="634"/>
      <c r="Q147" s="616"/>
      <c r="T147" s="635" t="str">
        <f ca="1">IF(AND($R152=0,$T152=0),"0.00","mu :" &amp; ROUND($F147/$C$2/($R152+$T152*$D$9),2))</f>
        <v>mu :1</v>
      </c>
      <c r="W147" s="636"/>
      <c r="AG147" s="637">
        <f ca="1">IF($E147=0,0,ROUND($R152*$S$2*$C$2/$A147,2))</f>
        <v>9.52</v>
      </c>
      <c r="AH147" s="637">
        <f ca="1">$AG147*$A147</f>
        <v>9.52</v>
      </c>
      <c r="AI147" s="638">
        <f ca="1">$E147-$AG147</f>
        <v>25.37</v>
      </c>
      <c r="AJ147" s="638">
        <f ca="1">$A147*$AI147</f>
        <v>25.37</v>
      </c>
      <c r="AK147" s="639">
        <f ca="1">ROUND(($AG147+$AI147)*$A147,2)</f>
        <v>34.89</v>
      </c>
      <c r="AM147" s="640">
        <f ca="1">ROUND(R152,2)</f>
        <v>9.52</v>
      </c>
      <c r="AN147" s="641">
        <f ca="1">ROUND(T152,2)</f>
        <v>0.88</v>
      </c>
      <c r="AO147" s="642">
        <f ca="1">ROUND(AM147+AN147,2)*A147</f>
        <v>10.4</v>
      </c>
    </row>
    <row r="148" spans="1:41" s="618" customFormat="1" ht="13.2">
      <c r="A148" s="629"/>
      <c r="B148"/>
      <c r="C148" s="629"/>
      <c r="D148" s="630" t="s">
        <v>300</v>
      </c>
      <c r="F148" s="2"/>
      <c r="G148" s="3"/>
      <c r="H148" s="2"/>
      <c r="I148" s="633"/>
      <c r="J148" s="2"/>
      <c r="K148" s="2" t="s">
        <v>502</v>
      </c>
      <c r="L148" s="2"/>
      <c r="M148" s="2"/>
      <c r="N148" s="2"/>
      <c r="O148" s="2"/>
      <c r="P148" s="2"/>
      <c r="Q148" s="616"/>
      <c r="R148" s="643"/>
      <c r="S148" s="644"/>
      <c r="T148" s="2"/>
    </row>
    <row r="149" spans="1:41" s="753" customFormat="1" ht="13.2">
      <c r="A149"/>
      <c r="B149" s="824"/>
      <c r="C149" s="824" t="s">
        <v>677</v>
      </c>
      <c r="D149" s="824" t="str">
        <f ca="1">CELL("Address",Elec_Rates!D$38)</f>
        <v>[EL25_0700_Mock_Up_Room_Elec_Estim.xlsx]Elec_Rates!$D$38</v>
      </c>
      <c r="E149" s="825"/>
      <c r="F149" s="825"/>
      <c r="G149" s="826" t="s">
        <v>678</v>
      </c>
      <c r="H149" s="826"/>
      <c r="I149" s="826"/>
      <c r="J149" s="826"/>
      <c r="K149" s="827"/>
      <c r="L149" s="825"/>
      <c r="M149" s="825"/>
      <c r="N149" s="825"/>
      <c r="O149" s="828"/>
      <c r="P149" s="825"/>
      <c r="Q149" s="829"/>
      <c r="R149" s="830"/>
      <c r="S149" s="829"/>
      <c r="T149" s="831"/>
      <c r="U149" s="832"/>
    </row>
    <row r="150" spans="1:41" s="753" customFormat="1" ht="11.4">
      <c r="A150" s="833">
        <v>1</v>
      </c>
      <c r="B150" s="834">
        <v>1</v>
      </c>
      <c r="C150" s="834">
        <f>$A150*$B150</f>
        <v>1</v>
      </c>
      <c r="D150" s="835" t="str">
        <f>Elec_Rates!$D$38</f>
        <v>004# Power Point in LSZH Conduit</v>
      </c>
      <c r="E150" s="835"/>
      <c r="F150" s="835"/>
      <c r="G150" s="836" t="s">
        <v>679</v>
      </c>
      <c r="H150" s="836"/>
      <c r="I150" s="836"/>
      <c r="J150" s="836"/>
      <c r="K150" s="837"/>
      <c r="L150" s="832"/>
      <c r="M150" s="832"/>
      <c r="N150" s="832"/>
      <c r="O150" s="838"/>
      <c r="P150" s="835"/>
      <c r="Q150" s="839">
        <f ca="1">$B150*Elec_Rates!$R$38</f>
        <v>9.52</v>
      </c>
      <c r="R150" s="830">
        <f ca="1">$A150*Q150</f>
        <v>9.52</v>
      </c>
      <c r="S150" s="839">
        <f ca="1">$B150*Elec_Rates!$T$38</f>
        <v>0.88</v>
      </c>
      <c r="T150" s="831">
        <f ca="1">$A150*S150</f>
        <v>0.88</v>
      </c>
      <c r="U150" s="840"/>
    </row>
    <row r="151" spans="1:41" s="618" customFormat="1" ht="12">
      <c r="A151" s="645"/>
      <c r="B151" s="645"/>
      <c r="C151" s="645"/>
      <c r="D151" s="645"/>
      <c r="E151" s="645"/>
      <c r="F151" s="2"/>
      <c r="G151" s="645"/>
      <c r="H151" s="645"/>
      <c r="I151" s="646"/>
      <c r="J151" s="645"/>
      <c r="K151" s="645"/>
      <c r="L151" s="645"/>
      <c r="M151" s="645"/>
      <c r="N151" s="645"/>
      <c r="O151" s="645"/>
      <c r="P151" s="645"/>
      <c r="Q151" s="646"/>
      <c r="R151" s="647">
        <f t="shared" ref="R151" si="34">$A151*Q151</f>
        <v>0</v>
      </c>
      <c r="S151" s="646"/>
      <c r="T151" s="648">
        <f t="shared" ref="T151" si="35">$A151*S151*$T$1</f>
        <v>0</v>
      </c>
    </row>
    <row r="152" spans="1:41" s="618" customFormat="1" ht="12.6" thickBot="1">
      <c r="A152" s="649" t="s">
        <v>137</v>
      </c>
      <c r="B152" s="650">
        <f>(R151+T151)</f>
        <v>0</v>
      </c>
      <c r="C152" s="651"/>
      <c r="D152" s="651"/>
      <c r="E152" s="651"/>
      <c r="F152" s="652"/>
      <c r="G152" s="651" t="s">
        <v>503</v>
      </c>
      <c r="H152" s="651"/>
      <c r="I152" s="653"/>
      <c r="J152" s="651"/>
      <c r="K152" s="651" t="s">
        <v>3</v>
      </c>
      <c r="L152" s="654" t="s">
        <v>136</v>
      </c>
      <c r="M152" s="654"/>
      <c r="N152" s="654"/>
      <c r="O152" s="654"/>
      <c r="P152" s="654"/>
      <c r="Q152" s="655"/>
      <c r="R152" s="656">
        <f ca="1">SUM(R148:R151)</f>
        <v>9.52</v>
      </c>
      <c r="S152" s="651"/>
      <c r="T152" s="656">
        <f ca="1">SUM(T148:T151)</f>
        <v>0.88</v>
      </c>
      <c r="U152" s="621"/>
      <c r="V152" s="621"/>
      <c r="W152" s="621"/>
      <c r="X152" s="621"/>
      <c r="Y152" s="621"/>
      <c r="Z152" s="621"/>
      <c r="AA152" s="621"/>
      <c r="AB152" s="621"/>
      <c r="AC152" s="621"/>
      <c r="AD152" s="621"/>
      <c r="AE152" s="621"/>
      <c r="AF152" s="621"/>
      <c r="AG152" s="621"/>
      <c r="AH152" s="621"/>
      <c r="AI152" s="621"/>
      <c r="AJ152" s="621"/>
      <c r="AK152" s="621"/>
      <c r="AL152" s="621"/>
      <c r="AM152" s="621"/>
      <c r="AN152" s="621"/>
      <c r="AO152" s="621"/>
    </row>
    <row r="153" spans="1:41" s="618" customFormat="1" ht="12" thickTop="1">
      <c r="A153" s="616"/>
      <c r="B153" s="622"/>
      <c r="C153" s="616"/>
      <c r="E153" s="37" t="s">
        <v>491</v>
      </c>
      <c r="F153" s="37" t="s">
        <v>492</v>
      </c>
      <c r="G153" s="616"/>
      <c r="H153" s="616"/>
      <c r="I153" s="616"/>
      <c r="J153" s="616"/>
      <c r="K153" s="616" t="s">
        <v>493</v>
      </c>
      <c r="L153" s="616"/>
      <c r="M153" s="616"/>
      <c r="N153" s="616"/>
      <c r="O153" s="617"/>
      <c r="P153" s="616"/>
      <c r="Q153" s="616"/>
      <c r="R153" s="616"/>
      <c r="S153" s="616"/>
      <c r="T153" s="622"/>
      <c r="AG153" s="623" t="s">
        <v>494</v>
      </c>
      <c r="AH153" s="623" t="s">
        <v>495</v>
      </c>
      <c r="AI153" s="623" t="s">
        <v>496</v>
      </c>
      <c r="AJ153" s="623" t="s">
        <v>497</v>
      </c>
      <c r="AK153" s="623" t="s">
        <v>498</v>
      </c>
      <c r="AM153" s="624" t="s">
        <v>499</v>
      </c>
      <c r="AN153" s="625" t="s">
        <v>500</v>
      </c>
      <c r="AO153" s="626" t="s">
        <v>501</v>
      </c>
    </row>
    <row r="154" spans="1:41" s="618" customFormat="1" ht="12" customHeight="1">
      <c r="A154" s="627">
        <v>4</v>
      </c>
      <c r="B154" s="628" t="s">
        <v>294</v>
      </c>
      <c r="C154" s="629"/>
      <c r="D154" s="630" t="s">
        <v>517</v>
      </c>
      <c r="E154" s="631">
        <f ca="1">IF(AND($A154=0,$A$1="DIF"),0, ROUND(ROUND(($R159*$S$2+($T159*$T$2))/A154,2)*$C$2,2))</f>
        <v>34.89</v>
      </c>
      <c r="F154" s="632">
        <f ca="1">ROUND($A154*$E154,2)</f>
        <v>139.56</v>
      </c>
      <c r="G154" s="88" t="s">
        <v>135</v>
      </c>
      <c r="H154" s="2"/>
      <c r="I154" s="633"/>
      <c r="J154" s="2"/>
      <c r="K154" s="2" t="s">
        <v>3</v>
      </c>
      <c r="L154" s="634" t="s">
        <v>136</v>
      </c>
      <c r="M154" s="634"/>
      <c r="N154" s="634"/>
      <c r="O154" s="634"/>
      <c r="P154" s="634"/>
      <c r="Q154" s="616"/>
      <c r="T154" s="635" t="str">
        <f ca="1">IF(AND($R159=0,$T159=0),"0.00","mu :" &amp; ROUND($F154/$C$2/($R159+$T159*$D$9),2))</f>
        <v>mu :1</v>
      </c>
      <c r="W154" s="636"/>
      <c r="AG154" s="637">
        <f ca="1">IF($E154=0,0,ROUND($R159*$S$2*$C$2/$A154,2))</f>
        <v>9.52</v>
      </c>
      <c r="AH154" s="637">
        <f ca="1">$AG154*$A154</f>
        <v>38.08</v>
      </c>
      <c r="AI154" s="638">
        <f ca="1">$E154-$AG154</f>
        <v>25.37</v>
      </c>
      <c r="AJ154" s="638">
        <f ca="1">$A154*$AI154</f>
        <v>101.48</v>
      </c>
      <c r="AK154" s="639">
        <f ca="1">ROUND(($AG154+$AI154)*$A154,2)</f>
        <v>139.56</v>
      </c>
      <c r="AM154" s="640">
        <f ca="1">ROUND(R159,2)</f>
        <v>38.08</v>
      </c>
      <c r="AN154" s="641">
        <f ca="1">ROUND(T159,2)</f>
        <v>3.52</v>
      </c>
      <c r="AO154" s="642">
        <f ca="1">ROUND(AM154+AN154,2)*A154</f>
        <v>166.4</v>
      </c>
    </row>
    <row r="155" spans="1:41" s="618" customFormat="1" ht="13.2">
      <c r="A155" s="629"/>
      <c r="B155"/>
      <c r="C155" s="629"/>
      <c r="D155" s="630" t="s">
        <v>301</v>
      </c>
      <c r="F155" s="2"/>
      <c r="G155" s="3"/>
      <c r="H155" s="2"/>
      <c r="I155" s="633"/>
      <c r="J155" s="2"/>
      <c r="K155" s="2" t="s">
        <v>502</v>
      </c>
      <c r="L155" s="2"/>
      <c r="M155" s="2"/>
      <c r="N155" s="2"/>
      <c r="O155" s="2"/>
      <c r="P155" s="2"/>
      <c r="Q155" s="616"/>
      <c r="R155" s="643"/>
      <c r="S155" s="644"/>
      <c r="T155" s="2"/>
    </row>
    <row r="156" spans="1:41" s="753" customFormat="1" ht="13.2">
      <c r="A156"/>
      <c r="B156" s="824"/>
      <c r="C156" s="824" t="s">
        <v>677</v>
      </c>
      <c r="D156" s="824" t="str">
        <f ca="1">CELL("Address",Elec_Rates!D$38)</f>
        <v>[EL25_0700_Mock_Up_Room_Elec_Estim.xlsx]Elec_Rates!$D$38</v>
      </c>
      <c r="E156" s="825"/>
      <c r="F156" s="825"/>
      <c r="G156" s="826" t="s">
        <v>678</v>
      </c>
      <c r="H156" s="826"/>
      <c r="I156" s="826"/>
      <c r="J156" s="826"/>
      <c r="K156" s="827"/>
      <c r="L156" s="825"/>
      <c r="M156" s="825"/>
      <c r="N156" s="825"/>
      <c r="O156" s="828"/>
      <c r="P156" s="825"/>
      <c r="Q156" s="829"/>
      <c r="R156" s="830"/>
      <c r="S156" s="829"/>
      <c r="T156" s="831"/>
      <c r="U156" s="832"/>
    </row>
    <row r="157" spans="1:41" s="753" customFormat="1" ht="11.4">
      <c r="A157" s="833">
        <v>4</v>
      </c>
      <c r="B157" s="834">
        <v>1</v>
      </c>
      <c r="C157" s="834">
        <f>$A157*$B157</f>
        <v>4</v>
      </c>
      <c r="D157" s="835" t="str">
        <f>Elec_Rates!$D$38</f>
        <v>004# Power Point in LSZH Conduit</v>
      </c>
      <c r="E157" s="835"/>
      <c r="F157" s="835"/>
      <c r="G157" s="836" t="s">
        <v>679</v>
      </c>
      <c r="H157" s="836"/>
      <c r="I157" s="836"/>
      <c r="J157" s="836"/>
      <c r="K157" s="837"/>
      <c r="L157" s="832"/>
      <c r="M157" s="832"/>
      <c r="N157" s="832"/>
      <c r="O157" s="838"/>
      <c r="P157" s="835"/>
      <c r="Q157" s="839">
        <f ca="1">$B157*Elec_Rates!$R$38</f>
        <v>9.52</v>
      </c>
      <c r="R157" s="830">
        <f ca="1">$A157*Q157</f>
        <v>38.08</v>
      </c>
      <c r="S157" s="839">
        <f ca="1">$B157*Elec_Rates!$T$38</f>
        <v>0.88</v>
      </c>
      <c r="T157" s="831">
        <f ca="1">$A157*S157</f>
        <v>3.52</v>
      </c>
      <c r="U157" s="840"/>
    </row>
    <row r="158" spans="1:41" s="618" customFormat="1" ht="12">
      <c r="A158" s="645"/>
      <c r="B158" s="645"/>
      <c r="C158" s="645"/>
      <c r="D158" s="645"/>
      <c r="E158" s="645"/>
      <c r="F158" s="2"/>
      <c r="G158" s="645"/>
      <c r="H158" s="645"/>
      <c r="I158" s="646"/>
      <c r="J158" s="645"/>
      <c r="K158" s="645"/>
      <c r="L158" s="645"/>
      <c r="M158" s="645"/>
      <c r="N158" s="645"/>
      <c r="O158" s="645"/>
      <c r="P158" s="645"/>
      <c r="Q158" s="646"/>
      <c r="R158" s="647">
        <f t="shared" ref="R158" si="36">$A158*Q158</f>
        <v>0</v>
      </c>
      <c r="S158" s="646"/>
      <c r="T158" s="648">
        <f t="shared" ref="T158" si="37">$A158*S158*$T$1</f>
        <v>0</v>
      </c>
    </row>
    <row r="159" spans="1:41" s="618" customFormat="1" ht="12.6" thickBot="1">
      <c r="A159" s="649" t="s">
        <v>137</v>
      </c>
      <c r="B159" s="650">
        <f>(R158+T158)</f>
        <v>0</v>
      </c>
      <c r="C159" s="651"/>
      <c r="D159" s="651"/>
      <c r="E159" s="651"/>
      <c r="F159" s="652"/>
      <c r="G159" s="651" t="s">
        <v>503</v>
      </c>
      <c r="H159" s="651"/>
      <c r="I159" s="653"/>
      <c r="J159" s="651"/>
      <c r="K159" s="651" t="s">
        <v>3</v>
      </c>
      <c r="L159" s="654" t="s">
        <v>136</v>
      </c>
      <c r="M159" s="654"/>
      <c r="N159" s="654"/>
      <c r="O159" s="654"/>
      <c r="P159" s="654"/>
      <c r="Q159" s="655"/>
      <c r="R159" s="656">
        <f ca="1">SUM(R155:R158)</f>
        <v>38.08</v>
      </c>
      <c r="S159" s="651"/>
      <c r="T159" s="656">
        <f ca="1">SUM(T155:T158)</f>
        <v>3.52</v>
      </c>
      <c r="U159" s="621"/>
      <c r="V159" s="621"/>
      <c r="W159" s="621"/>
      <c r="X159" s="621"/>
      <c r="Y159" s="621"/>
      <c r="Z159" s="621"/>
      <c r="AA159" s="621"/>
      <c r="AB159" s="621"/>
      <c r="AC159" s="621"/>
      <c r="AD159" s="621"/>
      <c r="AE159" s="621"/>
      <c r="AF159" s="621"/>
      <c r="AG159" s="621"/>
      <c r="AH159" s="621"/>
      <c r="AI159" s="621"/>
      <c r="AJ159" s="621"/>
      <c r="AK159" s="621"/>
      <c r="AL159" s="621"/>
      <c r="AM159" s="621"/>
      <c r="AN159" s="621"/>
      <c r="AO159" s="621"/>
    </row>
    <row r="160" spans="1:41" s="618" customFormat="1" ht="12" thickTop="1">
      <c r="A160" s="616"/>
      <c r="B160" s="622"/>
      <c r="C160" s="616"/>
      <c r="E160" s="37" t="s">
        <v>491</v>
      </c>
      <c r="F160" s="37" t="s">
        <v>492</v>
      </c>
      <c r="G160" s="616"/>
      <c r="H160" s="616"/>
      <c r="I160" s="616"/>
      <c r="J160" s="616"/>
      <c r="K160" s="616" t="s">
        <v>493</v>
      </c>
      <c r="L160" s="616"/>
      <c r="M160" s="616"/>
      <c r="N160" s="616"/>
      <c r="O160" s="617"/>
      <c r="P160" s="616"/>
      <c r="Q160" s="616"/>
      <c r="R160" s="616"/>
      <c r="S160" s="616"/>
      <c r="T160" s="622"/>
      <c r="AG160" s="623" t="s">
        <v>494</v>
      </c>
      <c r="AH160" s="623" t="s">
        <v>495</v>
      </c>
      <c r="AI160" s="623" t="s">
        <v>496</v>
      </c>
      <c r="AJ160" s="623" t="s">
        <v>497</v>
      </c>
      <c r="AK160" s="623" t="s">
        <v>498</v>
      </c>
      <c r="AM160" s="624" t="s">
        <v>499</v>
      </c>
      <c r="AN160" s="625" t="s">
        <v>500</v>
      </c>
      <c r="AO160" s="626" t="s">
        <v>501</v>
      </c>
    </row>
    <row r="161" spans="1:41" s="618" customFormat="1" ht="12" customHeight="1">
      <c r="A161" s="627">
        <v>7</v>
      </c>
      <c r="B161" s="628" t="s">
        <v>294</v>
      </c>
      <c r="C161" s="629"/>
      <c r="D161" s="630" t="s">
        <v>518</v>
      </c>
      <c r="E161" s="631">
        <f ca="1">IF(AND($A161=0,$A$1="DIF"),0, ROUND(ROUND(($R166*$S$2+($T166*$T$2))/A161,2)*$C$2,2))</f>
        <v>34.89</v>
      </c>
      <c r="F161" s="632">
        <f ca="1">ROUND($A161*$E161,2)</f>
        <v>244.23</v>
      </c>
      <c r="G161" s="88" t="s">
        <v>135</v>
      </c>
      <c r="H161" s="2"/>
      <c r="I161" s="633"/>
      <c r="J161" s="2"/>
      <c r="K161" s="2" t="s">
        <v>3</v>
      </c>
      <c r="L161" s="634" t="s">
        <v>136</v>
      </c>
      <c r="M161" s="634"/>
      <c r="N161" s="634"/>
      <c r="O161" s="634"/>
      <c r="P161" s="634"/>
      <c r="Q161" s="616"/>
      <c r="T161" s="635" t="str">
        <f ca="1">IF(AND($R166=0,$T166=0),"0.00","mu :" &amp; ROUND($F161/$C$2/($R166+$T166*$D$9),2))</f>
        <v>mu :1</v>
      </c>
      <c r="W161" s="636"/>
      <c r="AG161" s="637">
        <f ca="1">IF($E161=0,0,ROUND($R166*$S$2*$C$2/$A161,2))</f>
        <v>9.52</v>
      </c>
      <c r="AH161" s="637">
        <f ca="1">$AG161*$A161</f>
        <v>66.64</v>
      </c>
      <c r="AI161" s="638">
        <f ca="1">$E161-$AG161</f>
        <v>25.37</v>
      </c>
      <c r="AJ161" s="638">
        <f ca="1">$A161*$AI161</f>
        <v>177.59</v>
      </c>
      <c r="AK161" s="639">
        <f ca="1">ROUND(($AG161+$AI161)*$A161,2)</f>
        <v>244.23</v>
      </c>
      <c r="AM161" s="640">
        <f ca="1">ROUND(R166,2)</f>
        <v>66.64</v>
      </c>
      <c r="AN161" s="641">
        <f ca="1">ROUND(T166,2)</f>
        <v>6.16</v>
      </c>
      <c r="AO161" s="642">
        <f ca="1">ROUND(AM161+AN161,2)*A161</f>
        <v>509.59999999999997</v>
      </c>
    </row>
    <row r="162" spans="1:41" s="618" customFormat="1" ht="13.2">
      <c r="A162" s="629"/>
      <c r="B162"/>
      <c r="C162" s="629"/>
      <c r="D162" s="630" t="s">
        <v>302</v>
      </c>
      <c r="F162" s="2"/>
      <c r="G162" s="3"/>
      <c r="H162" s="2"/>
      <c r="I162" s="633"/>
      <c r="J162" s="2"/>
      <c r="K162" s="2" t="s">
        <v>502</v>
      </c>
      <c r="L162" s="2"/>
      <c r="M162" s="2"/>
      <c r="N162" s="2"/>
      <c r="O162" s="2"/>
      <c r="P162" s="2"/>
      <c r="Q162" s="616"/>
      <c r="R162" s="643"/>
      <c r="S162" s="644"/>
      <c r="T162" s="2"/>
    </row>
    <row r="163" spans="1:41" s="753" customFormat="1" ht="13.2">
      <c r="A163"/>
      <c r="B163" s="824"/>
      <c r="C163" s="824" t="s">
        <v>677</v>
      </c>
      <c r="D163" s="824" t="str">
        <f ca="1">CELL("Address",Elec_Rates!D$38)</f>
        <v>[EL25_0700_Mock_Up_Room_Elec_Estim.xlsx]Elec_Rates!$D$38</v>
      </c>
      <c r="E163" s="825"/>
      <c r="F163" s="825"/>
      <c r="G163" s="826" t="s">
        <v>678</v>
      </c>
      <c r="H163" s="826"/>
      <c r="I163" s="826"/>
      <c r="J163" s="826"/>
      <c r="K163" s="827"/>
      <c r="L163" s="825"/>
      <c r="M163" s="825"/>
      <c r="N163" s="825"/>
      <c r="O163" s="828"/>
      <c r="P163" s="825"/>
      <c r="Q163" s="829"/>
      <c r="R163" s="830"/>
      <c r="S163" s="829"/>
      <c r="T163" s="831"/>
      <c r="U163" s="832"/>
    </row>
    <row r="164" spans="1:41" s="753" customFormat="1" ht="11.4">
      <c r="A164" s="833">
        <v>7</v>
      </c>
      <c r="B164" s="834">
        <v>1</v>
      </c>
      <c r="C164" s="834">
        <f>$A164*$B164</f>
        <v>7</v>
      </c>
      <c r="D164" s="835" t="str">
        <f>Elec_Rates!$D$38</f>
        <v>004# Power Point in LSZH Conduit</v>
      </c>
      <c r="E164" s="835"/>
      <c r="F164" s="835"/>
      <c r="G164" s="836" t="s">
        <v>679</v>
      </c>
      <c r="H164" s="836"/>
      <c r="I164" s="836"/>
      <c r="J164" s="836"/>
      <c r="K164" s="837"/>
      <c r="L164" s="832"/>
      <c r="M164" s="832"/>
      <c r="N164" s="832"/>
      <c r="O164" s="838"/>
      <c r="P164" s="835"/>
      <c r="Q164" s="839">
        <f ca="1">$B164*Elec_Rates!$R$38</f>
        <v>9.52</v>
      </c>
      <c r="R164" s="830">
        <f ca="1">$A164*Q164</f>
        <v>66.64</v>
      </c>
      <c r="S164" s="839">
        <f ca="1">$B164*Elec_Rates!$T$38</f>
        <v>0.88</v>
      </c>
      <c r="T164" s="831">
        <f ca="1">$A164*S164</f>
        <v>6.16</v>
      </c>
      <c r="U164" s="840"/>
    </row>
    <row r="165" spans="1:41" s="618" customFormat="1" ht="12">
      <c r="A165" s="645"/>
      <c r="B165" s="645"/>
      <c r="C165" s="645"/>
      <c r="D165" s="645"/>
      <c r="E165" s="645"/>
      <c r="F165" s="2"/>
      <c r="G165" s="645"/>
      <c r="H165" s="645"/>
      <c r="I165" s="646"/>
      <c r="J165" s="645"/>
      <c r="K165" s="645"/>
      <c r="L165" s="645"/>
      <c r="M165" s="645"/>
      <c r="N165" s="645"/>
      <c r="O165" s="645"/>
      <c r="P165" s="645"/>
      <c r="Q165" s="646"/>
      <c r="R165" s="647">
        <f t="shared" ref="R165" si="38">$A165*Q165</f>
        <v>0</v>
      </c>
      <c r="S165" s="646"/>
      <c r="T165" s="648">
        <f t="shared" ref="T165" si="39">$A165*S165*$T$1</f>
        <v>0</v>
      </c>
    </row>
    <row r="166" spans="1:41" s="618" customFormat="1" ht="12.6" thickBot="1">
      <c r="A166" s="649" t="s">
        <v>137</v>
      </c>
      <c r="B166" s="650">
        <f>(R165+T165)</f>
        <v>0</v>
      </c>
      <c r="C166" s="651"/>
      <c r="D166" s="651"/>
      <c r="E166" s="651"/>
      <c r="F166" s="652"/>
      <c r="G166" s="651" t="s">
        <v>503</v>
      </c>
      <c r="H166" s="651"/>
      <c r="I166" s="653"/>
      <c r="J166" s="651"/>
      <c r="K166" s="651" t="s">
        <v>3</v>
      </c>
      <c r="L166" s="654" t="s">
        <v>136</v>
      </c>
      <c r="M166" s="654"/>
      <c r="N166" s="654"/>
      <c r="O166" s="654"/>
      <c r="P166" s="654"/>
      <c r="Q166" s="655"/>
      <c r="R166" s="656">
        <f ca="1">SUM(R162:R165)</f>
        <v>66.64</v>
      </c>
      <c r="S166" s="651"/>
      <c r="T166" s="656">
        <f ca="1">SUM(T162:T165)</f>
        <v>6.16</v>
      </c>
      <c r="U166" s="621"/>
      <c r="V166" s="621"/>
      <c r="W166" s="621"/>
      <c r="X166" s="621"/>
      <c r="Y166" s="621"/>
      <c r="Z166" s="621"/>
      <c r="AA166" s="621"/>
      <c r="AB166" s="621"/>
      <c r="AC166" s="621"/>
      <c r="AD166" s="621"/>
      <c r="AE166" s="621"/>
      <c r="AF166" s="621"/>
      <c r="AG166" s="621"/>
      <c r="AH166" s="621"/>
      <c r="AI166" s="621"/>
      <c r="AJ166" s="621"/>
      <c r="AK166" s="621"/>
      <c r="AL166" s="621"/>
      <c r="AM166" s="621"/>
      <c r="AN166" s="621"/>
      <c r="AO166" s="621"/>
    </row>
    <row r="167" spans="1:41" s="618" customFormat="1" ht="12" thickTop="1">
      <c r="A167" s="616"/>
      <c r="B167" s="622"/>
      <c r="C167" s="616"/>
      <c r="E167" s="37" t="s">
        <v>491</v>
      </c>
      <c r="F167" s="37" t="s">
        <v>492</v>
      </c>
      <c r="G167" s="616"/>
      <c r="H167" s="616"/>
      <c r="I167" s="616"/>
      <c r="J167" s="616"/>
      <c r="K167" s="616" t="s">
        <v>493</v>
      </c>
      <c r="L167" s="616"/>
      <c r="M167" s="616"/>
      <c r="N167" s="616"/>
      <c r="O167" s="617"/>
      <c r="P167" s="616"/>
      <c r="Q167" s="616"/>
      <c r="R167" s="616"/>
      <c r="S167" s="616"/>
      <c r="T167" s="622"/>
      <c r="AG167" s="623" t="s">
        <v>494</v>
      </c>
      <c r="AH167" s="623" t="s">
        <v>495</v>
      </c>
      <c r="AI167" s="623" t="s">
        <v>496</v>
      </c>
      <c r="AJ167" s="623" t="s">
        <v>497</v>
      </c>
      <c r="AK167" s="623" t="s">
        <v>498</v>
      </c>
      <c r="AM167" s="624" t="s">
        <v>499</v>
      </c>
      <c r="AN167" s="625" t="s">
        <v>500</v>
      </c>
      <c r="AO167" s="626" t="s">
        <v>501</v>
      </c>
    </row>
    <row r="168" spans="1:41" s="618" customFormat="1" ht="12" customHeight="1">
      <c r="A168" s="627">
        <v>1</v>
      </c>
      <c r="B168" s="628" t="s">
        <v>294</v>
      </c>
      <c r="C168" s="629"/>
      <c r="D168" s="630" t="s">
        <v>519</v>
      </c>
      <c r="E168" s="631">
        <f ca="1">IF(AND($A168=0,$A$1="DIF"),0, ROUND(ROUND(($R173*$S$2+($T173*$T$2))/A168,2)*$C$2,2))</f>
        <v>34.89</v>
      </c>
      <c r="F168" s="632">
        <f ca="1">ROUND($A168*$E168,2)</f>
        <v>34.89</v>
      </c>
      <c r="G168" s="88" t="s">
        <v>135</v>
      </c>
      <c r="H168" s="2"/>
      <c r="I168" s="633"/>
      <c r="J168" s="2"/>
      <c r="K168" s="2" t="s">
        <v>3</v>
      </c>
      <c r="L168" s="634" t="s">
        <v>136</v>
      </c>
      <c r="M168" s="634"/>
      <c r="N168" s="634"/>
      <c r="O168" s="634"/>
      <c r="P168" s="634"/>
      <c r="Q168" s="616"/>
      <c r="T168" s="635" t="str">
        <f ca="1">IF(AND($R173=0,$T173=0),"0.00","mu :" &amp; ROUND($F168/$C$2/($R173+$T173*$D$9),2))</f>
        <v>mu :1</v>
      </c>
      <c r="W168" s="636"/>
      <c r="AG168" s="637">
        <f ca="1">IF($E168=0,0,ROUND($R173*$S$2*$C$2/$A168,2))</f>
        <v>9.52</v>
      </c>
      <c r="AH168" s="637">
        <f ca="1">$AG168*$A168</f>
        <v>9.52</v>
      </c>
      <c r="AI168" s="638">
        <f ca="1">$E168-$AG168</f>
        <v>25.37</v>
      </c>
      <c r="AJ168" s="638">
        <f ca="1">$A168*$AI168</f>
        <v>25.37</v>
      </c>
      <c r="AK168" s="639">
        <f ca="1">ROUND(($AG168+$AI168)*$A168,2)</f>
        <v>34.89</v>
      </c>
      <c r="AM168" s="640">
        <f ca="1">ROUND(R173,2)</f>
        <v>9.52</v>
      </c>
      <c r="AN168" s="641">
        <f ca="1">ROUND(T173,2)</f>
        <v>0.88</v>
      </c>
      <c r="AO168" s="642">
        <f ca="1">ROUND(AM168+AN168,2)*A168</f>
        <v>10.4</v>
      </c>
    </row>
    <row r="169" spans="1:41" s="618" customFormat="1" ht="13.2">
      <c r="A169" s="629"/>
      <c r="B169"/>
      <c r="C169" s="629"/>
      <c r="D169" s="630" t="s">
        <v>303</v>
      </c>
      <c r="F169" s="2"/>
      <c r="G169" s="3"/>
      <c r="H169" s="2"/>
      <c r="I169" s="633"/>
      <c r="J169" s="2"/>
      <c r="K169" s="2" t="s">
        <v>502</v>
      </c>
      <c r="L169" s="2"/>
      <c r="M169" s="2"/>
      <c r="N169" s="2"/>
      <c r="O169" s="2"/>
      <c r="P169" s="2"/>
      <c r="Q169" s="616"/>
      <c r="R169" s="643"/>
      <c r="S169" s="644"/>
      <c r="T169" s="2"/>
    </row>
    <row r="170" spans="1:41" s="753" customFormat="1" ht="13.2">
      <c r="A170"/>
      <c r="B170" s="824"/>
      <c r="C170" s="824" t="s">
        <v>677</v>
      </c>
      <c r="D170" s="824" t="str">
        <f ca="1">CELL("Address",Elec_Rates!D$38)</f>
        <v>[EL25_0700_Mock_Up_Room_Elec_Estim.xlsx]Elec_Rates!$D$38</v>
      </c>
      <c r="E170" s="825"/>
      <c r="F170" s="825"/>
      <c r="G170" s="826" t="s">
        <v>678</v>
      </c>
      <c r="H170" s="826"/>
      <c r="I170" s="826"/>
      <c r="J170" s="826"/>
      <c r="K170" s="827"/>
      <c r="L170" s="825"/>
      <c r="M170" s="825"/>
      <c r="N170" s="825"/>
      <c r="O170" s="828"/>
      <c r="P170" s="825"/>
      <c r="Q170" s="829"/>
      <c r="R170" s="830"/>
      <c r="S170" s="829"/>
      <c r="T170" s="831"/>
      <c r="U170" s="832"/>
    </row>
    <row r="171" spans="1:41" s="753" customFormat="1" ht="11.4">
      <c r="A171" s="833">
        <v>1</v>
      </c>
      <c r="B171" s="834">
        <v>1</v>
      </c>
      <c r="C171" s="834">
        <f>$A171*$B171</f>
        <v>1</v>
      </c>
      <c r="D171" s="835" t="str">
        <f>Elec_Rates!$D$38</f>
        <v>004# Power Point in LSZH Conduit</v>
      </c>
      <c r="E171" s="835"/>
      <c r="F171" s="835"/>
      <c r="G171" s="836" t="s">
        <v>679</v>
      </c>
      <c r="H171" s="836"/>
      <c r="I171" s="836"/>
      <c r="J171" s="836"/>
      <c r="K171" s="837"/>
      <c r="L171" s="832"/>
      <c r="M171" s="832"/>
      <c r="N171" s="832"/>
      <c r="O171" s="838"/>
      <c r="P171" s="835"/>
      <c r="Q171" s="839">
        <f ca="1">$B171*Elec_Rates!$R$38</f>
        <v>9.52</v>
      </c>
      <c r="R171" s="830">
        <f ca="1">$A171*Q171</f>
        <v>9.52</v>
      </c>
      <c r="S171" s="839">
        <f ca="1">$B171*Elec_Rates!$T$38</f>
        <v>0.88</v>
      </c>
      <c r="T171" s="831">
        <f ca="1">$A171*S171</f>
        <v>0.88</v>
      </c>
      <c r="U171" s="840"/>
    </row>
    <row r="172" spans="1:41" s="618" customFormat="1" ht="12">
      <c r="A172" s="645"/>
      <c r="B172" s="645"/>
      <c r="C172" s="645"/>
      <c r="D172" s="645"/>
      <c r="E172" s="645"/>
      <c r="F172" s="2"/>
      <c r="G172" s="645"/>
      <c r="H172" s="645"/>
      <c r="I172" s="646"/>
      <c r="J172" s="645"/>
      <c r="K172" s="645"/>
      <c r="L172" s="645"/>
      <c r="M172" s="645"/>
      <c r="N172" s="645"/>
      <c r="O172" s="645"/>
      <c r="P172" s="645"/>
      <c r="Q172" s="646"/>
      <c r="R172" s="647">
        <f t="shared" ref="R172" si="40">$A172*Q172</f>
        <v>0</v>
      </c>
      <c r="S172" s="646"/>
      <c r="T172" s="648">
        <f t="shared" ref="T172" si="41">$A172*S172*$T$1</f>
        <v>0</v>
      </c>
    </row>
    <row r="173" spans="1:41" s="618" customFormat="1" ht="12.6" thickBot="1">
      <c r="A173" s="649" t="s">
        <v>137</v>
      </c>
      <c r="B173" s="650">
        <f>(R172+T172)</f>
        <v>0</v>
      </c>
      <c r="C173" s="651"/>
      <c r="D173" s="651"/>
      <c r="E173" s="651"/>
      <c r="F173" s="652"/>
      <c r="G173" s="651" t="s">
        <v>503</v>
      </c>
      <c r="H173" s="651"/>
      <c r="I173" s="653"/>
      <c r="J173" s="651"/>
      <c r="K173" s="651" t="s">
        <v>3</v>
      </c>
      <c r="L173" s="654" t="s">
        <v>136</v>
      </c>
      <c r="M173" s="654"/>
      <c r="N173" s="654"/>
      <c r="O173" s="654"/>
      <c r="P173" s="654"/>
      <c r="Q173" s="655"/>
      <c r="R173" s="656">
        <f ca="1">SUM(R169:R172)</f>
        <v>9.52</v>
      </c>
      <c r="S173" s="651"/>
      <c r="T173" s="656">
        <f ca="1">SUM(T169:T172)</f>
        <v>0.88</v>
      </c>
      <c r="U173" s="621"/>
      <c r="V173" s="621"/>
      <c r="W173" s="621"/>
      <c r="X173" s="621"/>
      <c r="Y173" s="621"/>
      <c r="Z173" s="621"/>
      <c r="AA173" s="621"/>
      <c r="AB173" s="621"/>
      <c r="AC173" s="621"/>
      <c r="AD173" s="621"/>
      <c r="AE173" s="621"/>
      <c r="AF173" s="621"/>
      <c r="AG173" s="621"/>
      <c r="AH173" s="621"/>
      <c r="AI173" s="621"/>
      <c r="AJ173" s="621"/>
      <c r="AK173" s="621"/>
      <c r="AL173" s="621"/>
      <c r="AM173" s="621"/>
      <c r="AN173" s="621"/>
      <c r="AO173" s="621"/>
    </row>
    <row r="174" spans="1:41" s="618" customFormat="1" ht="12" thickTop="1">
      <c r="A174" s="616"/>
      <c r="B174" s="622"/>
      <c r="C174" s="616"/>
      <c r="E174" s="37" t="s">
        <v>491</v>
      </c>
      <c r="F174" s="37" t="s">
        <v>492</v>
      </c>
      <c r="G174" s="616"/>
      <c r="H174" s="616"/>
      <c r="I174" s="616"/>
      <c r="J174" s="616"/>
      <c r="K174" s="616" t="s">
        <v>493</v>
      </c>
      <c r="L174" s="616"/>
      <c r="M174" s="616"/>
      <c r="N174" s="616"/>
      <c r="O174" s="617"/>
      <c r="P174" s="616"/>
      <c r="Q174" s="616"/>
      <c r="R174" s="616"/>
      <c r="S174" s="616"/>
      <c r="T174" s="622"/>
      <c r="AG174" s="623" t="s">
        <v>494</v>
      </c>
      <c r="AH174" s="623" t="s">
        <v>495</v>
      </c>
      <c r="AI174" s="623" t="s">
        <v>496</v>
      </c>
      <c r="AJ174" s="623" t="s">
        <v>497</v>
      </c>
      <c r="AK174" s="623" t="s">
        <v>498</v>
      </c>
      <c r="AM174" s="624" t="s">
        <v>499</v>
      </c>
      <c r="AN174" s="625" t="s">
        <v>500</v>
      </c>
      <c r="AO174" s="626" t="s">
        <v>501</v>
      </c>
    </row>
    <row r="175" spans="1:41" s="618" customFormat="1" ht="12" customHeight="1">
      <c r="A175" s="627">
        <v>1</v>
      </c>
      <c r="B175" s="628" t="s">
        <v>294</v>
      </c>
      <c r="C175" s="629"/>
      <c r="D175" s="630" t="s">
        <v>520</v>
      </c>
      <c r="E175" s="631">
        <f ca="1">IF(AND($A175=0,$A$1="DIF"),0, ROUND(ROUND(($R180*$S$2+($T180*$T$2))/A175,2)*$C$2,2))</f>
        <v>34.89</v>
      </c>
      <c r="F175" s="632">
        <f ca="1">ROUND($A175*$E175,2)</f>
        <v>34.89</v>
      </c>
      <c r="G175" s="88" t="s">
        <v>135</v>
      </c>
      <c r="H175" s="2"/>
      <c r="I175" s="633"/>
      <c r="J175" s="2"/>
      <c r="K175" s="2" t="s">
        <v>3</v>
      </c>
      <c r="L175" s="634" t="s">
        <v>136</v>
      </c>
      <c r="M175" s="634"/>
      <c r="N175" s="634"/>
      <c r="O175" s="634"/>
      <c r="P175" s="634"/>
      <c r="Q175" s="616"/>
      <c r="T175" s="635" t="str">
        <f ca="1">IF(AND($R180=0,$T180=0),"0.00","mu :" &amp; ROUND($F175/$C$2/($R180+$T180*$D$9),2))</f>
        <v>mu :1</v>
      </c>
      <c r="W175" s="636"/>
      <c r="AG175" s="637">
        <f ca="1">IF($E175=0,0,ROUND($R180*$S$2*$C$2/$A175,2))</f>
        <v>9.52</v>
      </c>
      <c r="AH175" s="637">
        <f ca="1">$AG175*$A175</f>
        <v>9.52</v>
      </c>
      <c r="AI175" s="638">
        <f ca="1">$E175-$AG175</f>
        <v>25.37</v>
      </c>
      <c r="AJ175" s="638">
        <f ca="1">$A175*$AI175</f>
        <v>25.37</v>
      </c>
      <c r="AK175" s="639">
        <f ca="1">ROUND(($AG175+$AI175)*$A175,2)</f>
        <v>34.89</v>
      </c>
      <c r="AM175" s="640">
        <f ca="1">ROUND(R180,2)</f>
        <v>9.52</v>
      </c>
      <c r="AN175" s="641">
        <f ca="1">ROUND(T180,2)</f>
        <v>0.88</v>
      </c>
      <c r="AO175" s="642">
        <f ca="1">ROUND(AM175+AN175,2)*A175</f>
        <v>10.4</v>
      </c>
    </row>
    <row r="176" spans="1:41" s="618" customFormat="1" ht="13.2">
      <c r="A176" s="629"/>
      <c r="B176"/>
      <c r="C176" s="629"/>
      <c r="D176" s="630" t="s">
        <v>304</v>
      </c>
      <c r="F176" s="2"/>
      <c r="G176" s="3"/>
      <c r="H176" s="2"/>
      <c r="I176" s="633"/>
      <c r="J176" s="2"/>
      <c r="K176" s="2" t="s">
        <v>502</v>
      </c>
      <c r="L176" s="2"/>
      <c r="M176" s="2"/>
      <c r="N176" s="2"/>
      <c r="O176" s="2"/>
      <c r="P176" s="2"/>
      <c r="Q176" s="616"/>
      <c r="R176" s="643"/>
      <c r="S176" s="644"/>
      <c r="T176" s="2"/>
    </row>
    <row r="177" spans="1:41" s="753" customFormat="1" ht="13.2">
      <c r="A177"/>
      <c r="B177" s="824"/>
      <c r="C177" s="824" t="s">
        <v>677</v>
      </c>
      <c r="D177" s="824" t="str">
        <f ca="1">CELL("Address",Elec_Rates!D$38)</f>
        <v>[EL25_0700_Mock_Up_Room_Elec_Estim.xlsx]Elec_Rates!$D$38</v>
      </c>
      <c r="E177" s="825"/>
      <c r="F177" s="825"/>
      <c r="G177" s="826" t="s">
        <v>678</v>
      </c>
      <c r="H177" s="826"/>
      <c r="I177" s="826"/>
      <c r="J177" s="826"/>
      <c r="K177" s="827"/>
      <c r="L177" s="825"/>
      <c r="M177" s="825"/>
      <c r="N177" s="825"/>
      <c r="O177" s="828"/>
      <c r="P177" s="825"/>
      <c r="Q177" s="829"/>
      <c r="R177" s="830"/>
      <c r="S177" s="829"/>
      <c r="T177" s="831"/>
      <c r="U177" s="832"/>
    </row>
    <row r="178" spans="1:41" s="753" customFormat="1" ht="11.4">
      <c r="A178" s="833">
        <v>1</v>
      </c>
      <c r="B178" s="834">
        <v>1</v>
      </c>
      <c r="C178" s="834">
        <f>$A178*$B178</f>
        <v>1</v>
      </c>
      <c r="D178" s="835" t="str">
        <f>Elec_Rates!$D$38</f>
        <v>004# Power Point in LSZH Conduit</v>
      </c>
      <c r="E178" s="835"/>
      <c r="F178" s="835"/>
      <c r="G178" s="836" t="s">
        <v>679</v>
      </c>
      <c r="H178" s="836"/>
      <c r="I178" s="836"/>
      <c r="J178" s="836"/>
      <c r="K178" s="837"/>
      <c r="L178" s="832"/>
      <c r="M178" s="832"/>
      <c r="N178" s="832"/>
      <c r="O178" s="838"/>
      <c r="P178" s="835"/>
      <c r="Q178" s="839">
        <f ca="1">$B178*Elec_Rates!$R$38</f>
        <v>9.52</v>
      </c>
      <c r="R178" s="830">
        <f ca="1">$A178*Q178</f>
        <v>9.52</v>
      </c>
      <c r="S178" s="839">
        <f ca="1">$B178*Elec_Rates!$T$38</f>
        <v>0.88</v>
      </c>
      <c r="T178" s="831">
        <f ca="1">$A178*S178</f>
        <v>0.88</v>
      </c>
      <c r="U178" s="840"/>
    </row>
    <row r="179" spans="1:41" s="618" customFormat="1" ht="12">
      <c r="A179" s="645"/>
      <c r="B179" s="645"/>
      <c r="C179" s="645"/>
      <c r="D179" s="645"/>
      <c r="E179" s="645"/>
      <c r="F179" s="2"/>
      <c r="G179" s="645"/>
      <c r="H179" s="645"/>
      <c r="I179" s="646"/>
      <c r="J179" s="645"/>
      <c r="K179" s="645"/>
      <c r="L179" s="645"/>
      <c r="M179" s="645"/>
      <c r="N179" s="645"/>
      <c r="O179" s="645"/>
      <c r="P179" s="645"/>
      <c r="Q179" s="646"/>
      <c r="R179" s="647">
        <f t="shared" ref="R179" si="42">$A179*Q179</f>
        <v>0</v>
      </c>
      <c r="S179" s="646"/>
      <c r="T179" s="648">
        <f t="shared" ref="T179" si="43">$A179*S179*$T$1</f>
        <v>0</v>
      </c>
    </row>
    <row r="180" spans="1:41" s="618" customFormat="1" ht="12.6" thickBot="1">
      <c r="A180" s="649" t="s">
        <v>137</v>
      </c>
      <c r="B180" s="650">
        <f>(R179+T179)</f>
        <v>0</v>
      </c>
      <c r="C180" s="651"/>
      <c r="D180" s="651"/>
      <c r="E180" s="651"/>
      <c r="F180" s="652"/>
      <c r="G180" s="651" t="s">
        <v>503</v>
      </c>
      <c r="H180" s="651"/>
      <c r="I180" s="653"/>
      <c r="J180" s="651"/>
      <c r="K180" s="651" t="s">
        <v>3</v>
      </c>
      <c r="L180" s="654" t="s">
        <v>136</v>
      </c>
      <c r="M180" s="654"/>
      <c r="N180" s="654"/>
      <c r="O180" s="654"/>
      <c r="P180" s="654"/>
      <c r="Q180" s="655"/>
      <c r="R180" s="656">
        <f ca="1">SUM(R176:R179)</f>
        <v>9.52</v>
      </c>
      <c r="S180" s="651"/>
      <c r="T180" s="656">
        <f ca="1">SUM(T176:T179)</f>
        <v>0.88</v>
      </c>
      <c r="U180" s="621"/>
      <c r="V180" s="621"/>
      <c r="W180" s="621"/>
      <c r="X180" s="621"/>
      <c r="Y180" s="621"/>
      <c r="Z180" s="621"/>
      <c r="AA180" s="621"/>
      <c r="AB180" s="621"/>
      <c r="AC180" s="621"/>
      <c r="AD180" s="621"/>
      <c r="AE180" s="621"/>
      <c r="AF180" s="621"/>
      <c r="AG180" s="621"/>
      <c r="AH180" s="621"/>
      <c r="AI180" s="621"/>
      <c r="AJ180" s="621"/>
      <c r="AK180" s="621"/>
      <c r="AL180" s="621"/>
      <c r="AM180" s="621"/>
      <c r="AN180" s="621"/>
      <c r="AO180" s="621"/>
    </row>
    <row r="181" spans="1:41" s="618" customFormat="1" ht="12" thickTop="1">
      <c r="A181" s="616"/>
      <c r="B181" s="622"/>
      <c r="C181" s="616"/>
      <c r="E181" s="37" t="s">
        <v>491</v>
      </c>
      <c r="F181" s="37" t="s">
        <v>492</v>
      </c>
      <c r="G181" s="616"/>
      <c r="H181" s="616"/>
      <c r="I181" s="616"/>
      <c r="J181" s="616"/>
      <c r="K181" s="616" t="s">
        <v>493</v>
      </c>
      <c r="L181" s="616"/>
      <c r="M181" s="616"/>
      <c r="N181" s="616"/>
      <c r="O181" s="617"/>
      <c r="P181" s="616"/>
      <c r="Q181" s="616"/>
      <c r="R181" s="616"/>
      <c r="S181" s="616"/>
      <c r="T181" s="622"/>
      <c r="AG181" s="623" t="s">
        <v>494</v>
      </c>
      <c r="AH181" s="623" t="s">
        <v>495</v>
      </c>
      <c r="AI181" s="623" t="s">
        <v>496</v>
      </c>
      <c r="AJ181" s="623" t="s">
        <v>497</v>
      </c>
      <c r="AK181" s="623" t="s">
        <v>498</v>
      </c>
      <c r="AM181" s="624" t="s">
        <v>499</v>
      </c>
      <c r="AN181" s="625" t="s">
        <v>500</v>
      </c>
      <c r="AO181" s="626" t="s">
        <v>501</v>
      </c>
    </row>
    <row r="182" spans="1:41" s="618" customFormat="1" ht="12" customHeight="1">
      <c r="A182" s="627">
        <v>1</v>
      </c>
      <c r="B182" s="628" t="s">
        <v>294</v>
      </c>
      <c r="C182" s="629"/>
      <c r="D182" s="630" t="s">
        <v>521</v>
      </c>
      <c r="E182" s="631">
        <f ca="1">IF(AND($A182=0,$A$1="DIF"),0, ROUND(ROUND(($R187*$S$2+($T187*$T$2))/A182,2)*$C$2,2))</f>
        <v>34.89</v>
      </c>
      <c r="F182" s="632">
        <f ca="1">ROUND($A182*$E182,2)</f>
        <v>34.89</v>
      </c>
      <c r="G182" s="88" t="s">
        <v>135</v>
      </c>
      <c r="H182" s="2"/>
      <c r="I182" s="633"/>
      <c r="J182" s="2"/>
      <c r="K182" s="2" t="s">
        <v>3</v>
      </c>
      <c r="L182" s="634" t="s">
        <v>136</v>
      </c>
      <c r="M182" s="634"/>
      <c r="N182" s="634"/>
      <c r="O182" s="634"/>
      <c r="P182" s="634"/>
      <c r="Q182" s="616"/>
      <c r="T182" s="635" t="str">
        <f ca="1">IF(AND($R187=0,$T187=0),"0.00","mu :" &amp; ROUND($F182/$C$2/($R187+$T187*$D$9),2))</f>
        <v>mu :1</v>
      </c>
      <c r="W182" s="636"/>
      <c r="AG182" s="637">
        <f ca="1">IF($E182=0,0,ROUND($R187*$S$2*$C$2/$A182,2))</f>
        <v>9.52</v>
      </c>
      <c r="AH182" s="637">
        <f ca="1">$AG182*$A182</f>
        <v>9.52</v>
      </c>
      <c r="AI182" s="638">
        <f ca="1">$E182-$AG182</f>
        <v>25.37</v>
      </c>
      <c r="AJ182" s="638">
        <f ca="1">$A182*$AI182</f>
        <v>25.37</v>
      </c>
      <c r="AK182" s="639">
        <f ca="1">ROUND(($AG182+$AI182)*$A182,2)</f>
        <v>34.89</v>
      </c>
      <c r="AM182" s="640">
        <f ca="1">ROUND(R187,2)</f>
        <v>9.52</v>
      </c>
      <c r="AN182" s="641">
        <f ca="1">ROUND(T187,2)</f>
        <v>0.88</v>
      </c>
      <c r="AO182" s="642">
        <f ca="1">ROUND(AM182+AN182,2)*A182</f>
        <v>10.4</v>
      </c>
    </row>
    <row r="183" spans="1:41" s="618" customFormat="1" ht="13.2">
      <c r="A183" s="629"/>
      <c r="B183"/>
      <c r="C183" s="629"/>
      <c r="D183" s="630" t="s">
        <v>305</v>
      </c>
      <c r="F183" s="2"/>
      <c r="G183" s="3"/>
      <c r="H183" s="2"/>
      <c r="I183" s="633"/>
      <c r="J183" s="2"/>
      <c r="K183" s="2" t="s">
        <v>502</v>
      </c>
      <c r="L183" s="2"/>
      <c r="M183" s="2"/>
      <c r="N183" s="2"/>
      <c r="O183" s="2"/>
      <c r="P183" s="2"/>
      <c r="Q183" s="616"/>
      <c r="R183" s="643"/>
      <c r="S183" s="644"/>
      <c r="T183" s="2"/>
    </row>
    <row r="184" spans="1:41" s="753" customFormat="1" ht="13.2">
      <c r="A184"/>
      <c r="B184" s="824"/>
      <c r="C184" s="824" t="s">
        <v>677</v>
      </c>
      <c r="D184" s="824" t="str">
        <f ca="1">CELL("Address",Elec_Rates!D$38)</f>
        <v>[EL25_0700_Mock_Up_Room_Elec_Estim.xlsx]Elec_Rates!$D$38</v>
      </c>
      <c r="E184" s="825"/>
      <c r="F184" s="825"/>
      <c r="G184" s="826" t="s">
        <v>678</v>
      </c>
      <c r="H184" s="826"/>
      <c r="I184" s="826"/>
      <c r="J184" s="826"/>
      <c r="K184" s="827"/>
      <c r="L184" s="825"/>
      <c r="M184" s="825"/>
      <c r="N184" s="825"/>
      <c r="O184" s="828"/>
      <c r="P184" s="825"/>
      <c r="Q184" s="829"/>
      <c r="R184" s="830"/>
      <c r="S184" s="829"/>
      <c r="T184" s="831"/>
      <c r="U184" s="832"/>
    </row>
    <row r="185" spans="1:41" s="753" customFormat="1" ht="11.4">
      <c r="A185" s="833">
        <v>1</v>
      </c>
      <c r="B185" s="834">
        <v>1</v>
      </c>
      <c r="C185" s="834">
        <f>$A185*$B185</f>
        <v>1</v>
      </c>
      <c r="D185" s="835" t="str">
        <f>Elec_Rates!$D$38</f>
        <v>004# Power Point in LSZH Conduit</v>
      </c>
      <c r="E185" s="835"/>
      <c r="F185" s="835"/>
      <c r="G185" s="836" t="s">
        <v>679</v>
      </c>
      <c r="H185" s="836"/>
      <c r="I185" s="836"/>
      <c r="J185" s="836"/>
      <c r="K185" s="837"/>
      <c r="L185" s="832"/>
      <c r="M185" s="832"/>
      <c r="N185" s="832"/>
      <c r="O185" s="838"/>
      <c r="P185" s="835"/>
      <c r="Q185" s="839">
        <f ca="1">$B185*Elec_Rates!$R$38</f>
        <v>9.52</v>
      </c>
      <c r="R185" s="830">
        <f ca="1">$A185*Q185</f>
        <v>9.52</v>
      </c>
      <c r="S185" s="839">
        <f ca="1">$B185*Elec_Rates!$T$38</f>
        <v>0.88</v>
      </c>
      <c r="T185" s="831">
        <f ca="1">$A185*S185</f>
        <v>0.88</v>
      </c>
      <c r="U185" s="840"/>
    </row>
    <row r="186" spans="1:41" s="618" customFormat="1" ht="12">
      <c r="A186" s="645"/>
      <c r="B186" s="645"/>
      <c r="C186" s="645"/>
      <c r="D186" s="645"/>
      <c r="E186" s="645"/>
      <c r="F186" s="2"/>
      <c r="G186" s="645"/>
      <c r="H186" s="645"/>
      <c r="I186" s="646"/>
      <c r="J186" s="645"/>
      <c r="K186" s="645"/>
      <c r="L186" s="645"/>
      <c r="M186" s="645"/>
      <c r="N186" s="645"/>
      <c r="O186" s="645"/>
      <c r="P186" s="645"/>
      <c r="Q186" s="646"/>
      <c r="R186" s="647">
        <f t="shared" ref="R186" si="44">$A186*Q186</f>
        <v>0</v>
      </c>
      <c r="S186" s="646"/>
      <c r="T186" s="648">
        <f t="shared" ref="T186" si="45">$A186*S186*$T$1</f>
        <v>0</v>
      </c>
    </row>
    <row r="187" spans="1:41" s="618" customFormat="1" ht="12.6" thickBot="1">
      <c r="A187" s="649" t="s">
        <v>137</v>
      </c>
      <c r="B187" s="650">
        <f>(R186+T186)</f>
        <v>0</v>
      </c>
      <c r="C187" s="651"/>
      <c r="D187" s="651"/>
      <c r="E187" s="651"/>
      <c r="F187" s="652"/>
      <c r="G187" s="651" t="s">
        <v>503</v>
      </c>
      <c r="H187" s="651"/>
      <c r="I187" s="653"/>
      <c r="J187" s="651"/>
      <c r="K187" s="651" t="s">
        <v>3</v>
      </c>
      <c r="L187" s="654" t="s">
        <v>136</v>
      </c>
      <c r="M187" s="654"/>
      <c r="N187" s="654"/>
      <c r="O187" s="654"/>
      <c r="P187" s="654"/>
      <c r="Q187" s="655"/>
      <c r="R187" s="656">
        <f ca="1">SUM(R183:R186)</f>
        <v>9.52</v>
      </c>
      <c r="S187" s="651"/>
      <c r="T187" s="656">
        <f ca="1">SUM(T183:T186)</f>
        <v>0.88</v>
      </c>
      <c r="U187" s="621"/>
      <c r="V187" s="621"/>
      <c r="W187" s="621"/>
      <c r="X187" s="621"/>
      <c r="Y187" s="621"/>
      <c r="Z187" s="621"/>
      <c r="AA187" s="621"/>
      <c r="AB187" s="621"/>
      <c r="AC187" s="621"/>
      <c r="AD187" s="621"/>
      <c r="AE187" s="621"/>
      <c r="AF187" s="621"/>
      <c r="AG187" s="621"/>
      <c r="AH187" s="621"/>
      <c r="AI187" s="621"/>
      <c r="AJ187" s="621"/>
      <c r="AK187" s="621"/>
      <c r="AL187" s="621"/>
      <c r="AM187" s="621"/>
      <c r="AN187" s="621"/>
      <c r="AO187" s="621"/>
    </row>
    <row r="188" spans="1:41" s="618" customFormat="1" ht="12" thickTop="1">
      <c r="A188" s="616"/>
      <c r="B188" s="622"/>
      <c r="C188" s="616"/>
      <c r="E188" s="37" t="s">
        <v>491</v>
      </c>
      <c r="F188" s="37" t="s">
        <v>492</v>
      </c>
      <c r="G188" s="616"/>
      <c r="H188" s="616"/>
      <c r="I188" s="616"/>
      <c r="J188" s="616"/>
      <c r="K188" s="616" t="s">
        <v>493</v>
      </c>
      <c r="L188" s="616"/>
      <c r="M188" s="616"/>
      <c r="N188" s="616"/>
      <c r="O188" s="617"/>
      <c r="P188" s="616"/>
      <c r="Q188" s="616"/>
      <c r="R188" s="616"/>
      <c r="S188" s="616"/>
      <c r="T188" s="622"/>
      <c r="AG188" s="623" t="s">
        <v>494</v>
      </c>
      <c r="AH188" s="623" t="s">
        <v>495</v>
      </c>
      <c r="AI188" s="623" t="s">
        <v>496</v>
      </c>
      <c r="AJ188" s="623" t="s">
        <v>497</v>
      </c>
      <c r="AK188" s="623" t="s">
        <v>498</v>
      </c>
      <c r="AM188" s="624" t="s">
        <v>499</v>
      </c>
      <c r="AN188" s="625" t="s">
        <v>500</v>
      </c>
      <c r="AO188" s="626" t="s">
        <v>501</v>
      </c>
    </row>
    <row r="189" spans="1:41" s="618" customFormat="1" ht="12" customHeight="1">
      <c r="A189" s="627">
        <v>1</v>
      </c>
      <c r="B189" s="628" t="s">
        <v>294</v>
      </c>
      <c r="C189" s="629"/>
      <c r="D189" s="630" t="s">
        <v>522</v>
      </c>
      <c r="E189" s="631">
        <f ca="1">IF(AND($A189=0,$A$1="DIF"),0, ROUND(ROUND(($R194*$S$2+($T194*$T$2))/A189,2)*$C$2,2))</f>
        <v>34.89</v>
      </c>
      <c r="F189" s="632">
        <f ca="1">ROUND($A189*$E189,2)</f>
        <v>34.89</v>
      </c>
      <c r="G189" s="88" t="s">
        <v>135</v>
      </c>
      <c r="H189" s="2"/>
      <c r="I189" s="633"/>
      <c r="J189" s="2"/>
      <c r="K189" s="2" t="s">
        <v>3</v>
      </c>
      <c r="L189" s="634" t="s">
        <v>136</v>
      </c>
      <c r="M189" s="634"/>
      <c r="N189" s="634"/>
      <c r="O189" s="634"/>
      <c r="P189" s="634"/>
      <c r="Q189" s="616"/>
      <c r="T189" s="635" t="str">
        <f ca="1">IF(AND($R194=0,$T194=0),"0.00","mu :" &amp; ROUND($F189/$C$2/($R194+$T194*$D$9),2))</f>
        <v>mu :1</v>
      </c>
      <c r="W189" s="636"/>
      <c r="AG189" s="637">
        <f ca="1">IF($E189=0,0,ROUND($R194*$S$2*$C$2/$A189,2))</f>
        <v>9.52</v>
      </c>
      <c r="AH189" s="637">
        <f ca="1">$AG189*$A189</f>
        <v>9.52</v>
      </c>
      <c r="AI189" s="638">
        <f ca="1">$E189-$AG189</f>
        <v>25.37</v>
      </c>
      <c r="AJ189" s="638">
        <f ca="1">$A189*$AI189</f>
        <v>25.37</v>
      </c>
      <c r="AK189" s="639">
        <f ca="1">ROUND(($AG189+$AI189)*$A189,2)</f>
        <v>34.89</v>
      </c>
      <c r="AM189" s="640">
        <f ca="1">ROUND(R194,2)</f>
        <v>9.52</v>
      </c>
      <c r="AN189" s="641">
        <f ca="1">ROUND(T194,2)</f>
        <v>0.88</v>
      </c>
      <c r="AO189" s="642">
        <f ca="1">ROUND(AM189+AN189,2)*A189</f>
        <v>10.4</v>
      </c>
    </row>
    <row r="190" spans="1:41" s="618" customFormat="1" ht="13.2">
      <c r="A190" s="629"/>
      <c r="B190"/>
      <c r="C190" s="629"/>
      <c r="D190" s="630" t="s">
        <v>306</v>
      </c>
      <c r="F190" s="2"/>
      <c r="G190" s="3"/>
      <c r="H190" s="2"/>
      <c r="I190" s="633"/>
      <c r="J190" s="2"/>
      <c r="K190" s="2" t="s">
        <v>502</v>
      </c>
      <c r="L190" s="2"/>
      <c r="M190" s="2"/>
      <c r="N190" s="2"/>
      <c r="O190" s="2"/>
      <c r="P190" s="2"/>
      <c r="Q190" s="616"/>
      <c r="R190" s="643"/>
      <c r="S190" s="644"/>
      <c r="T190" s="2"/>
    </row>
    <row r="191" spans="1:41" s="753" customFormat="1" ht="13.2">
      <c r="A191"/>
      <c r="B191" s="824"/>
      <c r="C191" s="824" t="s">
        <v>677</v>
      </c>
      <c r="D191" s="824" t="str">
        <f ca="1">CELL("Address",Elec_Rates!D$38)</f>
        <v>[EL25_0700_Mock_Up_Room_Elec_Estim.xlsx]Elec_Rates!$D$38</v>
      </c>
      <c r="E191" s="825"/>
      <c r="F191" s="825"/>
      <c r="G191" s="826" t="s">
        <v>678</v>
      </c>
      <c r="H191" s="826"/>
      <c r="I191" s="826"/>
      <c r="J191" s="826"/>
      <c r="K191" s="827"/>
      <c r="L191" s="825"/>
      <c r="M191" s="825"/>
      <c r="N191" s="825"/>
      <c r="O191" s="828"/>
      <c r="P191" s="825"/>
      <c r="Q191" s="829"/>
      <c r="R191" s="830"/>
      <c r="S191" s="829"/>
      <c r="T191" s="831"/>
      <c r="U191" s="832"/>
    </row>
    <row r="192" spans="1:41" s="753" customFormat="1" ht="11.4">
      <c r="A192" s="833">
        <v>1</v>
      </c>
      <c r="B192" s="834">
        <v>1</v>
      </c>
      <c r="C192" s="834">
        <f>$A192*$B192</f>
        <v>1</v>
      </c>
      <c r="D192" s="835" t="str">
        <f>Elec_Rates!$D$38</f>
        <v>004# Power Point in LSZH Conduit</v>
      </c>
      <c r="E192" s="835"/>
      <c r="F192" s="835"/>
      <c r="G192" s="836" t="s">
        <v>679</v>
      </c>
      <c r="H192" s="836"/>
      <c r="I192" s="836"/>
      <c r="J192" s="836"/>
      <c r="K192" s="837"/>
      <c r="L192" s="832"/>
      <c r="M192" s="832"/>
      <c r="N192" s="832"/>
      <c r="O192" s="838"/>
      <c r="P192" s="835"/>
      <c r="Q192" s="839">
        <f ca="1">$B192*Elec_Rates!$R$38</f>
        <v>9.52</v>
      </c>
      <c r="R192" s="830">
        <f ca="1">$A192*Q192</f>
        <v>9.52</v>
      </c>
      <c r="S192" s="839">
        <f ca="1">$B192*Elec_Rates!$T$38</f>
        <v>0.88</v>
      </c>
      <c r="T192" s="831">
        <f ca="1">$A192*S192</f>
        <v>0.88</v>
      </c>
      <c r="U192" s="840"/>
    </row>
    <row r="193" spans="1:41" s="618" customFormat="1" ht="12">
      <c r="A193" s="645"/>
      <c r="B193" s="645"/>
      <c r="C193" s="645"/>
      <c r="D193" s="645"/>
      <c r="E193" s="645"/>
      <c r="F193" s="2"/>
      <c r="G193" s="645"/>
      <c r="H193" s="645"/>
      <c r="I193" s="646"/>
      <c r="J193" s="645"/>
      <c r="K193" s="645"/>
      <c r="L193" s="645"/>
      <c r="M193" s="645"/>
      <c r="N193" s="645"/>
      <c r="O193" s="645"/>
      <c r="P193" s="645"/>
      <c r="Q193" s="646"/>
      <c r="R193" s="647">
        <f t="shared" ref="R193" si="46">$A193*Q193</f>
        <v>0</v>
      </c>
      <c r="S193" s="646"/>
      <c r="T193" s="648">
        <f t="shared" ref="T193" si="47">$A193*S193*$T$1</f>
        <v>0</v>
      </c>
    </row>
    <row r="194" spans="1:41" s="618" customFormat="1" ht="12.6" thickBot="1">
      <c r="A194" s="649" t="s">
        <v>137</v>
      </c>
      <c r="B194" s="650">
        <f>(R193+T193)</f>
        <v>0</v>
      </c>
      <c r="C194" s="651"/>
      <c r="D194" s="651"/>
      <c r="E194" s="651"/>
      <c r="F194" s="652"/>
      <c r="G194" s="651" t="s">
        <v>503</v>
      </c>
      <c r="H194" s="651"/>
      <c r="I194" s="653"/>
      <c r="J194" s="651"/>
      <c r="K194" s="651" t="s">
        <v>3</v>
      </c>
      <c r="L194" s="654" t="s">
        <v>136</v>
      </c>
      <c r="M194" s="654"/>
      <c r="N194" s="654"/>
      <c r="O194" s="654"/>
      <c r="P194" s="654"/>
      <c r="Q194" s="655"/>
      <c r="R194" s="656">
        <f ca="1">SUM(R190:R193)</f>
        <v>9.52</v>
      </c>
      <c r="S194" s="651"/>
      <c r="T194" s="656">
        <f ca="1">SUM(T190:T193)</f>
        <v>0.88</v>
      </c>
      <c r="U194" s="621"/>
      <c r="V194" s="621"/>
      <c r="W194" s="621"/>
      <c r="X194" s="621"/>
      <c r="Y194" s="621"/>
      <c r="Z194" s="621"/>
      <c r="AA194" s="621"/>
      <c r="AB194" s="621"/>
      <c r="AC194" s="621"/>
      <c r="AD194" s="621"/>
      <c r="AE194" s="621"/>
      <c r="AF194" s="621"/>
      <c r="AG194" s="621"/>
      <c r="AH194" s="621"/>
      <c r="AI194" s="621"/>
      <c r="AJ194" s="621"/>
      <c r="AK194" s="621"/>
      <c r="AL194" s="621"/>
      <c r="AM194" s="621"/>
      <c r="AN194" s="621"/>
      <c r="AO194" s="621"/>
    </row>
    <row r="195" spans="1:41" s="618" customFormat="1" ht="12" thickTop="1">
      <c r="A195" s="616"/>
      <c r="B195" s="622"/>
      <c r="C195" s="616"/>
      <c r="E195" s="37" t="s">
        <v>491</v>
      </c>
      <c r="F195" s="37" t="s">
        <v>492</v>
      </c>
      <c r="G195" s="616"/>
      <c r="H195" s="616"/>
      <c r="I195" s="616"/>
      <c r="J195" s="616"/>
      <c r="K195" s="616" t="s">
        <v>493</v>
      </c>
      <c r="L195" s="616"/>
      <c r="M195" s="616"/>
      <c r="N195" s="616"/>
      <c r="O195" s="617"/>
      <c r="P195" s="616"/>
      <c r="Q195" s="616"/>
      <c r="R195" s="616"/>
      <c r="S195" s="616"/>
      <c r="T195" s="622"/>
      <c r="AG195" s="623" t="s">
        <v>494</v>
      </c>
      <c r="AH195" s="623" t="s">
        <v>495</v>
      </c>
      <c r="AI195" s="623" t="s">
        <v>496</v>
      </c>
      <c r="AJ195" s="623" t="s">
        <v>497</v>
      </c>
      <c r="AK195" s="623" t="s">
        <v>498</v>
      </c>
      <c r="AM195" s="624" t="s">
        <v>499</v>
      </c>
      <c r="AN195" s="625" t="s">
        <v>500</v>
      </c>
      <c r="AO195" s="626" t="s">
        <v>501</v>
      </c>
    </row>
    <row r="196" spans="1:41" s="618" customFormat="1" ht="12" customHeight="1">
      <c r="A196" s="627">
        <v>1</v>
      </c>
      <c r="B196" s="628" t="s">
        <v>294</v>
      </c>
      <c r="C196" s="629"/>
      <c r="D196" s="630" t="s">
        <v>523</v>
      </c>
      <c r="E196" s="631">
        <f ca="1">IF(AND($A196=0,$A$1="DIF"),0, ROUND(ROUND(($R201*$S$2+($T201*$T$2))/A196,2)*$C$2,2))</f>
        <v>34.89</v>
      </c>
      <c r="F196" s="632">
        <f ca="1">ROUND($A196*$E196,2)</f>
        <v>34.89</v>
      </c>
      <c r="G196" s="88" t="s">
        <v>135</v>
      </c>
      <c r="H196" s="2"/>
      <c r="I196" s="633"/>
      <c r="J196" s="2"/>
      <c r="K196" s="2" t="s">
        <v>3</v>
      </c>
      <c r="L196" s="634" t="s">
        <v>136</v>
      </c>
      <c r="M196" s="634"/>
      <c r="N196" s="634"/>
      <c r="O196" s="634"/>
      <c r="P196" s="634"/>
      <c r="Q196" s="616"/>
      <c r="T196" s="635" t="str">
        <f ca="1">IF(AND($R201=0,$T201=0),"0.00","mu :" &amp; ROUND($F196/$C$2/($R201+$T201*$D$9),2))</f>
        <v>mu :1</v>
      </c>
      <c r="W196" s="636"/>
      <c r="AG196" s="637">
        <f ca="1">IF($E196=0,0,ROUND($R201*$S$2*$C$2/$A196,2))</f>
        <v>9.52</v>
      </c>
      <c r="AH196" s="637">
        <f ca="1">$AG196*$A196</f>
        <v>9.52</v>
      </c>
      <c r="AI196" s="638">
        <f ca="1">$E196-$AG196</f>
        <v>25.37</v>
      </c>
      <c r="AJ196" s="638">
        <f ca="1">$A196*$AI196</f>
        <v>25.37</v>
      </c>
      <c r="AK196" s="639">
        <f ca="1">ROUND(($AG196+$AI196)*$A196,2)</f>
        <v>34.89</v>
      </c>
      <c r="AM196" s="640">
        <f ca="1">ROUND(R201,2)</f>
        <v>9.52</v>
      </c>
      <c r="AN196" s="641">
        <f ca="1">ROUND(T201,2)</f>
        <v>0.88</v>
      </c>
      <c r="AO196" s="642">
        <f ca="1">ROUND(AM196+AN196,2)*A196</f>
        <v>10.4</v>
      </c>
    </row>
    <row r="197" spans="1:41" s="618" customFormat="1" ht="13.2">
      <c r="A197" s="629"/>
      <c r="B197"/>
      <c r="C197" s="629"/>
      <c r="D197" s="630" t="s">
        <v>307</v>
      </c>
      <c r="F197" s="2"/>
      <c r="G197" s="3"/>
      <c r="H197" s="2"/>
      <c r="I197" s="633"/>
      <c r="J197" s="2"/>
      <c r="K197" s="2" t="s">
        <v>502</v>
      </c>
      <c r="L197" s="2"/>
      <c r="M197" s="2"/>
      <c r="N197" s="2"/>
      <c r="O197" s="2"/>
      <c r="P197" s="2"/>
      <c r="Q197" s="616"/>
      <c r="R197" s="643"/>
      <c r="S197" s="644"/>
      <c r="T197" s="2"/>
    </row>
    <row r="198" spans="1:41" s="753" customFormat="1" ht="13.2">
      <c r="A198"/>
      <c r="B198" s="824"/>
      <c r="C198" s="824" t="s">
        <v>677</v>
      </c>
      <c r="D198" s="824" t="str">
        <f ca="1">CELL("Address",Elec_Rates!D$38)</f>
        <v>[EL25_0700_Mock_Up_Room_Elec_Estim.xlsx]Elec_Rates!$D$38</v>
      </c>
      <c r="E198" s="825"/>
      <c r="F198" s="825"/>
      <c r="G198" s="826" t="s">
        <v>678</v>
      </c>
      <c r="H198" s="826"/>
      <c r="I198" s="826"/>
      <c r="J198" s="826"/>
      <c r="K198" s="827"/>
      <c r="L198" s="825"/>
      <c r="M198" s="825"/>
      <c r="N198" s="825"/>
      <c r="O198" s="828"/>
      <c r="P198" s="825"/>
      <c r="Q198" s="829"/>
      <c r="R198" s="830"/>
      <c r="S198" s="829"/>
      <c r="T198" s="831"/>
      <c r="U198" s="832"/>
    </row>
    <row r="199" spans="1:41" s="753" customFormat="1" ht="11.4">
      <c r="A199" s="833">
        <v>1</v>
      </c>
      <c r="B199" s="834">
        <v>1</v>
      </c>
      <c r="C199" s="834">
        <f>$A199*$B199</f>
        <v>1</v>
      </c>
      <c r="D199" s="835" t="str">
        <f>Elec_Rates!$D$38</f>
        <v>004# Power Point in LSZH Conduit</v>
      </c>
      <c r="E199" s="835"/>
      <c r="F199" s="835"/>
      <c r="G199" s="836" t="s">
        <v>679</v>
      </c>
      <c r="H199" s="836"/>
      <c r="I199" s="836"/>
      <c r="J199" s="836"/>
      <c r="K199" s="837"/>
      <c r="L199" s="832"/>
      <c r="M199" s="832"/>
      <c r="N199" s="832"/>
      <c r="O199" s="838"/>
      <c r="P199" s="835"/>
      <c r="Q199" s="839">
        <f ca="1">$B199*Elec_Rates!$R$38</f>
        <v>9.52</v>
      </c>
      <c r="R199" s="830">
        <f ca="1">$A199*Q199</f>
        <v>9.52</v>
      </c>
      <c r="S199" s="839">
        <f ca="1">$B199*Elec_Rates!$T$38</f>
        <v>0.88</v>
      </c>
      <c r="T199" s="831">
        <f ca="1">$A199*S199</f>
        <v>0.88</v>
      </c>
      <c r="U199" s="840"/>
    </row>
    <row r="200" spans="1:41" s="618" customFormat="1" ht="12">
      <c r="A200" s="645"/>
      <c r="B200" s="645"/>
      <c r="C200" s="645"/>
      <c r="D200" s="645"/>
      <c r="E200" s="645"/>
      <c r="F200" s="2"/>
      <c r="G200" s="645"/>
      <c r="H200" s="645"/>
      <c r="I200" s="646"/>
      <c r="J200" s="645"/>
      <c r="K200" s="645"/>
      <c r="L200" s="645"/>
      <c r="M200" s="645"/>
      <c r="N200" s="645"/>
      <c r="O200" s="645"/>
      <c r="P200" s="645"/>
      <c r="Q200" s="646"/>
      <c r="R200" s="647">
        <f t="shared" ref="R200" si="48">$A200*Q200</f>
        <v>0</v>
      </c>
      <c r="S200" s="646"/>
      <c r="T200" s="648">
        <f t="shared" ref="T200" si="49">$A200*S200*$T$1</f>
        <v>0</v>
      </c>
    </row>
    <row r="201" spans="1:41" s="618" customFormat="1" ht="12.6" thickBot="1">
      <c r="A201" s="649" t="s">
        <v>137</v>
      </c>
      <c r="B201" s="650">
        <f>(R200+T200)</f>
        <v>0</v>
      </c>
      <c r="C201" s="651"/>
      <c r="D201" s="651"/>
      <c r="E201" s="651"/>
      <c r="F201" s="652"/>
      <c r="G201" s="651" t="s">
        <v>503</v>
      </c>
      <c r="H201" s="651"/>
      <c r="I201" s="653"/>
      <c r="J201" s="651"/>
      <c r="K201" s="651" t="s">
        <v>3</v>
      </c>
      <c r="L201" s="654" t="s">
        <v>136</v>
      </c>
      <c r="M201" s="654"/>
      <c r="N201" s="654"/>
      <c r="O201" s="654"/>
      <c r="P201" s="654"/>
      <c r="Q201" s="655"/>
      <c r="R201" s="656">
        <f ca="1">SUM(R197:R200)</f>
        <v>9.52</v>
      </c>
      <c r="S201" s="651"/>
      <c r="T201" s="656">
        <f ca="1">SUM(T197:T200)</f>
        <v>0.88</v>
      </c>
      <c r="U201" s="621"/>
      <c r="V201" s="621"/>
      <c r="W201" s="621"/>
      <c r="X201" s="621"/>
      <c r="Y201" s="621"/>
      <c r="Z201" s="621"/>
      <c r="AA201" s="621"/>
      <c r="AB201" s="621"/>
      <c r="AC201" s="621"/>
      <c r="AD201" s="621"/>
      <c r="AE201" s="621"/>
      <c r="AF201" s="621"/>
      <c r="AG201" s="621"/>
      <c r="AH201" s="621"/>
      <c r="AI201" s="621"/>
      <c r="AJ201" s="621"/>
      <c r="AK201" s="621"/>
      <c r="AL201" s="621"/>
      <c r="AM201" s="621"/>
      <c r="AN201" s="621"/>
      <c r="AO201" s="621"/>
    </row>
    <row r="202" spans="1:41" s="618" customFormat="1" ht="12" thickTop="1">
      <c r="A202" s="616"/>
      <c r="B202" s="622"/>
      <c r="C202" s="616"/>
      <c r="E202" s="37" t="s">
        <v>491</v>
      </c>
      <c r="F202" s="37" t="s">
        <v>492</v>
      </c>
      <c r="G202" s="616"/>
      <c r="H202" s="616"/>
      <c r="I202" s="616"/>
      <c r="J202" s="616"/>
      <c r="K202" s="616" t="s">
        <v>493</v>
      </c>
      <c r="L202" s="616"/>
      <c r="M202" s="616"/>
      <c r="N202" s="616"/>
      <c r="O202" s="617"/>
      <c r="P202" s="616"/>
      <c r="Q202" s="616"/>
      <c r="R202" s="616"/>
      <c r="S202" s="616"/>
      <c r="T202" s="622"/>
      <c r="AG202" s="623" t="s">
        <v>494</v>
      </c>
      <c r="AH202" s="623" t="s">
        <v>495</v>
      </c>
      <c r="AI202" s="623" t="s">
        <v>496</v>
      </c>
      <c r="AJ202" s="623" t="s">
        <v>497</v>
      </c>
      <c r="AK202" s="623" t="s">
        <v>498</v>
      </c>
      <c r="AM202" s="624" t="s">
        <v>499</v>
      </c>
      <c r="AN202" s="625" t="s">
        <v>500</v>
      </c>
      <c r="AO202" s="626" t="s">
        <v>501</v>
      </c>
    </row>
    <row r="203" spans="1:41" s="618" customFormat="1" ht="12" customHeight="1">
      <c r="A203" s="627">
        <v>1</v>
      </c>
      <c r="B203" s="628" t="s">
        <v>294</v>
      </c>
      <c r="C203" s="629"/>
      <c r="D203" s="630" t="s">
        <v>524</v>
      </c>
      <c r="E203" s="631">
        <f ca="1">IF(AND($A203=0,$A$1="DIF"),0, ROUND(ROUND(($R208*$S$2+($T208*$T$2))/A203,2)*$C$2,2))</f>
        <v>34.89</v>
      </c>
      <c r="F203" s="632">
        <f ca="1">ROUND($A203*$E203,2)</f>
        <v>34.89</v>
      </c>
      <c r="G203" s="88" t="s">
        <v>135</v>
      </c>
      <c r="H203" s="2"/>
      <c r="I203" s="633"/>
      <c r="J203" s="2"/>
      <c r="K203" s="2" t="s">
        <v>3</v>
      </c>
      <c r="L203" s="634" t="s">
        <v>136</v>
      </c>
      <c r="M203" s="634"/>
      <c r="N203" s="634"/>
      <c r="O203" s="634"/>
      <c r="P203" s="634"/>
      <c r="Q203" s="616"/>
      <c r="T203" s="635" t="str">
        <f ca="1">IF(AND($R208=0,$T208=0),"0.00","mu :" &amp; ROUND($F203/$C$2/($R208+$T208*$D$9),2))</f>
        <v>mu :1</v>
      </c>
      <c r="W203" s="636"/>
      <c r="AG203" s="637">
        <f ca="1">IF($E203=0,0,ROUND($R208*$S$2*$C$2/$A203,2))</f>
        <v>9.52</v>
      </c>
      <c r="AH203" s="637">
        <f ca="1">$AG203*$A203</f>
        <v>9.52</v>
      </c>
      <c r="AI203" s="638">
        <f ca="1">$E203-$AG203</f>
        <v>25.37</v>
      </c>
      <c r="AJ203" s="638">
        <f ca="1">$A203*$AI203</f>
        <v>25.37</v>
      </c>
      <c r="AK203" s="639">
        <f ca="1">ROUND(($AG203+$AI203)*$A203,2)</f>
        <v>34.89</v>
      </c>
      <c r="AM203" s="640">
        <f ca="1">ROUND(R208,2)</f>
        <v>9.52</v>
      </c>
      <c r="AN203" s="641">
        <f ca="1">ROUND(T208,2)</f>
        <v>0.88</v>
      </c>
      <c r="AO203" s="642">
        <f ca="1">ROUND(AM203+AN203,2)*A203</f>
        <v>10.4</v>
      </c>
    </row>
    <row r="204" spans="1:41" s="618" customFormat="1" ht="13.2">
      <c r="A204" s="629"/>
      <c r="B204"/>
      <c r="C204" s="629"/>
      <c r="D204" s="630" t="s">
        <v>308</v>
      </c>
      <c r="F204" s="2"/>
      <c r="G204" s="3"/>
      <c r="H204" s="2"/>
      <c r="I204" s="633"/>
      <c r="J204" s="2"/>
      <c r="K204" s="2" t="s">
        <v>502</v>
      </c>
      <c r="L204" s="2"/>
      <c r="M204" s="2"/>
      <c r="N204" s="2"/>
      <c r="O204" s="2"/>
      <c r="P204" s="2"/>
      <c r="Q204" s="616"/>
      <c r="R204" s="643"/>
      <c r="S204" s="644"/>
      <c r="T204" s="2"/>
    </row>
    <row r="205" spans="1:41" s="753" customFormat="1" ht="13.2">
      <c r="A205"/>
      <c r="B205" s="824"/>
      <c r="C205" s="824" t="s">
        <v>677</v>
      </c>
      <c r="D205" s="824" t="str">
        <f ca="1">CELL("Address",Elec_Rates!D$38)</f>
        <v>[EL25_0700_Mock_Up_Room_Elec_Estim.xlsx]Elec_Rates!$D$38</v>
      </c>
      <c r="E205" s="825"/>
      <c r="F205" s="825"/>
      <c r="G205" s="826" t="s">
        <v>678</v>
      </c>
      <c r="H205" s="826"/>
      <c r="I205" s="826"/>
      <c r="J205" s="826"/>
      <c r="K205" s="827"/>
      <c r="L205" s="825"/>
      <c r="M205" s="825"/>
      <c r="N205" s="825"/>
      <c r="O205" s="828"/>
      <c r="P205" s="825"/>
      <c r="Q205" s="829"/>
      <c r="R205" s="830"/>
      <c r="S205" s="829"/>
      <c r="T205" s="831"/>
      <c r="U205" s="832"/>
    </row>
    <row r="206" spans="1:41" s="753" customFormat="1" ht="11.4">
      <c r="A206" s="833">
        <v>1</v>
      </c>
      <c r="B206" s="834">
        <v>1</v>
      </c>
      <c r="C206" s="834">
        <f>$A206*$B206</f>
        <v>1</v>
      </c>
      <c r="D206" s="835" t="str">
        <f>Elec_Rates!$D$38</f>
        <v>004# Power Point in LSZH Conduit</v>
      </c>
      <c r="E206" s="835"/>
      <c r="F206" s="835"/>
      <c r="G206" s="836" t="s">
        <v>679</v>
      </c>
      <c r="H206" s="836"/>
      <c r="I206" s="836"/>
      <c r="J206" s="836"/>
      <c r="K206" s="837"/>
      <c r="L206" s="832"/>
      <c r="M206" s="832"/>
      <c r="N206" s="832"/>
      <c r="O206" s="838"/>
      <c r="P206" s="835"/>
      <c r="Q206" s="839">
        <f ca="1">$B206*Elec_Rates!$R$38</f>
        <v>9.52</v>
      </c>
      <c r="R206" s="830">
        <f ca="1">$A206*Q206</f>
        <v>9.52</v>
      </c>
      <c r="S206" s="839">
        <f ca="1">$B206*Elec_Rates!$T$38</f>
        <v>0.88</v>
      </c>
      <c r="T206" s="831">
        <f ca="1">$A206*S206</f>
        <v>0.88</v>
      </c>
      <c r="U206" s="840"/>
    </row>
    <row r="207" spans="1:41" s="618" customFormat="1" ht="12">
      <c r="A207" s="645"/>
      <c r="B207" s="645"/>
      <c r="C207" s="645"/>
      <c r="D207" s="645"/>
      <c r="E207" s="645"/>
      <c r="F207" s="2"/>
      <c r="G207" s="645"/>
      <c r="H207" s="645"/>
      <c r="I207" s="646"/>
      <c r="J207" s="645"/>
      <c r="K207" s="645"/>
      <c r="L207" s="645"/>
      <c r="M207" s="645"/>
      <c r="N207" s="645"/>
      <c r="O207" s="645"/>
      <c r="P207" s="645"/>
      <c r="Q207" s="646"/>
      <c r="R207" s="647">
        <f t="shared" ref="R207" si="50">$A207*Q207</f>
        <v>0</v>
      </c>
      <c r="S207" s="646"/>
      <c r="T207" s="648">
        <f t="shared" ref="T207" si="51">$A207*S207*$T$1</f>
        <v>0</v>
      </c>
    </row>
    <row r="208" spans="1:41" s="618" customFormat="1" ht="12.6" thickBot="1">
      <c r="A208" s="649" t="s">
        <v>137</v>
      </c>
      <c r="B208" s="650">
        <f>(R207+T207)</f>
        <v>0</v>
      </c>
      <c r="C208" s="651"/>
      <c r="D208" s="651"/>
      <c r="E208" s="651"/>
      <c r="F208" s="652"/>
      <c r="G208" s="651" t="s">
        <v>503</v>
      </c>
      <c r="H208" s="651"/>
      <c r="I208" s="653"/>
      <c r="J208" s="651"/>
      <c r="K208" s="651" t="s">
        <v>3</v>
      </c>
      <c r="L208" s="654" t="s">
        <v>136</v>
      </c>
      <c r="M208" s="654"/>
      <c r="N208" s="654"/>
      <c r="O208" s="654"/>
      <c r="P208" s="654"/>
      <c r="Q208" s="655"/>
      <c r="R208" s="656">
        <f ca="1">SUM(R204:R207)</f>
        <v>9.52</v>
      </c>
      <c r="S208" s="651"/>
      <c r="T208" s="656">
        <f ca="1">SUM(T204:T207)</f>
        <v>0.88</v>
      </c>
      <c r="U208" s="621"/>
      <c r="V208" s="621"/>
      <c r="W208" s="621"/>
      <c r="X208" s="621"/>
      <c r="Y208" s="621"/>
      <c r="Z208" s="621"/>
      <c r="AA208" s="621"/>
      <c r="AB208" s="621"/>
      <c r="AC208" s="621"/>
      <c r="AD208" s="621"/>
      <c r="AE208" s="621"/>
      <c r="AF208" s="621"/>
      <c r="AG208" s="621"/>
      <c r="AH208" s="621"/>
      <c r="AI208" s="621"/>
      <c r="AJ208" s="621"/>
      <c r="AK208" s="621"/>
      <c r="AL208" s="621"/>
      <c r="AM208" s="621"/>
      <c r="AN208" s="621"/>
      <c r="AO208" s="621"/>
    </row>
    <row r="209" spans="1:41" s="618" customFormat="1" ht="12" thickTop="1">
      <c r="A209" s="616"/>
      <c r="B209" s="622"/>
      <c r="C209" s="616"/>
      <c r="E209" s="37" t="s">
        <v>491</v>
      </c>
      <c r="F209" s="37" t="s">
        <v>492</v>
      </c>
      <c r="G209" s="616"/>
      <c r="H209" s="616"/>
      <c r="I209" s="616"/>
      <c r="J209" s="616"/>
      <c r="K209" s="616" t="s">
        <v>493</v>
      </c>
      <c r="L209" s="616"/>
      <c r="M209" s="616"/>
      <c r="N209" s="616"/>
      <c r="O209" s="617"/>
      <c r="P209" s="616"/>
      <c r="Q209" s="616"/>
      <c r="R209" s="616"/>
      <c r="S209" s="616"/>
      <c r="T209" s="622"/>
      <c r="AG209" s="623" t="s">
        <v>494</v>
      </c>
      <c r="AH209" s="623" t="s">
        <v>495</v>
      </c>
      <c r="AI209" s="623" t="s">
        <v>496</v>
      </c>
      <c r="AJ209" s="623" t="s">
        <v>497</v>
      </c>
      <c r="AK209" s="623" t="s">
        <v>498</v>
      </c>
      <c r="AM209" s="624" t="s">
        <v>499</v>
      </c>
      <c r="AN209" s="625" t="s">
        <v>500</v>
      </c>
      <c r="AO209" s="626" t="s">
        <v>501</v>
      </c>
    </row>
    <row r="210" spans="1:41" s="618" customFormat="1" ht="12" customHeight="1">
      <c r="A210" s="627">
        <v>12</v>
      </c>
      <c r="B210" s="628" t="s">
        <v>294</v>
      </c>
      <c r="C210" s="629"/>
      <c r="D210" s="630" t="s">
        <v>595</v>
      </c>
      <c r="E210" s="631">
        <f>IF(AND($A210=0,$A$1="DIF"),0, ROUND(ROUND(($R215*$S$2+($T215*$T$2))/A210,2)*$C$2,2))</f>
        <v>10.09</v>
      </c>
      <c r="F210" s="632">
        <f>ROUND($A210*$E210,2)</f>
        <v>121.08</v>
      </c>
      <c r="G210" s="88" t="s">
        <v>135</v>
      </c>
      <c r="H210" s="2"/>
      <c r="I210" s="633"/>
      <c r="J210" s="2"/>
      <c r="K210" s="2" t="s">
        <v>3</v>
      </c>
      <c r="L210" s="634" t="s">
        <v>136</v>
      </c>
      <c r="M210" s="634"/>
      <c r="N210" s="634"/>
      <c r="O210" s="634"/>
      <c r="P210" s="634"/>
      <c r="Q210" s="616"/>
      <c r="T210" s="635" t="str">
        <f>IF(AND($R215=0,$T215=0),"0.00","mu :" &amp; ROUND($F210/$C$2/($R215+$T215*$D$9),2))</f>
        <v>mu :1</v>
      </c>
      <c r="W210" s="636"/>
      <c r="AG210" s="637">
        <f>IF($E210=0,0,ROUND($R215*$S$2*$C$2/$A210,2))</f>
        <v>6.44</v>
      </c>
      <c r="AH210" s="637">
        <f>$AG210*$A210</f>
        <v>77.28</v>
      </c>
      <c r="AI210" s="638">
        <f>$E210-$AG210</f>
        <v>3.6499999999999995</v>
      </c>
      <c r="AJ210" s="638">
        <f>$A210*$AI210</f>
        <v>43.8</v>
      </c>
      <c r="AK210" s="639">
        <f>ROUND(($AG210+$AI210)*$A210,2)</f>
        <v>121.08</v>
      </c>
      <c r="AM210" s="640">
        <f>ROUND(R215,2)</f>
        <v>77.22</v>
      </c>
      <c r="AN210" s="641">
        <f>ROUND(T215,2)</f>
        <v>1.52</v>
      </c>
      <c r="AO210" s="642">
        <f>ROUND(AM210+AN210,2)*A210</f>
        <v>944.87999999999988</v>
      </c>
    </row>
    <row r="211" spans="1:41" s="618" customFormat="1" ht="24">
      <c r="A211" s="616"/>
      <c r="B211" s="616"/>
      <c r="C211" s="616"/>
      <c r="D211" s="744" t="s">
        <v>309</v>
      </c>
      <c r="E211" s="744"/>
      <c r="F211" s="744"/>
      <c r="G211" s="744"/>
      <c r="H211" s="744"/>
      <c r="I211" s="744"/>
      <c r="J211" s="744"/>
      <c r="K211" s="744" t="s">
        <v>502</v>
      </c>
      <c r="L211" s="744"/>
      <c r="M211" s="744"/>
      <c r="N211" s="744"/>
      <c r="O211" s="744"/>
      <c r="P211" s="744"/>
      <c r="Q211" s="744"/>
      <c r="R211" s="669"/>
      <c r="S211" s="669"/>
      <c r="T211" s="669"/>
    </row>
    <row r="212" spans="1:41" s="783" customFormat="1" ht="13.2">
      <c r="A212" s="105">
        <v>6</v>
      </c>
      <c r="B212" s="783" t="s">
        <v>134</v>
      </c>
      <c r="D212" s="783" t="s">
        <v>742</v>
      </c>
      <c r="F212" s="783" t="s">
        <v>747</v>
      </c>
      <c r="G212" s="784" t="s">
        <v>743</v>
      </c>
      <c r="H212" s="785">
        <v>726</v>
      </c>
      <c r="I212" s="783" t="s">
        <v>744</v>
      </c>
      <c r="M212" s="783">
        <v>0</v>
      </c>
      <c r="N212" s="783">
        <v>0</v>
      </c>
      <c r="O212" s="786">
        <v>3</v>
      </c>
      <c r="P212" s="787">
        <v>41544</v>
      </c>
      <c r="Q212" s="788">
        <v>8.08</v>
      </c>
      <c r="R212" s="789">
        <f>$A212*Q212</f>
        <v>48.480000000000004</v>
      </c>
      <c r="S212" s="788">
        <f>0.845 *(0.15)</f>
        <v>0.12675</v>
      </c>
      <c r="T212" s="790">
        <f>$A212*S212*$T$1</f>
        <v>0.76049999999999995</v>
      </c>
    </row>
    <row r="213" spans="1:41" s="783" customFormat="1" ht="13.2">
      <c r="A213" s="105">
        <v>6</v>
      </c>
      <c r="B213" s="783" t="s">
        <v>134</v>
      </c>
      <c r="D213" s="783" t="s">
        <v>748</v>
      </c>
      <c r="F213" s="783" t="s">
        <v>747</v>
      </c>
      <c r="G213" s="784" t="s">
        <v>743</v>
      </c>
      <c r="H213" s="785">
        <v>726</v>
      </c>
      <c r="I213" s="783" t="s">
        <v>744</v>
      </c>
      <c r="M213" s="783">
        <v>0</v>
      </c>
      <c r="N213" s="783">
        <v>0</v>
      </c>
      <c r="O213" s="786">
        <v>3</v>
      </c>
      <c r="P213" s="787">
        <v>41544</v>
      </c>
      <c r="Q213" s="788">
        <v>4.79</v>
      </c>
      <c r="R213" s="789">
        <f>$A213*Q213</f>
        <v>28.740000000000002</v>
      </c>
      <c r="S213" s="788">
        <f>0.845 *(0.15)</f>
        <v>0.12675</v>
      </c>
      <c r="T213" s="790">
        <f>$A213*S213*$T$1</f>
        <v>0.76049999999999995</v>
      </c>
    </row>
    <row r="214" spans="1:41" s="618" customFormat="1" ht="12">
      <c r="A214" s="645"/>
      <c r="B214" s="645"/>
      <c r="C214" s="645"/>
      <c r="D214" s="645"/>
      <c r="E214" s="645"/>
      <c r="F214" s="2"/>
      <c r="G214" s="645"/>
      <c r="H214" s="645"/>
      <c r="I214" s="646"/>
      <c r="J214" s="645"/>
      <c r="K214" s="645"/>
      <c r="L214" s="645"/>
      <c r="M214" s="645"/>
      <c r="N214" s="645"/>
      <c r="O214" s="645"/>
      <c r="P214" s="645"/>
      <c r="Q214" s="646"/>
      <c r="R214" s="647">
        <f t="shared" ref="R214" si="52">$A214*Q214</f>
        <v>0</v>
      </c>
      <c r="S214" s="646"/>
      <c r="T214" s="648">
        <f t="shared" ref="T214" si="53">$A214*S214*$T$1</f>
        <v>0</v>
      </c>
    </row>
    <row r="215" spans="1:41" s="618" customFormat="1" ht="12.6" thickBot="1">
      <c r="A215" s="649" t="s">
        <v>137</v>
      </c>
      <c r="B215" s="650">
        <f>(R214+T214)</f>
        <v>0</v>
      </c>
      <c r="C215" s="651"/>
      <c r="D215" s="651"/>
      <c r="E215" s="651"/>
      <c r="F215" s="652"/>
      <c r="G215" s="651" t="s">
        <v>503</v>
      </c>
      <c r="H215" s="651"/>
      <c r="I215" s="653"/>
      <c r="J215" s="651"/>
      <c r="K215" s="651" t="s">
        <v>3</v>
      </c>
      <c r="L215" s="654" t="s">
        <v>136</v>
      </c>
      <c r="M215" s="654"/>
      <c r="N215" s="654"/>
      <c r="O215" s="654"/>
      <c r="P215" s="654"/>
      <c r="Q215" s="655"/>
      <c r="R215" s="656">
        <f>SUM(R211:R214)</f>
        <v>77.22</v>
      </c>
      <c r="S215" s="651"/>
      <c r="T215" s="656">
        <f>SUM(T211:T214)</f>
        <v>1.5209999999999999</v>
      </c>
      <c r="U215" s="621"/>
      <c r="V215" s="621"/>
      <c r="W215" s="621"/>
      <c r="X215" s="621"/>
      <c r="Y215" s="621"/>
      <c r="Z215" s="621"/>
      <c r="AA215" s="621"/>
      <c r="AB215" s="621"/>
      <c r="AC215" s="621"/>
      <c r="AD215" s="621"/>
      <c r="AE215" s="621"/>
      <c r="AF215" s="621"/>
      <c r="AG215" s="621"/>
      <c r="AH215" s="621"/>
      <c r="AI215" s="621"/>
      <c r="AJ215" s="621"/>
      <c r="AK215" s="621"/>
      <c r="AL215" s="621"/>
      <c r="AM215" s="621"/>
      <c r="AN215" s="621"/>
      <c r="AO215" s="621"/>
    </row>
    <row r="216" spans="1:41" s="618" customFormat="1" thickTop="1">
      <c r="A216" s="616"/>
      <c r="B216" s="616"/>
      <c r="C216" s="3"/>
      <c r="D216" s="3"/>
      <c r="E216" s="616"/>
      <c r="F216" s="616"/>
      <c r="G216" s="616"/>
      <c r="H216" s="616"/>
      <c r="I216" s="616"/>
      <c r="J216" s="616"/>
      <c r="K216" s="616" t="s">
        <v>489</v>
      </c>
      <c r="L216" s="616"/>
      <c r="M216" s="616"/>
      <c r="N216" s="616"/>
      <c r="O216" s="617"/>
      <c r="P216" s="616"/>
      <c r="Q216" s="616"/>
      <c r="R216" s="616"/>
      <c r="S216" s="616"/>
      <c r="T216" s="616"/>
    </row>
    <row r="217" spans="1:41" s="618" customFormat="1" ht="12">
      <c r="A217" s="616"/>
      <c r="B217" s="616"/>
      <c r="C217" s="616" t="s">
        <v>490</v>
      </c>
      <c r="D217" s="619"/>
      <c r="E217" s="616"/>
      <c r="F217" s="616"/>
      <c r="G217" s="616"/>
      <c r="H217" s="616"/>
      <c r="I217" s="616"/>
      <c r="J217" s="616"/>
      <c r="K217" s="616"/>
      <c r="L217" s="616"/>
      <c r="M217" s="616"/>
      <c r="N217" s="616"/>
      <c r="O217" s="617"/>
      <c r="P217" s="616"/>
      <c r="Q217" s="616"/>
      <c r="R217" s="616"/>
      <c r="S217" s="616"/>
      <c r="T217" s="616"/>
    </row>
    <row r="218" spans="1:41" s="618" customFormat="1" ht="12">
      <c r="A218" s="616"/>
      <c r="B218" s="616"/>
      <c r="C218" s="616"/>
      <c r="D218" s="619" t="s">
        <v>310</v>
      </c>
      <c r="E218" s="616"/>
      <c r="F218" s="616"/>
      <c r="G218" s="616"/>
      <c r="H218" s="616"/>
      <c r="I218" s="616"/>
      <c r="J218" s="616"/>
      <c r="K218" s="616"/>
      <c r="L218" s="616"/>
      <c r="M218" s="616"/>
      <c r="N218" s="616"/>
      <c r="O218" s="617"/>
      <c r="P218" s="616"/>
      <c r="Q218" s="616"/>
      <c r="R218" s="616"/>
      <c r="S218" s="620"/>
      <c r="T218" s="620"/>
    </row>
    <row r="219" spans="1:41" s="3" customFormat="1" thickBot="1">
      <c r="A219" s="621"/>
      <c r="O219" s="96"/>
    </row>
    <row r="220" spans="1:41" s="618" customFormat="1" ht="12" thickTop="1">
      <c r="A220" s="616"/>
      <c r="B220" s="622"/>
      <c r="C220" s="616"/>
      <c r="E220" s="37" t="s">
        <v>491</v>
      </c>
      <c r="F220" s="37" t="s">
        <v>492</v>
      </c>
      <c r="G220" s="616"/>
      <c r="H220" s="616"/>
      <c r="I220" s="616"/>
      <c r="J220" s="616"/>
      <c r="K220" s="616" t="s">
        <v>493</v>
      </c>
      <c r="L220" s="616"/>
      <c r="M220" s="616"/>
      <c r="N220" s="616"/>
      <c r="O220" s="617"/>
      <c r="P220" s="616"/>
      <c r="Q220" s="616"/>
      <c r="R220" s="616"/>
      <c r="S220" s="616"/>
      <c r="T220" s="622"/>
      <c r="AG220" s="623" t="s">
        <v>494</v>
      </c>
      <c r="AH220" s="623" t="s">
        <v>495</v>
      </c>
      <c r="AI220" s="623" t="s">
        <v>496</v>
      </c>
      <c r="AJ220" s="623" t="s">
        <v>497</v>
      </c>
      <c r="AK220" s="623" t="s">
        <v>498</v>
      </c>
      <c r="AM220" s="624" t="s">
        <v>499</v>
      </c>
      <c r="AN220" s="625" t="s">
        <v>500</v>
      </c>
      <c r="AO220" s="626" t="s">
        <v>501</v>
      </c>
    </row>
    <row r="221" spans="1:41" s="618" customFormat="1" ht="12" customHeight="1">
      <c r="A221" s="627">
        <v>7</v>
      </c>
      <c r="B221" s="628" t="s">
        <v>294</v>
      </c>
      <c r="C221" s="629"/>
      <c r="D221" s="630" t="s">
        <v>525</v>
      </c>
      <c r="E221" s="631">
        <f>IF(AND($A221=0,$A$1="DIF"),0, ROUND(ROUND(($R225*$S$2+($T225*$T$2))/A221,2)*$C$2,2))</f>
        <v>59.76</v>
      </c>
      <c r="F221" s="632">
        <f>ROUND($A221*$E221,2)</f>
        <v>418.32</v>
      </c>
      <c r="G221" s="88" t="s">
        <v>135</v>
      </c>
      <c r="H221" s="2"/>
      <c r="I221" s="633"/>
      <c r="J221" s="2"/>
      <c r="K221" s="2" t="s">
        <v>3</v>
      </c>
      <c r="L221" s="634" t="s">
        <v>136</v>
      </c>
      <c r="M221" s="634"/>
      <c r="N221" s="634"/>
      <c r="O221" s="634"/>
      <c r="P221" s="634"/>
      <c r="Q221" s="616"/>
      <c r="T221" s="635" t="str">
        <f>IF(AND($R225=0,$T225=0),"0.00","mu :" &amp; ROUND($F221/$C$2/($R225+$T225*$D$9),2))</f>
        <v>mu :1</v>
      </c>
      <c r="W221" s="636"/>
      <c r="AG221" s="637">
        <f>IF($E221=0,0,ROUND($R225*$S$2*$C$2/$A221,2))</f>
        <v>55.62</v>
      </c>
      <c r="AH221" s="637">
        <f>$AG221*$A221</f>
        <v>389.34</v>
      </c>
      <c r="AI221" s="638">
        <f>$E221-$AG221</f>
        <v>4.1400000000000006</v>
      </c>
      <c r="AJ221" s="638">
        <f>$A221*$AI221</f>
        <v>28.980000000000004</v>
      </c>
      <c r="AK221" s="639">
        <f>ROUND(($AG221+$AI221)*$A221,2)</f>
        <v>418.32</v>
      </c>
      <c r="AM221" s="640">
        <f>ROUND(R225,2)</f>
        <v>389.34</v>
      </c>
      <c r="AN221" s="641">
        <f>ROUND(T225,2)</f>
        <v>1.01</v>
      </c>
      <c r="AO221" s="642">
        <f>ROUND(AM221+AN221,2)*A221</f>
        <v>2732.4500000000003</v>
      </c>
    </row>
    <row r="222" spans="1:41" s="618" customFormat="1" ht="24">
      <c r="A222" s="616"/>
      <c r="B222" s="616"/>
      <c r="C222" s="616"/>
      <c r="D222" s="744" t="s">
        <v>749</v>
      </c>
      <c r="E222" s="744"/>
      <c r="F222" s="744"/>
      <c r="G222" s="744"/>
      <c r="H222" s="744"/>
      <c r="I222" s="744"/>
      <c r="J222" s="744"/>
      <c r="K222" s="744" t="s">
        <v>502</v>
      </c>
      <c r="L222" s="744"/>
      <c r="M222" s="744"/>
      <c r="N222" s="744"/>
      <c r="O222" s="744"/>
      <c r="P222" s="744"/>
      <c r="Q222" s="744"/>
      <c r="R222" s="669"/>
      <c r="S222" s="669"/>
      <c r="T222" s="669"/>
    </row>
    <row r="223" spans="1:41" s="783" customFormat="1" ht="13.2">
      <c r="A223" s="105">
        <v>7</v>
      </c>
      <c r="B223" s="783" t="s">
        <v>134</v>
      </c>
      <c r="D223" s="783" t="s">
        <v>802</v>
      </c>
      <c r="G223" s="784" t="s">
        <v>801</v>
      </c>
      <c r="H223" s="785">
        <v>705</v>
      </c>
      <c r="I223" s="783" t="s">
        <v>627</v>
      </c>
      <c r="O223" s="786">
        <v>3</v>
      </c>
      <c r="P223" s="787"/>
      <c r="Q223" s="788">
        <v>55.62</v>
      </c>
      <c r="R223" s="789">
        <f>$A223*Q223</f>
        <v>389.34</v>
      </c>
      <c r="S223" s="788">
        <f>0.845 *(0.17)</f>
        <v>0.14365</v>
      </c>
      <c r="T223" s="790">
        <f>$A223*S223*$T$1</f>
        <v>1.0055499999999999</v>
      </c>
    </row>
    <row r="224" spans="1:41" s="618" customFormat="1" ht="12">
      <c r="A224" s="645"/>
      <c r="B224" s="645"/>
      <c r="C224" s="645"/>
      <c r="D224" s="645"/>
      <c r="E224" s="645"/>
      <c r="F224" s="2"/>
      <c r="G224" s="645"/>
      <c r="H224" s="645"/>
      <c r="I224" s="646"/>
      <c r="J224" s="645"/>
      <c r="K224" s="645"/>
      <c r="L224" s="645"/>
      <c r="M224" s="645"/>
      <c r="N224" s="645"/>
      <c r="O224" s="645"/>
      <c r="P224" s="645"/>
      <c r="Q224" s="646"/>
      <c r="R224" s="647">
        <f t="shared" ref="R224" si="54">$A224*Q224</f>
        <v>0</v>
      </c>
      <c r="S224" s="646"/>
      <c r="T224" s="648">
        <f t="shared" ref="T224" si="55">$A224*S224*$T$1</f>
        <v>0</v>
      </c>
    </row>
    <row r="225" spans="1:41" s="618" customFormat="1" ht="12.6" thickBot="1">
      <c r="A225" s="649" t="s">
        <v>137</v>
      </c>
      <c r="B225" s="650">
        <f>(R224+T224)</f>
        <v>0</v>
      </c>
      <c r="C225" s="651"/>
      <c r="D225" s="651"/>
      <c r="E225" s="651"/>
      <c r="F225" s="652"/>
      <c r="G225" s="651" t="s">
        <v>503</v>
      </c>
      <c r="H225" s="651"/>
      <c r="I225" s="653"/>
      <c r="J225" s="651"/>
      <c r="K225" s="651" t="s">
        <v>3</v>
      </c>
      <c r="L225" s="654" t="s">
        <v>136</v>
      </c>
      <c r="M225" s="654"/>
      <c r="N225" s="654"/>
      <c r="O225" s="654"/>
      <c r="P225" s="654"/>
      <c r="Q225" s="655"/>
      <c r="R225" s="656">
        <f>SUM(R222:R224)</f>
        <v>389.34</v>
      </c>
      <c r="S225" s="651"/>
      <c r="T225" s="656">
        <f>SUM(T222:T224)</f>
        <v>1.0055499999999999</v>
      </c>
      <c r="U225" s="621"/>
      <c r="V225" s="621"/>
      <c r="W225" s="621"/>
      <c r="X225" s="621"/>
      <c r="Y225" s="621"/>
      <c r="Z225" s="621"/>
      <c r="AA225" s="621"/>
      <c r="AB225" s="621"/>
      <c r="AC225" s="621"/>
      <c r="AD225" s="621"/>
      <c r="AE225" s="621"/>
      <c r="AF225" s="621"/>
      <c r="AG225" s="621"/>
      <c r="AH225" s="621"/>
      <c r="AI225" s="621"/>
      <c r="AJ225" s="621"/>
      <c r="AK225" s="621"/>
      <c r="AL225" s="621"/>
      <c r="AM225" s="621"/>
      <c r="AN225" s="621"/>
      <c r="AO225" s="621"/>
    </row>
    <row r="226" spans="1:41" s="618" customFormat="1" ht="12" thickTop="1">
      <c r="A226" s="616"/>
      <c r="B226" s="622"/>
      <c r="C226" s="616"/>
      <c r="E226" s="37" t="s">
        <v>491</v>
      </c>
      <c r="F226" s="37" t="s">
        <v>492</v>
      </c>
      <c r="G226" s="616"/>
      <c r="H226" s="616"/>
      <c r="I226" s="616"/>
      <c r="J226" s="616"/>
      <c r="K226" s="616" t="s">
        <v>493</v>
      </c>
      <c r="L226" s="616"/>
      <c r="M226" s="616"/>
      <c r="N226" s="616"/>
      <c r="O226" s="617"/>
      <c r="P226" s="616"/>
      <c r="Q226" s="616"/>
      <c r="R226" s="616"/>
      <c r="S226" s="616"/>
      <c r="T226" s="622"/>
      <c r="AG226" s="623" t="s">
        <v>494</v>
      </c>
      <c r="AH226" s="623" t="s">
        <v>495</v>
      </c>
      <c r="AI226" s="623" t="s">
        <v>496</v>
      </c>
      <c r="AJ226" s="623" t="s">
        <v>497</v>
      </c>
      <c r="AK226" s="623" t="s">
        <v>498</v>
      </c>
      <c r="AM226" s="624" t="s">
        <v>499</v>
      </c>
      <c r="AN226" s="625" t="s">
        <v>500</v>
      </c>
      <c r="AO226" s="626" t="s">
        <v>501</v>
      </c>
    </row>
    <row r="227" spans="1:41" s="618" customFormat="1" ht="12" customHeight="1">
      <c r="A227" s="627">
        <v>1</v>
      </c>
      <c r="B227" s="628" t="s">
        <v>294</v>
      </c>
      <c r="C227" s="629"/>
      <c r="D227" s="630" t="s">
        <v>526</v>
      </c>
      <c r="E227" s="631">
        <f>IF(AND($A227=0,$A$1="DIF"),0, ROUND(ROUND(($R231*$S$2+($T231*$T$2))/A227,2)*$C$2,2))</f>
        <v>47.74</v>
      </c>
      <c r="F227" s="632">
        <f>ROUND($A227*$E227,2)</f>
        <v>47.74</v>
      </c>
      <c r="G227" s="88" t="s">
        <v>135</v>
      </c>
      <c r="H227" s="2"/>
      <c r="I227" s="633"/>
      <c r="J227" s="2"/>
      <c r="K227" s="2" t="s">
        <v>3</v>
      </c>
      <c r="L227" s="634" t="s">
        <v>136</v>
      </c>
      <c r="M227" s="634"/>
      <c r="N227" s="634"/>
      <c r="O227" s="634"/>
      <c r="P227" s="634"/>
      <c r="Q227" s="616"/>
      <c r="T227" s="635" t="str">
        <f>IF(AND($R231=0,$T231=0),"0.00","mu :" &amp; ROUND($F227/$C$2/($R231+$T231*$D$9),2))</f>
        <v>mu :1</v>
      </c>
      <c r="W227" s="636"/>
      <c r="AG227" s="637">
        <f>IF($E227=0,0,ROUND($R231*$S$2*$C$2/$A227,2))</f>
        <v>43.6</v>
      </c>
      <c r="AH227" s="637">
        <f>$AG227*$A227</f>
        <v>43.6</v>
      </c>
      <c r="AI227" s="638">
        <f>$E227-$AG227</f>
        <v>4.1400000000000006</v>
      </c>
      <c r="AJ227" s="638">
        <f>$A227*$AI227</f>
        <v>4.1400000000000006</v>
      </c>
      <c r="AK227" s="639">
        <f>ROUND(($AG227+$AI227)*$A227,2)</f>
        <v>47.74</v>
      </c>
      <c r="AM227" s="640">
        <f>ROUND(R231,2)</f>
        <v>43.6</v>
      </c>
      <c r="AN227" s="641">
        <f>ROUND(T231,2)</f>
        <v>0.14000000000000001</v>
      </c>
      <c r="AO227" s="642">
        <f>ROUND(AM227+AN227,2)*A227</f>
        <v>43.74</v>
      </c>
    </row>
    <row r="228" spans="1:41" s="618" customFormat="1" ht="24">
      <c r="A228" s="616"/>
      <c r="B228" s="616"/>
      <c r="C228" s="616"/>
      <c r="D228" s="744" t="s">
        <v>312</v>
      </c>
      <c r="E228" s="744"/>
      <c r="F228" s="744"/>
      <c r="G228" s="744"/>
      <c r="H228" s="744"/>
      <c r="I228" s="744"/>
      <c r="J228" s="744"/>
      <c r="K228" s="744" t="s">
        <v>502</v>
      </c>
      <c r="L228" s="744"/>
      <c r="M228" s="744"/>
      <c r="N228" s="744"/>
      <c r="O228" s="744"/>
      <c r="P228" s="744"/>
      <c r="Q228" s="744"/>
      <c r="R228" s="669"/>
      <c r="S228" s="669"/>
      <c r="T228" s="669"/>
    </row>
    <row r="229" spans="1:41" s="783" customFormat="1" ht="13.2">
      <c r="A229" s="105">
        <v>1</v>
      </c>
      <c r="B229" s="783" t="s">
        <v>134</v>
      </c>
      <c r="D229" s="783" t="s">
        <v>803</v>
      </c>
      <c r="G229" s="784" t="s">
        <v>801</v>
      </c>
      <c r="H229" s="785">
        <v>705</v>
      </c>
      <c r="I229" s="783" t="s">
        <v>627</v>
      </c>
      <c r="O229" s="786">
        <v>3</v>
      </c>
      <c r="P229" s="787"/>
      <c r="Q229" s="788">
        <v>43.6</v>
      </c>
      <c r="R229" s="789">
        <f>$A229*Q229</f>
        <v>43.6</v>
      </c>
      <c r="S229" s="788">
        <f>0.845 *(0.17)</f>
        <v>0.14365</v>
      </c>
      <c r="T229" s="790">
        <f>$A229*S229*$T$1</f>
        <v>0.14365</v>
      </c>
    </row>
    <row r="230" spans="1:41" s="618" customFormat="1" ht="12">
      <c r="A230" s="645"/>
      <c r="B230" s="645"/>
      <c r="C230" s="645"/>
      <c r="D230" s="645"/>
      <c r="E230" s="645"/>
      <c r="F230" s="2"/>
      <c r="G230" s="645"/>
      <c r="H230" s="645"/>
      <c r="I230" s="646"/>
      <c r="J230" s="645"/>
      <c r="K230" s="645"/>
      <c r="L230" s="645"/>
      <c r="M230" s="645"/>
      <c r="N230" s="645"/>
      <c r="O230" s="645"/>
      <c r="P230" s="645"/>
      <c r="Q230" s="646"/>
      <c r="R230" s="647">
        <f t="shared" ref="R230" si="56">$A230*Q230</f>
        <v>0</v>
      </c>
      <c r="S230" s="646"/>
      <c r="T230" s="648">
        <f t="shared" ref="T230" si="57">$A230*S230*$T$1</f>
        <v>0</v>
      </c>
    </row>
    <row r="231" spans="1:41" s="618" customFormat="1" ht="12.6" thickBot="1">
      <c r="A231" s="649" t="s">
        <v>137</v>
      </c>
      <c r="B231" s="650">
        <f>(R230+T230)</f>
        <v>0</v>
      </c>
      <c r="C231" s="651"/>
      <c r="D231" s="651"/>
      <c r="E231" s="651"/>
      <c r="F231" s="652"/>
      <c r="G231" s="651" t="s">
        <v>503</v>
      </c>
      <c r="H231" s="651"/>
      <c r="I231" s="653"/>
      <c r="J231" s="651"/>
      <c r="K231" s="651" t="s">
        <v>3</v>
      </c>
      <c r="L231" s="654" t="s">
        <v>136</v>
      </c>
      <c r="M231" s="654"/>
      <c r="N231" s="654"/>
      <c r="O231" s="654"/>
      <c r="P231" s="654"/>
      <c r="Q231" s="655"/>
      <c r="R231" s="656">
        <f>SUM(R228:R230)</f>
        <v>43.6</v>
      </c>
      <c r="S231" s="651"/>
      <c r="T231" s="656">
        <f>SUM(T228:T230)</f>
        <v>0.14365</v>
      </c>
      <c r="U231" s="621"/>
      <c r="V231" s="621"/>
      <c r="W231" s="621"/>
      <c r="X231" s="621"/>
      <c r="Y231" s="621"/>
      <c r="Z231" s="621"/>
      <c r="AA231" s="621"/>
      <c r="AB231" s="621"/>
      <c r="AC231" s="621"/>
      <c r="AD231" s="621"/>
      <c r="AE231" s="621"/>
      <c r="AF231" s="621"/>
      <c r="AG231" s="621"/>
      <c r="AH231" s="621"/>
      <c r="AI231" s="621"/>
      <c r="AJ231" s="621"/>
      <c r="AK231" s="621"/>
      <c r="AL231" s="621"/>
      <c r="AM231" s="621"/>
      <c r="AN231" s="621"/>
      <c r="AO231" s="621"/>
    </row>
    <row r="232" spans="1:41" s="618" customFormat="1" ht="12" thickTop="1">
      <c r="A232" s="616"/>
      <c r="B232" s="622"/>
      <c r="C232" s="616"/>
      <c r="E232" s="37" t="s">
        <v>491</v>
      </c>
      <c r="F232" s="37" t="s">
        <v>492</v>
      </c>
      <c r="G232" s="616"/>
      <c r="H232" s="616"/>
      <c r="I232" s="616"/>
      <c r="J232" s="616"/>
      <c r="K232" s="616" t="s">
        <v>493</v>
      </c>
      <c r="L232" s="616"/>
      <c r="M232" s="616"/>
      <c r="N232" s="616"/>
      <c r="O232" s="617"/>
      <c r="P232" s="616"/>
      <c r="Q232" s="616"/>
      <c r="R232" s="616"/>
      <c r="S232" s="616"/>
      <c r="T232" s="622"/>
      <c r="AG232" s="623" t="s">
        <v>494</v>
      </c>
      <c r="AH232" s="623" t="s">
        <v>495</v>
      </c>
      <c r="AI232" s="623" t="s">
        <v>496</v>
      </c>
      <c r="AJ232" s="623" t="s">
        <v>497</v>
      </c>
      <c r="AK232" s="623" t="s">
        <v>498</v>
      </c>
      <c r="AM232" s="624" t="s">
        <v>499</v>
      </c>
      <c r="AN232" s="625" t="s">
        <v>500</v>
      </c>
      <c r="AO232" s="626" t="s">
        <v>501</v>
      </c>
    </row>
    <row r="233" spans="1:41" s="618" customFormat="1" ht="12" customHeight="1">
      <c r="A233" s="627">
        <v>2</v>
      </c>
      <c r="B233" s="628" t="s">
        <v>294</v>
      </c>
      <c r="C233" s="629"/>
      <c r="D233" s="630" t="s">
        <v>527</v>
      </c>
      <c r="E233" s="631">
        <f>IF(AND($A233=0,$A$1="DIF"),0, ROUND(ROUND(($R237*$S$2+($T237*$T$2))/A233,2)*$C$2,2))</f>
        <v>15.12</v>
      </c>
      <c r="F233" s="632">
        <f>ROUND($A233*$E233,2)</f>
        <v>30.24</v>
      </c>
      <c r="G233" s="88" t="s">
        <v>135</v>
      </c>
      <c r="H233" s="2"/>
      <c r="I233" s="633"/>
      <c r="J233" s="2"/>
      <c r="K233" s="2" t="s">
        <v>3</v>
      </c>
      <c r="L233" s="634" t="s">
        <v>136</v>
      </c>
      <c r="M233" s="634"/>
      <c r="N233" s="634"/>
      <c r="O233" s="634"/>
      <c r="P233" s="634"/>
      <c r="Q233" s="616"/>
      <c r="T233" s="635" t="str">
        <f>IF(AND($R237=0,$T237=0),"0.00","mu :" &amp; ROUND($F233/$C$2/($R237+$T237*$D$9),2))</f>
        <v>mu :1</v>
      </c>
      <c r="W233" s="636"/>
      <c r="AG233" s="637">
        <f>IF($E233=0,0,ROUND($R237*$S$2*$C$2/$A233,2))</f>
        <v>10.98</v>
      </c>
      <c r="AH233" s="637">
        <f>$AG233*$A233</f>
        <v>21.96</v>
      </c>
      <c r="AI233" s="638">
        <f>$E233-$AG233</f>
        <v>4.1399999999999988</v>
      </c>
      <c r="AJ233" s="638">
        <f>$A233*$AI233</f>
        <v>8.2799999999999976</v>
      </c>
      <c r="AK233" s="639">
        <f>ROUND(($AG233+$AI233)*$A233,2)</f>
        <v>30.24</v>
      </c>
      <c r="AM233" s="640">
        <f>ROUND(R237,2)</f>
        <v>21.96</v>
      </c>
      <c r="AN233" s="641">
        <f>ROUND(T237,2)</f>
        <v>0.28999999999999998</v>
      </c>
      <c r="AO233" s="642">
        <f>ROUND(AM233+AN233,2)*A233</f>
        <v>44.5</v>
      </c>
    </row>
    <row r="234" spans="1:41" s="618" customFormat="1" ht="13.2">
      <c r="A234" s="629"/>
      <c r="B234"/>
      <c r="C234" s="629"/>
      <c r="D234" s="630" t="s">
        <v>313</v>
      </c>
      <c r="F234" s="2"/>
      <c r="G234" s="3"/>
      <c r="H234" s="2"/>
      <c r="I234" s="633"/>
      <c r="J234" s="2"/>
      <c r="K234" s="2" t="s">
        <v>502</v>
      </c>
      <c r="L234" s="2"/>
      <c r="M234" s="2"/>
      <c r="N234" s="2"/>
      <c r="O234" s="2"/>
      <c r="P234" s="2"/>
      <c r="Q234" s="616"/>
      <c r="R234" s="643"/>
      <c r="S234" s="644"/>
      <c r="T234" s="2"/>
    </row>
    <row r="235" spans="1:41" s="783" customFormat="1" ht="13.2">
      <c r="A235" s="105">
        <v>2</v>
      </c>
      <c r="B235" s="783" t="s">
        <v>134</v>
      </c>
      <c r="D235" s="783" t="s">
        <v>804</v>
      </c>
      <c r="G235" s="784" t="s">
        <v>801</v>
      </c>
      <c r="H235" s="785">
        <v>705</v>
      </c>
      <c r="I235" s="783" t="s">
        <v>627</v>
      </c>
      <c r="O235" s="786">
        <v>3</v>
      </c>
      <c r="P235" s="787"/>
      <c r="Q235" s="788">
        <v>10.98</v>
      </c>
      <c r="R235" s="789">
        <f>$A235*Q235</f>
        <v>21.96</v>
      </c>
      <c r="S235" s="788">
        <f>0.845 *(0.17)</f>
        <v>0.14365</v>
      </c>
      <c r="T235" s="790">
        <f>$A235*S235*$T$1</f>
        <v>0.2873</v>
      </c>
    </row>
    <row r="236" spans="1:41" s="618" customFormat="1" ht="12">
      <c r="A236" s="645"/>
      <c r="B236" s="645"/>
      <c r="C236" s="645"/>
      <c r="D236" s="645"/>
      <c r="E236" s="645"/>
      <c r="F236" s="2"/>
      <c r="G236" s="645"/>
      <c r="H236" s="645"/>
      <c r="I236" s="646"/>
      <c r="J236" s="645"/>
      <c r="K236" s="645"/>
      <c r="L236" s="645"/>
      <c r="M236" s="645"/>
      <c r="N236" s="645"/>
      <c r="O236" s="645"/>
      <c r="P236" s="645"/>
      <c r="Q236" s="646"/>
      <c r="R236" s="647">
        <f t="shared" ref="R236" si="58">$A236*Q236</f>
        <v>0</v>
      </c>
      <c r="S236" s="646"/>
      <c r="T236" s="648">
        <f t="shared" ref="T236" si="59">$A236*S236*$T$1</f>
        <v>0</v>
      </c>
    </row>
    <row r="237" spans="1:41" s="618" customFormat="1" ht="12.6" thickBot="1">
      <c r="A237" s="649" t="s">
        <v>137</v>
      </c>
      <c r="B237" s="650">
        <f>(R236+T236)</f>
        <v>0</v>
      </c>
      <c r="C237" s="651"/>
      <c r="D237" s="651"/>
      <c r="E237" s="651"/>
      <c r="F237" s="652"/>
      <c r="G237" s="651" t="s">
        <v>503</v>
      </c>
      <c r="H237" s="651"/>
      <c r="I237" s="653"/>
      <c r="J237" s="651"/>
      <c r="K237" s="651" t="s">
        <v>3</v>
      </c>
      <c r="L237" s="654" t="s">
        <v>136</v>
      </c>
      <c r="M237" s="654"/>
      <c r="N237" s="654"/>
      <c r="O237" s="654"/>
      <c r="P237" s="654"/>
      <c r="Q237" s="655"/>
      <c r="R237" s="656">
        <f>SUM(R234:R236)</f>
        <v>21.96</v>
      </c>
      <c r="S237" s="651"/>
      <c r="T237" s="656">
        <f>SUM(T234:T236)</f>
        <v>0.2873</v>
      </c>
      <c r="U237" s="621"/>
      <c r="V237" s="621"/>
      <c r="W237" s="621"/>
      <c r="X237" s="621"/>
      <c r="Y237" s="621"/>
      <c r="Z237" s="621"/>
      <c r="AA237" s="621"/>
      <c r="AB237" s="621"/>
      <c r="AC237" s="621"/>
      <c r="AD237" s="621"/>
      <c r="AE237" s="621"/>
      <c r="AF237" s="621"/>
      <c r="AG237" s="621"/>
      <c r="AH237" s="621"/>
      <c r="AI237" s="621"/>
      <c r="AJ237" s="621"/>
      <c r="AK237" s="621"/>
      <c r="AL237" s="621"/>
      <c r="AM237" s="621"/>
      <c r="AN237" s="621"/>
      <c r="AO237" s="621"/>
    </row>
    <row r="238" spans="1:41" s="618" customFormat="1" ht="12" thickTop="1">
      <c r="A238" s="616"/>
      <c r="B238" s="622"/>
      <c r="C238" s="616"/>
      <c r="E238" s="37" t="s">
        <v>491</v>
      </c>
      <c r="F238" s="37" t="s">
        <v>492</v>
      </c>
      <c r="G238" s="616"/>
      <c r="H238" s="616"/>
      <c r="I238" s="616"/>
      <c r="J238" s="616"/>
      <c r="K238" s="616" t="s">
        <v>493</v>
      </c>
      <c r="L238" s="616"/>
      <c r="M238" s="616"/>
      <c r="N238" s="616"/>
      <c r="O238" s="617"/>
      <c r="P238" s="616"/>
      <c r="Q238" s="616"/>
      <c r="R238" s="616"/>
      <c r="S238" s="616"/>
      <c r="T238" s="622"/>
      <c r="AG238" s="623" t="s">
        <v>494</v>
      </c>
      <c r="AH238" s="623" t="s">
        <v>495</v>
      </c>
      <c r="AI238" s="623" t="s">
        <v>496</v>
      </c>
      <c r="AJ238" s="623" t="s">
        <v>497</v>
      </c>
      <c r="AK238" s="623" t="s">
        <v>498</v>
      </c>
      <c r="AM238" s="624" t="s">
        <v>499</v>
      </c>
      <c r="AN238" s="625" t="s">
        <v>500</v>
      </c>
      <c r="AO238" s="626" t="s">
        <v>501</v>
      </c>
    </row>
    <row r="239" spans="1:41" s="618" customFormat="1" ht="12" customHeight="1">
      <c r="A239" s="627">
        <v>3</v>
      </c>
      <c r="B239" s="628" t="s">
        <v>294</v>
      </c>
      <c r="C239" s="629"/>
      <c r="D239" s="630" t="s">
        <v>528</v>
      </c>
      <c r="E239" s="631">
        <f>IF(AND($A239=0,$A$1="DIF"),0, ROUND(ROUND(($R243*$S$2+($T243*$T$2))/A239,2)*$C$2,2))</f>
        <v>6.54</v>
      </c>
      <c r="F239" s="632">
        <f>ROUND($A239*$E239,2)</f>
        <v>19.62</v>
      </c>
      <c r="G239" s="88" t="s">
        <v>135</v>
      </c>
      <c r="H239" s="2"/>
      <c r="I239" s="633"/>
      <c r="J239" s="2"/>
      <c r="K239" s="2" t="s">
        <v>3</v>
      </c>
      <c r="L239" s="634" t="s">
        <v>136</v>
      </c>
      <c r="M239" s="634"/>
      <c r="N239" s="634"/>
      <c r="O239" s="634"/>
      <c r="P239" s="634"/>
      <c r="Q239" s="616"/>
      <c r="T239" s="635" t="str">
        <f>IF(AND($R243=0,$T243=0),"0.00","mu :" &amp; ROUND($F239/$C$2/($R243+$T243*$D$9),2))</f>
        <v>mu :1</v>
      </c>
      <c r="W239" s="636"/>
      <c r="AG239" s="637">
        <f>IF($E239=0,0,ROUND($R243*$S$2*$C$2/$A239,2))</f>
        <v>2.4</v>
      </c>
      <c r="AH239" s="637">
        <f>$AG239*$A239</f>
        <v>7.1999999999999993</v>
      </c>
      <c r="AI239" s="638">
        <f>$E239-$AG239</f>
        <v>4.1400000000000006</v>
      </c>
      <c r="AJ239" s="638">
        <f>$A239*$AI239</f>
        <v>12.420000000000002</v>
      </c>
      <c r="AK239" s="639">
        <f>ROUND(($AG239+$AI239)*$A239,2)</f>
        <v>19.62</v>
      </c>
      <c r="AM239" s="640">
        <f>ROUND(R243,2)</f>
        <v>7.2</v>
      </c>
      <c r="AN239" s="641">
        <f>ROUND(T243,2)</f>
        <v>0.43</v>
      </c>
      <c r="AO239" s="642">
        <f>ROUND(AM239+AN239,2)*A239</f>
        <v>22.89</v>
      </c>
    </row>
    <row r="240" spans="1:41" s="618" customFormat="1" ht="13.2">
      <c r="A240" s="629"/>
      <c r="B240"/>
      <c r="C240" s="629"/>
      <c r="D240" s="630" t="s">
        <v>314</v>
      </c>
      <c r="F240" s="2"/>
      <c r="G240" s="3"/>
      <c r="H240" s="2"/>
      <c r="I240" s="633"/>
      <c r="J240" s="2"/>
      <c r="K240" s="2" t="s">
        <v>502</v>
      </c>
      <c r="L240" s="2"/>
      <c r="M240" s="2"/>
      <c r="N240" s="2"/>
      <c r="O240" s="2"/>
      <c r="P240" s="2"/>
      <c r="Q240" s="616"/>
      <c r="R240" s="643"/>
      <c r="S240" s="644"/>
      <c r="T240" s="2"/>
    </row>
    <row r="241" spans="1:41" s="783" customFormat="1" ht="13.2">
      <c r="A241" s="105">
        <v>3</v>
      </c>
      <c r="B241" s="783" t="s">
        <v>134</v>
      </c>
      <c r="D241" s="783" t="s">
        <v>854</v>
      </c>
      <c r="F241" s="783" t="s">
        <v>856</v>
      </c>
      <c r="G241" s="784" t="s">
        <v>801</v>
      </c>
      <c r="H241" s="785">
        <v>705</v>
      </c>
      <c r="I241" s="783" t="s">
        <v>627</v>
      </c>
      <c r="O241" s="786">
        <v>3</v>
      </c>
      <c r="P241" s="787"/>
      <c r="Q241" s="788">
        <v>2.4</v>
      </c>
      <c r="R241" s="789">
        <f>$A241*Q241</f>
        <v>7.1999999999999993</v>
      </c>
      <c r="S241" s="788">
        <f>0.845 *(0.17)</f>
        <v>0.14365</v>
      </c>
      <c r="T241" s="790">
        <f>$A241*S241*$T$1</f>
        <v>0.43095</v>
      </c>
    </row>
    <row r="242" spans="1:41" s="618" customFormat="1" ht="12">
      <c r="A242" s="645"/>
      <c r="B242" s="645"/>
      <c r="C242" s="645"/>
      <c r="D242" s="645"/>
      <c r="E242" s="645"/>
      <c r="F242" s="2"/>
      <c r="G242" s="645"/>
      <c r="H242" s="645"/>
      <c r="I242" s="646"/>
      <c r="J242" s="645"/>
      <c r="K242" s="645"/>
      <c r="L242" s="645"/>
      <c r="M242" s="645"/>
      <c r="N242" s="645"/>
      <c r="O242" s="645"/>
      <c r="P242" s="645"/>
      <c r="Q242" s="646"/>
      <c r="R242" s="647">
        <f t="shared" ref="R242" si="60">$A242*Q242</f>
        <v>0</v>
      </c>
      <c r="S242" s="646"/>
      <c r="T242" s="648">
        <f t="shared" ref="T242" si="61">$A242*S242*$T$1</f>
        <v>0</v>
      </c>
    </row>
    <row r="243" spans="1:41" s="618" customFormat="1" ht="12.6" thickBot="1">
      <c r="A243" s="649" t="s">
        <v>137</v>
      </c>
      <c r="B243" s="650">
        <f>(R242+T242)</f>
        <v>0</v>
      </c>
      <c r="C243" s="651"/>
      <c r="D243" s="651"/>
      <c r="E243" s="651"/>
      <c r="F243" s="652"/>
      <c r="G243" s="651" t="s">
        <v>503</v>
      </c>
      <c r="H243" s="651"/>
      <c r="I243" s="653"/>
      <c r="J243" s="651"/>
      <c r="K243" s="651" t="s">
        <v>3</v>
      </c>
      <c r="L243" s="654" t="s">
        <v>136</v>
      </c>
      <c r="M243" s="654"/>
      <c r="N243" s="654"/>
      <c r="O243" s="654"/>
      <c r="P243" s="654"/>
      <c r="Q243" s="655"/>
      <c r="R243" s="656">
        <f>SUM(R240:R242)</f>
        <v>7.1999999999999993</v>
      </c>
      <c r="S243" s="651"/>
      <c r="T243" s="656">
        <f>SUM(T240:T242)</f>
        <v>0.43095</v>
      </c>
      <c r="U243" s="621"/>
      <c r="V243" s="621"/>
      <c r="W243" s="621"/>
      <c r="X243" s="621"/>
      <c r="Y243" s="621"/>
      <c r="Z243" s="621"/>
      <c r="AA243" s="621"/>
      <c r="AB243" s="621"/>
      <c r="AC243" s="621"/>
      <c r="AD243" s="621"/>
      <c r="AE243" s="621"/>
      <c r="AF243" s="621"/>
      <c r="AG243" s="621"/>
      <c r="AH243" s="621"/>
      <c r="AI243" s="621"/>
      <c r="AJ243" s="621"/>
      <c r="AK243" s="621"/>
      <c r="AL243" s="621"/>
      <c r="AM243" s="621"/>
      <c r="AN243" s="621"/>
      <c r="AO243" s="621"/>
    </row>
    <row r="244" spans="1:41" s="618" customFormat="1" ht="12" thickTop="1">
      <c r="A244" s="616"/>
      <c r="B244" s="622"/>
      <c r="C244" s="616"/>
      <c r="E244" s="37" t="s">
        <v>491</v>
      </c>
      <c r="F244" s="37" t="s">
        <v>492</v>
      </c>
      <c r="G244" s="616"/>
      <c r="H244" s="616"/>
      <c r="I244" s="616"/>
      <c r="J244" s="616"/>
      <c r="K244" s="616" t="s">
        <v>493</v>
      </c>
      <c r="L244" s="616"/>
      <c r="M244" s="616"/>
      <c r="N244" s="616"/>
      <c r="O244" s="617"/>
      <c r="P244" s="616"/>
      <c r="Q244" s="616"/>
      <c r="R244" s="616"/>
      <c r="S244" s="616"/>
      <c r="T244" s="622"/>
      <c r="AG244" s="623" t="s">
        <v>494</v>
      </c>
      <c r="AH244" s="623" t="s">
        <v>495</v>
      </c>
      <c r="AI244" s="623" t="s">
        <v>496</v>
      </c>
      <c r="AJ244" s="623" t="s">
        <v>497</v>
      </c>
      <c r="AK244" s="623" t="s">
        <v>498</v>
      </c>
      <c r="AM244" s="624" t="s">
        <v>499</v>
      </c>
      <c r="AN244" s="625" t="s">
        <v>500</v>
      </c>
      <c r="AO244" s="626" t="s">
        <v>501</v>
      </c>
    </row>
    <row r="245" spans="1:41" s="618" customFormat="1" ht="12" customHeight="1">
      <c r="A245" s="627">
        <v>7</v>
      </c>
      <c r="B245" s="628" t="s">
        <v>294</v>
      </c>
      <c r="C245" s="629"/>
      <c r="D245" s="630" t="s">
        <v>529</v>
      </c>
      <c r="E245" s="631">
        <f>IF(AND($A245=0,$A$1="DIF"),0, ROUND(ROUND(($R249*$S$2+($T249*$T$2))/A245,2)*$C$2,2))</f>
        <v>9.82</v>
      </c>
      <c r="F245" s="632">
        <f>ROUND($A245*$E245,2)</f>
        <v>68.739999999999995</v>
      </c>
      <c r="G245" s="88" t="s">
        <v>135</v>
      </c>
      <c r="H245" s="2"/>
      <c r="I245" s="633"/>
      <c r="J245" s="2"/>
      <c r="K245" s="2" t="s">
        <v>3</v>
      </c>
      <c r="L245" s="634" t="s">
        <v>136</v>
      </c>
      <c r="M245" s="634"/>
      <c r="N245" s="634"/>
      <c r="O245" s="634"/>
      <c r="P245" s="634"/>
      <c r="Q245" s="616"/>
      <c r="T245" s="635" t="str">
        <f>IF(AND($R249=0,$T249=0),"0.00","mu :" &amp; ROUND($F245/$C$2/($R249+$T249*$D$9),2))</f>
        <v>mu :1</v>
      </c>
      <c r="W245" s="636"/>
      <c r="AG245" s="637">
        <f>IF($E245=0,0,ROUND($R249*$S$2*$C$2/$A245,2))</f>
        <v>5.68</v>
      </c>
      <c r="AH245" s="637">
        <f>$AG245*$A245</f>
        <v>39.76</v>
      </c>
      <c r="AI245" s="638">
        <f>$E245-$AG245</f>
        <v>4.1400000000000006</v>
      </c>
      <c r="AJ245" s="638">
        <f>$A245*$AI245</f>
        <v>28.980000000000004</v>
      </c>
      <c r="AK245" s="639">
        <f>ROUND(($AG245+$AI245)*$A245,2)</f>
        <v>68.739999999999995</v>
      </c>
      <c r="AM245" s="640">
        <f>ROUND(R249,2)</f>
        <v>39.76</v>
      </c>
      <c r="AN245" s="641">
        <f>ROUND(T249,2)</f>
        <v>1.01</v>
      </c>
      <c r="AO245" s="642">
        <f>ROUND(AM245+AN245,2)*A245</f>
        <v>285.39000000000004</v>
      </c>
    </row>
    <row r="246" spans="1:41" s="618" customFormat="1" ht="13.2">
      <c r="A246" s="629"/>
      <c r="B246"/>
      <c r="C246" s="629"/>
      <c r="D246" s="630" t="s">
        <v>315</v>
      </c>
      <c r="F246" s="2"/>
      <c r="G246" s="3"/>
      <c r="H246" s="2"/>
      <c r="I246" s="633"/>
      <c r="J246" s="2"/>
      <c r="K246" s="2" t="s">
        <v>502</v>
      </c>
      <c r="L246" s="2"/>
      <c r="M246" s="2"/>
      <c r="N246" s="2"/>
      <c r="O246" s="2"/>
      <c r="P246" s="2"/>
      <c r="Q246" s="616"/>
      <c r="R246" s="643"/>
      <c r="S246" s="644"/>
      <c r="T246" s="2"/>
    </row>
    <row r="247" spans="1:41" s="783" customFormat="1" ht="13.2">
      <c r="A247" s="105">
        <v>7</v>
      </c>
      <c r="B247" s="783" t="s">
        <v>134</v>
      </c>
      <c r="D247" s="783" t="s">
        <v>855</v>
      </c>
      <c r="F247" s="783" t="s">
        <v>856</v>
      </c>
      <c r="G247" s="784" t="s">
        <v>801</v>
      </c>
      <c r="H247" s="785">
        <v>705</v>
      </c>
      <c r="I247" s="783" t="s">
        <v>627</v>
      </c>
      <c r="O247" s="786">
        <v>3</v>
      </c>
      <c r="P247" s="787"/>
      <c r="Q247" s="788">
        <v>5.68</v>
      </c>
      <c r="R247" s="789">
        <f>$A247*Q247</f>
        <v>39.76</v>
      </c>
      <c r="S247" s="788">
        <f>0.845 *(0.17)</f>
        <v>0.14365</v>
      </c>
      <c r="T247" s="790">
        <f>$A247*S247*$T$1</f>
        <v>1.0055499999999999</v>
      </c>
    </row>
    <row r="248" spans="1:41" s="618" customFormat="1" ht="12">
      <c r="A248" s="645"/>
      <c r="B248" s="645"/>
      <c r="C248" s="645"/>
      <c r="D248" s="645"/>
      <c r="E248" s="645"/>
      <c r="F248" s="2"/>
      <c r="G248" s="645"/>
      <c r="H248" s="645"/>
      <c r="I248" s="646"/>
      <c r="J248" s="645"/>
      <c r="K248" s="645"/>
      <c r="L248" s="645"/>
      <c r="M248" s="645"/>
      <c r="N248" s="645"/>
      <c r="O248" s="645"/>
      <c r="P248" s="645"/>
      <c r="Q248" s="646"/>
      <c r="R248" s="647">
        <f t="shared" ref="R248" si="62">$A248*Q248</f>
        <v>0</v>
      </c>
      <c r="S248" s="646"/>
      <c r="T248" s="648">
        <f t="shared" ref="T248" si="63">$A248*S248*$T$1</f>
        <v>0</v>
      </c>
    </row>
    <row r="249" spans="1:41" s="618" customFormat="1" ht="12.6" thickBot="1">
      <c r="A249" s="649" t="s">
        <v>137</v>
      </c>
      <c r="B249" s="650">
        <f>(R248+T248)</f>
        <v>0</v>
      </c>
      <c r="C249" s="651"/>
      <c r="D249" s="651"/>
      <c r="E249" s="651"/>
      <c r="F249" s="652"/>
      <c r="G249" s="651" t="s">
        <v>503</v>
      </c>
      <c r="H249" s="651"/>
      <c r="I249" s="653"/>
      <c r="J249" s="651"/>
      <c r="K249" s="651" t="s">
        <v>3</v>
      </c>
      <c r="L249" s="654" t="s">
        <v>136</v>
      </c>
      <c r="M249" s="654"/>
      <c r="N249" s="654"/>
      <c r="O249" s="654"/>
      <c r="P249" s="654"/>
      <c r="Q249" s="655"/>
      <c r="R249" s="656">
        <f>SUM(R246:R248)</f>
        <v>39.76</v>
      </c>
      <c r="S249" s="651"/>
      <c r="T249" s="656">
        <f>SUM(T246:T248)</f>
        <v>1.0055499999999999</v>
      </c>
      <c r="U249" s="621"/>
      <c r="V249" s="621"/>
      <c r="W249" s="621"/>
      <c r="X249" s="621"/>
      <c r="Y249" s="621"/>
      <c r="Z249" s="621"/>
      <c r="AA249" s="621"/>
      <c r="AB249" s="621"/>
      <c r="AC249" s="621"/>
      <c r="AD249" s="621"/>
      <c r="AE249" s="621"/>
      <c r="AF249" s="621"/>
      <c r="AG249" s="621"/>
      <c r="AH249" s="621"/>
      <c r="AI249" s="621"/>
      <c r="AJ249" s="621"/>
      <c r="AK249" s="621"/>
      <c r="AL249" s="621"/>
      <c r="AM249" s="621"/>
      <c r="AN249" s="621"/>
      <c r="AO249" s="621"/>
    </row>
    <row r="250" spans="1:41" s="618" customFormat="1" ht="12" thickTop="1">
      <c r="A250" s="616"/>
      <c r="B250" s="622"/>
      <c r="C250" s="616"/>
      <c r="E250" s="37" t="s">
        <v>491</v>
      </c>
      <c r="F250" s="37" t="s">
        <v>492</v>
      </c>
      <c r="G250" s="616"/>
      <c r="H250" s="616"/>
      <c r="I250" s="616"/>
      <c r="J250" s="616"/>
      <c r="K250" s="616" t="s">
        <v>493</v>
      </c>
      <c r="L250" s="616"/>
      <c r="M250" s="616"/>
      <c r="N250" s="616"/>
      <c r="O250" s="617"/>
      <c r="P250" s="616"/>
      <c r="Q250" s="616"/>
      <c r="R250" s="616"/>
      <c r="S250" s="616"/>
      <c r="T250" s="622"/>
      <c r="AG250" s="623" t="s">
        <v>494</v>
      </c>
      <c r="AH250" s="623" t="s">
        <v>495</v>
      </c>
      <c r="AI250" s="623" t="s">
        <v>496</v>
      </c>
      <c r="AJ250" s="623" t="s">
        <v>497</v>
      </c>
      <c r="AK250" s="623" t="s">
        <v>498</v>
      </c>
      <c r="AM250" s="624" t="s">
        <v>499</v>
      </c>
      <c r="AN250" s="625" t="s">
        <v>500</v>
      </c>
      <c r="AO250" s="626" t="s">
        <v>501</v>
      </c>
    </row>
    <row r="251" spans="1:41" s="618" customFormat="1" ht="12" customHeight="1">
      <c r="A251" s="627">
        <v>1</v>
      </c>
      <c r="B251" s="628" t="s">
        <v>294</v>
      </c>
      <c r="C251" s="629"/>
      <c r="D251" s="630" t="s">
        <v>530</v>
      </c>
      <c r="E251" s="631">
        <f>IF(AND($A251=0,$A$1="DIF"),0, ROUND(ROUND(($R255*$S$2+($T255*$T$2))/A251,2)*$C$2,2))</f>
        <v>93.7</v>
      </c>
      <c r="F251" s="632">
        <f>ROUND($A251*$E251,2)</f>
        <v>93.7</v>
      </c>
      <c r="G251" s="88" t="s">
        <v>135</v>
      </c>
      <c r="H251" s="2"/>
      <c r="I251" s="633"/>
      <c r="J251" s="2"/>
      <c r="K251" s="2" t="s">
        <v>3</v>
      </c>
      <c r="L251" s="634" t="s">
        <v>136</v>
      </c>
      <c r="M251" s="634"/>
      <c r="N251" s="634"/>
      <c r="O251" s="634"/>
      <c r="P251" s="634"/>
      <c r="Q251" s="616"/>
      <c r="T251" s="635" t="str">
        <f>IF(AND($R255=0,$T255=0),"0.00","mu :" &amp; ROUND($F251/$C$2/($R255+$T255*$D$9),2))</f>
        <v>mu :1</v>
      </c>
      <c r="W251" s="636"/>
      <c r="AG251" s="637">
        <f>IF($E251=0,0,ROUND($R255*$S$2*$C$2/$A251,2))</f>
        <v>89.56</v>
      </c>
      <c r="AH251" s="637">
        <f>$AG251*$A251</f>
        <v>89.56</v>
      </c>
      <c r="AI251" s="638">
        <f>$E251-$AG251</f>
        <v>4.1400000000000006</v>
      </c>
      <c r="AJ251" s="638">
        <f>$A251*$AI251</f>
        <v>4.1400000000000006</v>
      </c>
      <c r="AK251" s="639">
        <f>ROUND(($AG251+$AI251)*$A251,2)</f>
        <v>93.7</v>
      </c>
      <c r="AM251" s="640">
        <f>ROUND(R255,2)</f>
        <v>89.56</v>
      </c>
      <c r="AN251" s="641">
        <f>ROUND(T255,2)</f>
        <v>0.14000000000000001</v>
      </c>
      <c r="AO251" s="642">
        <f>ROUND(AM251+AN251,2)*A251</f>
        <v>89.7</v>
      </c>
    </row>
    <row r="252" spans="1:41" s="618" customFormat="1" ht="13.2">
      <c r="A252" s="629"/>
      <c r="B252"/>
      <c r="C252" s="629"/>
      <c r="D252" s="630" t="s">
        <v>316</v>
      </c>
      <c r="F252" s="2"/>
      <c r="G252" s="3"/>
      <c r="H252" s="2"/>
      <c r="I252" s="633"/>
      <c r="J252" s="2"/>
      <c r="K252" s="2" t="s">
        <v>502</v>
      </c>
      <c r="L252" s="2"/>
      <c r="M252" s="2"/>
      <c r="N252" s="2"/>
      <c r="O252" s="2"/>
      <c r="P252" s="2"/>
      <c r="Q252" s="616"/>
      <c r="R252" s="643"/>
      <c r="S252" s="644"/>
      <c r="T252" s="2"/>
    </row>
    <row r="253" spans="1:41" s="783" customFormat="1" ht="13.2">
      <c r="A253" s="105">
        <v>1</v>
      </c>
      <c r="B253" s="783" t="s">
        <v>134</v>
      </c>
      <c r="D253" s="783" t="s">
        <v>805</v>
      </c>
      <c r="G253" s="784" t="s">
        <v>801</v>
      </c>
      <c r="H253" s="785">
        <v>705</v>
      </c>
      <c r="I253" s="783" t="s">
        <v>627</v>
      </c>
      <c r="O253" s="786">
        <v>3</v>
      </c>
      <c r="P253" s="787"/>
      <c r="Q253" s="788">
        <v>89.56</v>
      </c>
      <c r="R253" s="789">
        <f>$A253*Q253</f>
        <v>89.56</v>
      </c>
      <c r="S253" s="788">
        <f>0.845 *(0.17)</f>
        <v>0.14365</v>
      </c>
      <c r="T253" s="790">
        <f>$A253*S253*$T$1</f>
        <v>0.14365</v>
      </c>
    </row>
    <row r="254" spans="1:41" s="618" customFormat="1" ht="12">
      <c r="A254" s="645"/>
      <c r="B254" s="645"/>
      <c r="C254" s="645"/>
      <c r="D254" s="645"/>
      <c r="E254" s="645"/>
      <c r="F254" s="2"/>
      <c r="G254" s="645"/>
      <c r="H254" s="645"/>
      <c r="I254" s="646"/>
      <c r="J254" s="645"/>
      <c r="K254" s="645"/>
      <c r="L254" s="645"/>
      <c r="M254" s="645"/>
      <c r="N254" s="645"/>
      <c r="O254" s="645"/>
      <c r="P254" s="645"/>
      <c r="Q254" s="646"/>
      <c r="R254" s="647">
        <f t="shared" ref="R254" si="64">$A254*Q254</f>
        <v>0</v>
      </c>
      <c r="S254" s="646"/>
      <c r="T254" s="648">
        <f t="shared" ref="T254" si="65">$A254*S254*$T$1</f>
        <v>0</v>
      </c>
    </row>
    <row r="255" spans="1:41" s="618" customFormat="1" ht="12.6" thickBot="1">
      <c r="A255" s="649" t="s">
        <v>137</v>
      </c>
      <c r="B255" s="650">
        <f>(R254+T254)</f>
        <v>0</v>
      </c>
      <c r="C255" s="651"/>
      <c r="D255" s="651"/>
      <c r="E255" s="651"/>
      <c r="F255" s="652"/>
      <c r="G255" s="651" t="s">
        <v>503</v>
      </c>
      <c r="H255" s="651"/>
      <c r="I255" s="653"/>
      <c r="J255" s="651"/>
      <c r="K255" s="651" t="s">
        <v>3</v>
      </c>
      <c r="L255" s="654" t="s">
        <v>136</v>
      </c>
      <c r="M255" s="654"/>
      <c r="N255" s="654"/>
      <c r="O255" s="654"/>
      <c r="P255" s="654"/>
      <c r="Q255" s="655"/>
      <c r="R255" s="656">
        <f>SUM(R252:R254)</f>
        <v>89.56</v>
      </c>
      <c r="S255" s="651"/>
      <c r="T255" s="656">
        <f>SUM(T252:T254)</f>
        <v>0.14365</v>
      </c>
      <c r="U255" s="621"/>
      <c r="V255" s="621"/>
      <c r="W255" s="621"/>
      <c r="X255" s="621"/>
      <c r="Y255" s="621"/>
      <c r="Z255" s="621"/>
      <c r="AA255" s="621"/>
      <c r="AB255" s="621"/>
      <c r="AC255" s="621"/>
      <c r="AD255" s="621"/>
      <c r="AE255" s="621"/>
      <c r="AF255" s="621"/>
      <c r="AG255" s="621"/>
      <c r="AH255" s="621"/>
      <c r="AI255" s="621"/>
      <c r="AJ255" s="621"/>
      <c r="AK255" s="621"/>
      <c r="AL255" s="621"/>
      <c r="AM255" s="621"/>
      <c r="AN255" s="621"/>
      <c r="AO255" s="621"/>
    </row>
    <row r="256" spans="1:41" s="618" customFormat="1" ht="12" thickTop="1">
      <c r="A256" s="616"/>
      <c r="B256" s="622"/>
      <c r="C256" s="616"/>
      <c r="E256" s="37" t="s">
        <v>491</v>
      </c>
      <c r="F256" s="37" t="s">
        <v>492</v>
      </c>
      <c r="G256" s="616"/>
      <c r="H256" s="616"/>
      <c r="I256" s="616"/>
      <c r="J256" s="616"/>
      <c r="K256" s="616" t="s">
        <v>493</v>
      </c>
      <c r="L256" s="616"/>
      <c r="M256" s="616"/>
      <c r="N256" s="616"/>
      <c r="O256" s="617"/>
      <c r="P256" s="616"/>
      <c r="Q256" s="616"/>
      <c r="R256" s="616"/>
      <c r="S256" s="616"/>
      <c r="T256" s="622"/>
      <c r="AG256" s="623" t="s">
        <v>494</v>
      </c>
      <c r="AH256" s="623" t="s">
        <v>495</v>
      </c>
      <c r="AI256" s="623" t="s">
        <v>496</v>
      </c>
      <c r="AJ256" s="623" t="s">
        <v>497</v>
      </c>
      <c r="AK256" s="623" t="s">
        <v>498</v>
      </c>
      <c r="AM256" s="624" t="s">
        <v>499</v>
      </c>
      <c r="AN256" s="625" t="s">
        <v>500</v>
      </c>
      <c r="AO256" s="626" t="s">
        <v>501</v>
      </c>
    </row>
    <row r="257" spans="1:41" s="618" customFormat="1" ht="12" customHeight="1">
      <c r="A257" s="627">
        <v>3</v>
      </c>
      <c r="B257" s="628" t="s">
        <v>294</v>
      </c>
      <c r="C257" s="629"/>
      <c r="D257" s="630" t="s">
        <v>531</v>
      </c>
      <c r="E257" s="631">
        <f>IF(AND($A257=0,$A$1="DIF"),0, ROUND(ROUND(($R262*$S$2+($T262*$T$2))/A257,2)*$C$2,2))</f>
        <v>0</v>
      </c>
      <c r="F257" s="632">
        <f>ROUND($A257*$E257,2)</f>
        <v>0</v>
      </c>
      <c r="G257" s="88" t="s">
        <v>135</v>
      </c>
      <c r="H257" s="2"/>
      <c r="I257" s="633"/>
      <c r="J257" s="2"/>
      <c r="K257" s="2" t="s">
        <v>3</v>
      </c>
      <c r="L257" s="634" t="s">
        <v>136</v>
      </c>
      <c r="M257" s="634"/>
      <c r="N257" s="634"/>
      <c r="O257" s="634"/>
      <c r="P257" s="634"/>
      <c r="Q257" s="616" t="s">
        <v>810</v>
      </c>
      <c r="T257" s="635" t="str">
        <f>IF(AND($R262=0,$T262=0),"0.00","mu :" &amp; ROUND($F257/$C$2/($R262+$T262*$D$9),2))</f>
        <v>0.00</v>
      </c>
      <c r="W257" s="636"/>
      <c r="AG257" s="637">
        <f>IF($E257=0,0,ROUND($R262*$S$2*$C$2/$A257,2))</f>
        <v>0</v>
      </c>
      <c r="AH257" s="637">
        <f>$AG257*$A257</f>
        <v>0</v>
      </c>
      <c r="AI257" s="638">
        <f>$E257-$AG257</f>
        <v>0</v>
      </c>
      <c r="AJ257" s="638">
        <f>$A257*$AI257</f>
        <v>0</v>
      </c>
      <c r="AK257" s="639">
        <f>ROUND(($AG257+$AI257)*$A257,2)</f>
        <v>0</v>
      </c>
      <c r="AM257" s="640">
        <f>ROUND(R262,2)</f>
        <v>0</v>
      </c>
      <c r="AN257" s="641">
        <f>ROUND(T262,2)</f>
        <v>0</v>
      </c>
      <c r="AO257" s="642">
        <f>ROUND(AM257+AN257,2)*A257</f>
        <v>0</v>
      </c>
    </row>
    <row r="258" spans="1:41" s="618" customFormat="1" ht="13.2">
      <c r="A258" s="629"/>
      <c r="B258"/>
      <c r="C258" s="629"/>
      <c r="D258" s="630" t="s">
        <v>317</v>
      </c>
      <c r="F258" s="2"/>
      <c r="G258" s="3"/>
      <c r="H258" s="2"/>
      <c r="I258" s="633"/>
      <c r="J258" s="2"/>
      <c r="K258" s="2" t="s">
        <v>502</v>
      </c>
      <c r="L258" s="2"/>
      <c r="M258" s="2"/>
      <c r="N258" s="2"/>
      <c r="O258" s="2"/>
      <c r="P258" s="2"/>
      <c r="Q258" s="616"/>
      <c r="R258" s="643"/>
      <c r="S258" s="644"/>
      <c r="T258" s="2"/>
    </row>
    <row r="259" spans="1:41" s="783" customFormat="1" ht="13.2">
      <c r="A259" s="105"/>
      <c r="G259" s="784"/>
      <c r="H259" s="785"/>
      <c r="O259" s="786"/>
      <c r="P259" s="787"/>
      <c r="Q259" s="788"/>
      <c r="R259" s="789"/>
      <c r="S259" s="788"/>
      <c r="T259" s="790"/>
    </row>
    <row r="260" spans="1:41" s="783" customFormat="1" ht="13.2">
      <c r="A260" s="105"/>
      <c r="D260" s="616" t="s">
        <v>810</v>
      </c>
      <c r="G260" s="784"/>
      <c r="H260" s="785"/>
      <c r="O260" s="786"/>
      <c r="P260" s="787"/>
      <c r="Q260" s="788"/>
      <c r="R260" s="789"/>
      <c r="S260" s="788"/>
      <c r="T260" s="790"/>
    </row>
    <row r="261" spans="1:41" s="618" customFormat="1" ht="12">
      <c r="A261" s="645"/>
      <c r="B261" s="645"/>
      <c r="C261" s="645"/>
      <c r="D261" s="645"/>
      <c r="E261" s="645"/>
      <c r="F261" s="2"/>
      <c r="G261" s="645"/>
      <c r="H261" s="645"/>
      <c r="I261" s="646"/>
      <c r="J261" s="645"/>
      <c r="K261" s="645"/>
      <c r="L261" s="645"/>
      <c r="M261" s="645"/>
      <c r="N261" s="645"/>
      <c r="O261" s="645"/>
      <c r="P261" s="645"/>
      <c r="Q261" s="646"/>
      <c r="R261" s="647">
        <f t="shared" ref="R261" si="66">$A261*Q261</f>
        <v>0</v>
      </c>
      <c r="S261" s="646"/>
      <c r="T261" s="648">
        <f t="shared" ref="T261" si="67">$A261*S261*$T$1</f>
        <v>0</v>
      </c>
    </row>
    <row r="262" spans="1:41" s="618" customFormat="1" ht="12.6" thickBot="1">
      <c r="A262" s="649" t="s">
        <v>137</v>
      </c>
      <c r="B262" s="650">
        <f>(R261+T261)</f>
        <v>0</v>
      </c>
      <c r="C262" s="651"/>
      <c r="D262" s="651"/>
      <c r="E262" s="651"/>
      <c r="F262" s="652"/>
      <c r="G262" s="651" t="s">
        <v>503</v>
      </c>
      <c r="H262" s="651"/>
      <c r="I262" s="653"/>
      <c r="J262" s="651"/>
      <c r="K262" s="651" t="s">
        <v>3</v>
      </c>
      <c r="L262" s="654" t="s">
        <v>136</v>
      </c>
      <c r="M262" s="654"/>
      <c r="N262" s="654"/>
      <c r="O262" s="654"/>
      <c r="P262" s="654"/>
      <c r="Q262" s="655"/>
      <c r="R262" s="656">
        <f>SUM(R258:R261)</f>
        <v>0</v>
      </c>
      <c r="S262" s="651"/>
      <c r="T262" s="656">
        <f>SUM(T258:T261)</f>
        <v>0</v>
      </c>
      <c r="U262" s="621"/>
      <c r="V262" s="621"/>
      <c r="W262" s="621"/>
      <c r="X262" s="621"/>
      <c r="Y262" s="621"/>
      <c r="Z262" s="621"/>
      <c r="AA262" s="621"/>
      <c r="AB262" s="621"/>
      <c r="AC262" s="621"/>
      <c r="AD262" s="621"/>
      <c r="AE262" s="621"/>
      <c r="AF262" s="621"/>
      <c r="AG262" s="621"/>
      <c r="AH262" s="621"/>
      <c r="AI262" s="621"/>
      <c r="AJ262" s="621"/>
      <c r="AK262" s="621"/>
      <c r="AL262" s="621"/>
      <c r="AM262" s="621"/>
      <c r="AN262" s="621"/>
      <c r="AO262" s="621"/>
    </row>
    <row r="263" spans="1:41" s="618" customFormat="1" ht="12" thickTop="1">
      <c r="A263" s="616"/>
      <c r="B263" s="622"/>
      <c r="C263" s="616"/>
      <c r="E263" s="37" t="s">
        <v>491</v>
      </c>
      <c r="F263" s="37" t="s">
        <v>492</v>
      </c>
      <c r="G263" s="616"/>
      <c r="H263" s="616"/>
      <c r="I263" s="616"/>
      <c r="J263" s="616"/>
      <c r="K263" s="616" t="s">
        <v>493</v>
      </c>
      <c r="L263" s="616"/>
      <c r="M263" s="616"/>
      <c r="N263" s="616"/>
      <c r="O263" s="617"/>
      <c r="P263" s="616"/>
      <c r="Q263" s="616"/>
      <c r="R263" s="616"/>
      <c r="S263" s="616"/>
      <c r="T263" s="622"/>
      <c r="AG263" s="623" t="s">
        <v>494</v>
      </c>
      <c r="AH263" s="623" t="s">
        <v>495</v>
      </c>
      <c r="AI263" s="623" t="s">
        <v>496</v>
      </c>
      <c r="AJ263" s="623" t="s">
        <v>497</v>
      </c>
      <c r="AK263" s="623" t="s">
        <v>498</v>
      </c>
      <c r="AM263" s="624" t="s">
        <v>499</v>
      </c>
      <c r="AN263" s="625" t="s">
        <v>500</v>
      </c>
      <c r="AO263" s="626" t="s">
        <v>501</v>
      </c>
    </row>
    <row r="264" spans="1:41" s="618" customFormat="1" ht="12" customHeight="1">
      <c r="A264" s="627">
        <v>4</v>
      </c>
      <c r="B264" s="628" t="s">
        <v>294</v>
      </c>
      <c r="C264" s="629"/>
      <c r="D264" s="630" t="s">
        <v>532</v>
      </c>
      <c r="E264" s="631">
        <f>IF(AND($A264=0,$A$1="DIF"),0, ROUND(ROUND(($R268*$S$2+($T268*$T$2))/A264,2)*$C$2,2))</f>
        <v>8.8800000000000008</v>
      </c>
      <c r="F264" s="632">
        <f>ROUND($A264*$E264,2)</f>
        <v>35.520000000000003</v>
      </c>
      <c r="G264" s="88" t="s">
        <v>135</v>
      </c>
      <c r="H264" s="2"/>
      <c r="I264" s="633"/>
      <c r="J264" s="2"/>
      <c r="K264" s="2" t="s">
        <v>3</v>
      </c>
      <c r="L264" s="634" t="s">
        <v>136</v>
      </c>
      <c r="M264" s="634"/>
      <c r="N264" s="634"/>
      <c r="O264" s="634"/>
      <c r="P264" s="634"/>
      <c r="Q264" s="616"/>
      <c r="T264" s="635" t="str">
        <f>IF(AND($R268=0,$T268=0),"0.00","mu :" &amp; ROUND($F264/$C$2/($R268+$T268*$D$9),2))</f>
        <v>mu :1</v>
      </c>
      <c r="W264" s="636"/>
      <c r="AG264" s="637">
        <f>IF($E264=0,0,ROUND($R268*$S$2*$C$2/$A264,2))</f>
        <v>4.74</v>
      </c>
      <c r="AH264" s="637">
        <f>$AG264*$A264</f>
        <v>18.96</v>
      </c>
      <c r="AI264" s="638">
        <f>$E264-$AG264</f>
        <v>4.1400000000000006</v>
      </c>
      <c r="AJ264" s="638">
        <f>$A264*$AI264</f>
        <v>16.560000000000002</v>
      </c>
      <c r="AK264" s="639">
        <f>ROUND(($AG264+$AI264)*$A264,2)</f>
        <v>35.520000000000003</v>
      </c>
      <c r="AM264" s="640">
        <f>ROUND(R268,2)</f>
        <v>18.96</v>
      </c>
      <c r="AN264" s="641">
        <f>ROUND(T268,2)</f>
        <v>0.56999999999999995</v>
      </c>
      <c r="AO264" s="642">
        <f>ROUND(AM264+AN264,2)*A264</f>
        <v>78.12</v>
      </c>
    </row>
    <row r="265" spans="1:41" s="618" customFormat="1" ht="13.2">
      <c r="A265" s="629"/>
      <c r="B265"/>
      <c r="C265" s="629"/>
      <c r="D265" s="630" t="s">
        <v>318</v>
      </c>
      <c r="F265" s="2"/>
      <c r="G265" s="3"/>
      <c r="H265" s="2"/>
      <c r="I265" s="633"/>
      <c r="J265" s="2"/>
      <c r="K265" s="2" t="s">
        <v>502</v>
      </c>
      <c r="L265" s="2"/>
      <c r="M265" s="2"/>
      <c r="N265" s="2"/>
      <c r="O265" s="2"/>
      <c r="P265" s="2"/>
      <c r="Q265" s="616"/>
      <c r="R265" s="643"/>
      <c r="S265" s="644"/>
      <c r="T265" s="2"/>
    </row>
    <row r="266" spans="1:41" s="783" customFormat="1" ht="13.2">
      <c r="A266" s="105">
        <v>4</v>
      </c>
      <c r="B266" s="783" t="s">
        <v>134</v>
      </c>
      <c r="D266" s="783" t="s">
        <v>806</v>
      </c>
      <c r="G266" s="784" t="s">
        <v>801</v>
      </c>
      <c r="H266" s="785">
        <v>705</v>
      </c>
      <c r="I266" s="783" t="s">
        <v>627</v>
      </c>
      <c r="O266" s="786">
        <v>3</v>
      </c>
      <c r="P266" s="787"/>
      <c r="Q266" s="788">
        <v>4.74</v>
      </c>
      <c r="R266" s="789">
        <f>$A266*Q266</f>
        <v>18.96</v>
      </c>
      <c r="S266" s="788">
        <f>0.845 *(0.17)</f>
        <v>0.14365</v>
      </c>
      <c r="T266" s="790">
        <f>$A266*S266*$T$1</f>
        <v>0.5746</v>
      </c>
    </row>
    <row r="267" spans="1:41" s="618" customFormat="1" ht="12">
      <c r="A267" s="645"/>
      <c r="B267" s="645"/>
      <c r="C267" s="645"/>
      <c r="D267" s="645"/>
      <c r="E267" s="645"/>
      <c r="F267" s="2"/>
      <c r="G267" s="645"/>
      <c r="H267" s="645"/>
      <c r="I267" s="646"/>
      <c r="J267" s="645"/>
      <c r="K267" s="645"/>
      <c r="L267" s="645"/>
      <c r="M267" s="645"/>
      <c r="N267" s="645"/>
      <c r="O267" s="645"/>
      <c r="P267" s="645"/>
      <c r="Q267" s="646"/>
      <c r="R267" s="647">
        <f t="shared" ref="R267" si="68">$A267*Q267</f>
        <v>0</v>
      </c>
      <c r="S267" s="646"/>
      <c r="T267" s="648">
        <f t="shared" ref="T267" si="69">$A267*S267*$T$1</f>
        <v>0</v>
      </c>
    </row>
    <row r="268" spans="1:41" s="618" customFormat="1" ht="12.6" thickBot="1">
      <c r="A268" s="649" t="s">
        <v>137</v>
      </c>
      <c r="B268" s="650">
        <f>(R267+T267)</f>
        <v>0</v>
      </c>
      <c r="C268" s="651"/>
      <c r="D268" s="651"/>
      <c r="E268" s="651"/>
      <c r="F268" s="652"/>
      <c r="G268" s="651" t="s">
        <v>503</v>
      </c>
      <c r="H268" s="651"/>
      <c r="I268" s="653"/>
      <c r="J268" s="651"/>
      <c r="K268" s="651" t="s">
        <v>3</v>
      </c>
      <c r="L268" s="654" t="s">
        <v>136</v>
      </c>
      <c r="M268" s="654"/>
      <c r="N268" s="654"/>
      <c r="O268" s="654"/>
      <c r="P268" s="654"/>
      <c r="Q268" s="655"/>
      <c r="R268" s="656">
        <f>SUM(R265:R267)</f>
        <v>18.96</v>
      </c>
      <c r="S268" s="651"/>
      <c r="T268" s="656">
        <f>SUM(T265:T267)</f>
        <v>0.5746</v>
      </c>
      <c r="U268" s="621"/>
      <c r="V268" s="621"/>
      <c r="W268" s="621"/>
      <c r="X268" s="621"/>
      <c r="Y268" s="621"/>
      <c r="Z268" s="621"/>
      <c r="AA268" s="621"/>
      <c r="AB268" s="621"/>
      <c r="AC268" s="621"/>
      <c r="AD268" s="621"/>
      <c r="AE268" s="621"/>
      <c r="AF268" s="621"/>
      <c r="AG268" s="621"/>
      <c r="AH268" s="621"/>
      <c r="AI268" s="621"/>
      <c r="AJ268" s="621"/>
      <c r="AK268" s="621"/>
      <c r="AL268" s="621"/>
      <c r="AM268" s="621"/>
      <c r="AN268" s="621"/>
      <c r="AO268" s="621"/>
    </row>
    <row r="269" spans="1:41" s="618" customFormat="1" ht="12" thickTop="1">
      <c r="A269" s="616"/>
      <c r="B269" s="622"/>
      <c r="C269" s="616"/>
      <c r="E269" s="37" t="s">
        <v>491</v>
      </c>
      <c r="F269" s="37" t="s">
        <v>492</v>
      </c>
      <c r="G269" s="616"/>
      <c r="H269" s="616"/>
      <c r="I269" s="616"/>
      <c r="J269" s="616"/>
      <c r="K269" s="616" t="s">
        <v>493</v>
      </c>
      <c r="L269" s="616"/>
      <c r="M269" s="616"/>
      <c r="N269" s="616"/>
      <c r="O269" s="617"/>
      <c r="P269" s="616"/>
      <c r="Q269" s="616"/>
      <c r="R269" s="616"/>
      <c r="S269" s="616"/>
      <c r="T269" s="622"/>
      <c r="AG269" s="623" t="s">
        <v>494</v>
      </c>
      <c r="AH269" s="623" t="s">
        <v>495</v>
      </c>
      <c r="AI269" s="623" t="s">
        <v>496</v>
      </c>
      <c r="AJ269" s="623" t="s">
        <v>497</v>
      </c>
      <c r="AK269" s="623" t="s">
        <v>498</v>
      </c>
      <c r="AM269" s="624" t="s">
        <v>499</v>
      </c>
      <c r="AN269" s="625" t="s">
        <v>500</v>
      </c>
      <c r="AO269" s="626" t="s">
        <v>501</v>
      </c>
    </row>
    <row r="270" spans="1:41" s="618" customFormat="1" ht="12" customHeight="1">
      <c r="A270" s="627">
        <v>3</v>
      </c>
      <c r="B270" s="628" t="s">
        <v>294</v>
      </c>
      <c r="C270" s="629"/>
      <c r="D270" s="630" t="s">
        <v>533</v>
      </c>
      <c r="E270" s="631">
        <f>IF(AND($A270=0,$A$1="DIF"),0, ROUND(ROUND(($R274*$S$2+($T274*$T$2))/A270,2)*$C$2,2))</f>
        <v>11.58</v>
      </c>
      <c r="F270" s="632">
        <f>ROUND($A270*$E270,2)</f>
        <v>34.74</v>
      </c>
      <c r="G270" s="88" t="s">
        <v>135</v>
      </c>
      <c r="H270" s="2"/>
      <c r="I270" s="633"/>
      <c r="J270" s="2"/>
      <c r="K270" s="2" t="s">
        <v>3</v>
      </c>
      <c r="L270" s="634" t="s">
        <v>136</v>
      </c>
      <c r="M270" s="634"/>
      <c r="N270" s="634"/>
      <c r="O270" s="634"/>
      <c r="P270" s="634"/>
      <c r="Q270" s="616"/>
      <c r="T270" s="635" t="str">
        <f>IF(AND($R274=0,$T274=0),"0.00","mu :" &amp; ROUND($F270/$C$2/($R274+$T274*$D$9),2))</f>
        <v>mu :1</v>
      </c>
      <c r="W270" s="636"/>
      <c r="AG270" s="637">
        <f>IF($E270=0,0,ROUND($R274*$S$2*$C$2/$A270,2))</f>
        <v>7.44</v>
      </c>
      <c r="AH270" s="637">
        <f>$AG270*$A270</f>
        <v>22.32</v>
      </c>
      <c r="AI270" s="638">
        <f>$E270-$AG270</f>
        <v>4.1399999999999997</v>
      </c>
      <c r="AJ270" s="638">
        <f>$A270*$AI270</f>
        <v>12.419999999999998</v>
      </c>
      <c r="AK270" s="639">
        <f>ROUND(($AG270+$AI270)*$A270,2)</f>
        <v>34.74</v>
      </c>
      <c r="AM270" s="640">
        <f>ROUND(R274,2)</f>
        <v>22.32</v>
      </c>
      <c r="AN270" s="641">
        <f>ROUND(T274,2)</f>
        <v>0.43</v>
      </c>
      <c r="AO270" s="642">
        <f>ROUND(AM270+AN270,2)*A270</f>
        <v>68.25</v>
      </c>
    </row>
    <row r="271" spans="1:41" s="618" customFormat="1" ht="13.2">
      <c r="A271" s="629"/>
      <c r="B271"/>
      <c r="C271" s="629"/>
      <c r="D271" s="630" t="s">
        <v>319</v>
      </c>
      <c r="F271" s="2"/>
      <c r="G271" s="3"/>
      <c r="H271" s="2"/>
      <c r="I271" s="633"/>
      <c r="J271" s="2"/>
      <c r="K271" s="2" t="s">
        <v>502</v>
      </c>
      <c r="L271" s="2"/>
      <c r="M271" s="2"/>
      <c r="N271" s="2"/>
      <c r="O271" s="2"/>
      <c r="P271" s="2"/>
      <c r="Q271" s="616"/>
      <c r="R271" s="643"/>
      <c r="S271" s="644"/>
      <c r="T271" s="2"/>
    </row>
    <row r="272" spans="1:41" s="783" customFormat="1" ht="13.2">
      <c r="A272" s="105">
        <v>3</v>
      </c>
      <c r="B272" s="783" t="s">
        <v>134</v>
      </c>
      <c r="D272" s="783" t="s">
        <v>807</v>
      </c>
      <c r="G272" s="784" t="s">
        <v>801</v>
      </c>
      <c r="H272" s="785">
        <v>705</v>
      </c>
      <c r="I272" s="783" t="s">
        <v>627</v>
      </c>
      <c r="O272" s="786">
        <v>3</v>
      </c>
      <c r="P272" s="787"/>
      <c r="Q272" s="788">
        <v>7.44</v>
      </c>
      <c r="R272" s="789">
        <f>$A272*Q272</f>
        <v>22.32</v>
      </c>
      <c r="S272" s="788">
        <f>0.845 *(0.17)</f>
        <v>0.14365</v>
      </c>
      <c r="T272" s="790">
        <f>$A272*S272*$T$1</f>
        <v>0.43095</v>
      </c>
    </row>
    <row r="273" spans="1:41" s="618" customFormat="1" ht="12">
      <c r="A273" s="645"/>
      <c r="B273" s="645"/>
      <c r="C273" s="645"/>
      <c r="D273" s="645"/>
      <c r="E273" s="645"/>
      <c r="F273" s="2"/>
      <c r="G273" s="645"/>
      <c r="H273" s="645"/>
      <c r="I273" s="646"/>
      <c r="J273" s="645"/>
      <c r="K273" s="645"/>
      <c r="L273" s="645"/>
      <c r="M273" s="645"/>
      <c r="N273" s="645"/>
      <c r="O273" s="645"/>
      <c r="P273" s="645"/>
      <c r="Q273" s="646"/>
      <c r="R273" s="647">
        <f t="shared" ref="R273" si="70">$A273*Q273</f>
        <v>0</v>
      </c>
      <c r="S273" s="646"/>
      <c r="T273" s="648">
        <f t="shared" ref="T273" si="71">$A273*S273*$T$1</f>
        <v>0</v>
      </c>
    </row>
    <row r="274" spans="1:41" s="618" customFormat="1" ht="12.6" thickBot="1">
      <c r="A274" s="649" t="s">
        <v>137</v>
      </c>
      <c r="B274" s="650">
        <f>(R273+T273)</f>
        <v>0</v>
      </c>
      <c r="C274" s="651"/>
      <c r="D274" s="651"/>
      <c r="E274" s="651"/>
      <c r="F274" s="652"/>
      <c r="G274" s="651" t="s">
        <v>503</v>
      </c>
      <c r="H274" s="651"/>
      <c r="I274" s="653"/>
      <c r="J274" s="651"/>
      <c r="K274" s="651" t="s">
        <v>3</v>
      </c>
      <c r="L274" s="654" t="s">
        <v>136</v>
      </c>
      <c r="M274" s="654"/>
      <c r="N274" s="654"/>
      <c r="O274" s="654"/>
      <c r="P274" s="654"/>
      <c r="Q274" s="655"/>
      <c r="R274" s="656">
        <f>SUM(R271:R273)</f>
        <v>22.32</v>
      </c>
      <c r="S274" s="651"/>
      <c r="T274" s="656">
        <f>SUM(T271:T273)</f>
        <v>0.43095</v>
      </c>
      <c r="U274" s="621"/>
      <c r="V274" s="621"/>
      <c r="W274" s="621"/>
      <c r="X274" s="621"/>
      <c r="Y274" s="621"/>
      <c r="Z274" s="621"/>
      <c r="AA274" s="621"/>
      <c r="AB274" s="621"/>
      <c r="AC274" s="621"/>
      <c r="AD274" s="621"/>
      <c r="AE274" s="621"/>
      <c r="AF274" s="621"/>
      <c r="AG274" s="621"/>
      <c r="AH274" s="621"/>
      <c r="AI274" s="621"/>
      <c r="AJ274" s="621"/>
      <c r="AK274" s="621"/>
      <c r="AL274" s="621"/>
      <c r="AM274" s="621"/>
      <c r="AN274" s="621"/>
      <c r="AO274" s="621"/>
    </row>
    <row r="275" spans="1:41" s="618" customFormat="1" ht="12" thickTop="1">
      <c r="A275" s="616"/>
      <c r="B275" s="622"/>
      <c r="C275" s="616"/>
      <c r="E275" s="37" t="s">
        <v>491</v>
      </c>
      <c r="F275" s="37" t="s">
        <v>492</v>
      </c>
      <c r="G275" s="616"/>
      <c r="H275" s="616"/>
      <c r="I275" s="616"/>
      <c r="J275" s="616"/>
      <c r="K275" s="616" t="s">
        <v>493</v>
      </c>
      <c r="L275" s="616"/>
      <c r="M275" s="616"/>
      <c r="N275" s="616"/>
      <c r="O275" s="617"/>
      <c r="P275" s="616"/>
      <c r="Q275" s="616"/>
      <c r="R275" s="616"/>
      <c r="S275" s="616"/>
      <c r="T275" s="622"/>
      <c r="AG275" s="623" t="s">
        <v>494</v>
      </c>
      <c r="AH275" s="623" t="s">
        <v>495</v>
      </c>
      <c r="AI275" s="623" t="s">
        <v>496</v>
      </c>
      <c r="AJ275" s="623" t="s">
        <v>497</v>
      </c>
      <c r="AK275" s="623" t="s">
        <v>498</v>
      </c>
      <c r="AM275" s="624" t="s">
        <v>499</v>
      </c>
      <c r="AN275" s="625" t="s">
        <v>500</v>
      </c>
      <c r="AO275" s="626" t="s">
        <v>501</v>
      </c>
    </row>
    <row r="276" spans="1:41" s="618" customFormat="1" ht="12" customHeight="1">
      <c r="A276" s="627">
        <v>1</v>
      </c>
      <c r="B276" s="628" t="s">
        <v>294</v>
      </c>
      <c r="C276" s="629"/>
      <c r="D276" s="630" t="s">
        <v>596</v>
      </c>
      <c r="E276" s="631">
        <f>IF(AND($A276=0,$A$1="DIF"),0, ROUND(ROUND(($R280*$S$2+($T280*$T$2))/A276,2)*$C$2,2))</f>
        <v>16.22</v>
      </c>
      <c r="F276" s="632">
        <f>ROUND($A276*$E276,2)</f>
        <v>16.22</v>
      </c>
      <c r="G276" s="88" t="s">
        <v>135</v>
      </c>
      <c r="H276" s="2"/>
      <c r="I276" s="633"/>
      <c r="J276" s="2"/>
      <c r="K276" s="2" t="s">
        <v>3</v>
      </c>
      <c r="L276" s="634" t="s">
        <v>136</v>
      </c>
      <c r="M276" s="634"/>
      <c r="N276" s="634"/>
      <c r="O276" s="634"/>
      <c r="P276" s="634"/>
      <c r="Q276" s="616"/>
      <c r="T276" s="635" t="str">
        <f>IF(AND($R280=0,$T280=0),"0.00","mu :" &amp; ROUND($F276/$C$2/($R280+$T280*$D$9),2))</f>
        <v>mu :1</v>
      </c>
      <c r="W276" s="636"/>
      <c r="AG276" s="637">
        <f>IF($E276=0,0,ROUND($R280*$S$2*$C$2/$A276,2))</f>
        <v>12.08</v>
      </c>
      <c r="AH276" s="637">
        <f>$AG276*$A276</f>
        <v>12.08</v>
      </c>
      <c r="AI276" s="638">
        <f>$E276-$AG276</f>
        <v>4.1399999999999988</v>
      </c>
      <c r="AJ276" s="638">
        <f>$A276*$AI276</f>
        <v>4.1399999999999988</v>
      </c>
      <c r="AK276" s="639">
        <f>ROUND(($AG276+$AI276)*$A276,2)</f>
        <v>16.22</v>
      </c>
      <c r="AM276" s="640">
        <f>ROUND(R280,2)</f>
        <v>12.08</v>
      </c>
      <c r="AN276" s="641">
        <f>ROUND(T280,2)</f>
        <v>0.14000000000000001</v>
      </c>
      <c r="AO276" s="642">
        <f>ROUND(AM276+AN276,2)*A276</f>
        <v>12.22</v>
      </c>
    </row>
    <row r="277" spans="1:41" s="618" customFormat="1" ht="13.2">
      <c r="A277" s="629"/>
      <c r="B277"/>
      <c r="C277" s="629"/>
      <c r="D277" s="630" t="s">
        <v>320</v>
      </c>
      <c r="F277" s="2"/>
      <c r="G277" s="3"/>
      <c r="H277" s="2"/>
      <c r="I277" s="633"/>
      <c r="J277" s="2"/>
      <c r="K277" s="2" t="s">
        <v>502</v>
      </c>
      <c r="L277" s="2"/>
      <c r="M277" s="2"/>
      <c r="N277" s="2"/>
      <c r="O277" s="2"/>
      <c r="P277" s="2"/>
      <c r="Q277" s="616"/>
      <c r="R277" s="643"/>
      <c r="S277" s="644"/>
      <c r="T277" s="2"/>
    </row>
    <row r="278" spans="1:41" s="783" customFormat="1" ht="13.2">
      <c r="A278" s="105">
        <v>1</v>
      </c>
      <c r="B278" s="783" t="s">
        <v>134</v>
      </c>
      <c r="D278" s="783" t="s">
        <v>808</v>
      </c>
      <c r="G278" s="784" t="s">
        <v>801</v>
      </c>
      <c r="H278" s="785">
        <v>705</v>
      </c>
      <c r="I278" s="783" t="s">
        <v>627</v>
      </c>
      <c r="O278" s="786">
        <v>3</v>
      </c>
      <c r="P278" s="787"/>
      <c r="Q278" s="788">
        <v>12.08</v>
      </c>
      <c r="R278" s="789">
        <f>$A278*Q278</f>
        <v>12.08</v>
      </c>
      <c r="S278" s="788">
        <f>0.845 *(0.17)</f>
        <v>0.14365</v>
      </c>
      <c r="T278" s="790">
        <f>$A278*S278*$T$1</f>
        <v>0.14365</v>
      </c>
    </row>
    <row r="279" spans="1:41" s="618" customFormat="1" ht="12">
      <c r="A279" s="645"/>
      <c r="B279" s="645"/>
      <c r="C279" s="645"/>
      <c r="D279" s="645"/>
      <c r="E279" s="645"/>
      <c r="F279" s="2"/>
      <c r="G279" s="645"/>
      <c r="H279" s="645"/>
      <c r="I279" s="646"/>
      <c r="J279" s="645"/>
      <c r="K279" s="645"/>
      <c r="L279" s="645"/>
      <c r="M279" s="645"/>
      <c r="N279" s="645"/>
      <c r="O279" s="645"/>
      <c r="P279" s="645"/>
      <c r="Q279" s="646"/>
      <c r="R279" s="647">
        <f t="shared" ref="R279" si="72">$A279*Q279</f>
        <v>0</v>
      </c>
      <c r="S279" s="646"/>
      <c r="T279" s="648">
        <f t="shared" ref="T279" si="73">$A279*S279*$T$1</f>
        <v>0</v>
      </c>
    </row>
    <row r="280" spans="1:41" s="618" customFormat="1" ht="12.6" thickBot="1">
      <c r="A280" s="649" t="s">
        <v>137</v>
      </c>
      <c r="B280" s="650">
        <f>(R279+T279)</f>
        <v>0</v>
      </c>
      <c r="C280" s="651"/>
      <c r="D280" s="651"/>
      <c r="E280" s="651"/>
      <c r="F280" s="652"/>
      <c r="G280" s="651" t="s">
        <v>503</v>
      </c>
      <c r="H280" s="651"/>
      <c r="I280" s="653"/>
      <c r="J280" s="651"/>
      <c r="K280" s="651" t="s">
        <v>3</v>
      </c>
      <c r="L280" s="654" t="s">
        <v>136</v>
      </c>
      <c r="M280" s="654"/>
      <c r="N280" s="654"/>
      <c r="O280" s="654"/>
      <c r="P280" s="654"/>
      <c r="Q280" s="655"/>
      <c r="R280" s="656">
        <f>SUM(R277:R279)</f>
        <v>12.08</v>
      </c>
      <c r="S280" s="651"/>
      <c r="T280" s="656">
        <f>SUM(T277:T279)</f>
        <v>0.14365</v>
      </c>
      <c r="U280" s="621"/>
      <c r="V280" s="621"/>
      <c r="W280" s="621"/>
      <c r="X280" s="621"/>
      <c r="Y280" s="621"/>
      <c r="Z280" s="621"/>
      <c r="AA280" s="621"/>
      <c r="AB280" s="621"/>
      <c r="AC280" s="621"/>
      <c r="AD280" s="621"/>
      <c r="AE280" s="621"/>
      <c r="AF280" s="621"/>
      <c r="AG280" s="621"/>
      <c r="AH280" s="621"/>
      <c r="AI280" s="621"/>
      <c r="AJ280" s="621"/>
      <c r="AK280" s="621"/>
      <c r="AL280" s="621"/>
      <c r="AM280" s="621"/>
      <c r="AN280" s="621"/>
      <c r="AO280" s="621"/>
    </row>
    <row r="281" spans="1:41" s="618" customFormat="1" thickTop="1">
      <c r="A281" s="616"/>
      <c r="B281" s="616"/>
      <c r="C281" s="3"/>
      <c r="D281" s="3"/>
      <c r="E281" s="616"/>
      <c r="F281" s="616"/>
      <c r="G281" s="616"/>
      <c r="H281" s="616"/>
      <c r="I281" s="616"/>
      <c r="J281" s="616"/>
      <c r="K281" s="616" t="s">
        <v>489</v>
      </c>
      <c r="L281" s="616"/>
      <c r="M281" s="616"/>
      <c r="N281" s="616"/>
      <c r="O281" s="617"/>
      <c r="P281" s="616"/>
      <c r="Q281" s="616"/>
      <c r="R281" s="616"/>
      <c r="S281" s="616"/>
      <c r="T281" s="616"/>
    </row>
    <row r="282" spans="1:41" s="618" customFormat="1" ht="12">
      <c r="A282" s="616"/>
      <c r="B282" s="616"/>
      <c r="C282" s="616" t="s">
        <v>490</v>
      </c>
      <c r="D282" s="619"/>
      <c r="E282" s="616"/>
      <c r="F282" s="616"/>
      <c r="G282" s="616"/>
      <c r="H282" s="616"/>
      <c r="I282" s="616"/>
      <c r="J282" s="616"/>
      <c r="K282" s="616"/>
      <c r="L282" s="616"/>
      <c r="M282" s="616"/>
      <c r="N282" s="616"/>
      <c r="O282" s="617"/>
      <c r="P282" s="616"/>
      <c r="Q282" s="616"/>
      <c r="R282" s="616"/>
      <c r="S282" s="616"/>
      <c r="T282" s="616"/>
    </row>
    <row r="283" spans="1:41" s="618" customFormat="1" ht="12">
      <c r="A283" s="616"/>
      <c r="B283" s="616"/>
      <c r="C283" s="616"/>
      <c r="D283" s="619" t="s">
        <v>321</v>
      </c>
      <c r="E283" s="616"/>
      <c r="F283" s="616"/>
      <c r="G283" s="616"/>
      <c r="H283" s="616"/>
      <c r="I283" s="616"/>
      <c r="J283" s="616"/>
      <c r="K283" s="616"/>
      <c r="L283" s="616"/>
      <c r="M283" s="616"/>
      <c r="N283" s="616"/>
      <c r="O283" s="617"/>
      <c r="P283" s="616"/>
      <c r="Q283" s="616"/>
      <c r="R283" s="616"/>
      <c r="S283" s="620"/>
      <c r="T283" s="620"/>
    </row>
    <row r="284" spans="1:41" s="3" customFormat="1" thickBot="1">
      <c r="A284" s="621"/>
      <c r="O284" s="96"/>
    </row>
    <row r="285" spans="1:41" s="618" customFormat="1" ht="12" thickTop="1">
      <c r="A285" s="616"/>
      <c r="B285" s="622"/>
      <c r="C285" s="616"/>
      <c r="E285" s="37" t="s">
        <v>491</v>
      </c>
      <c r="F285" s="37" t="s">
        <v>492</v>
      </c>
      <c r="G285" s="616"/>
      <c r="H285" s="616"/>
      <c r="I285" s="616"/>
      <c r="J285" s="616"/>
      <c r="K285" s="616" t="s">
        <v>493</v>
      </c>
      <c r="L285" s="616"/>
      <c r="M285" s="616"/>
      <c r="N285" s="616"/>
      <c r="O285" s="617"/>
      <c r="P285" s="616"/>
      <c r="Q285" s="616"/>
      <c r="R285" s="616"/>
      <c r="S285" s="616"/>
      <c r="T285" s="622"/>
      <c r="AG285" s="623" t="s">
        <v>494</v>
      </c>
      <c r="AH285" s="623" t="s">
        <v>495</v>
      </c>
      <c r="AI285" s="623" t="s">
        <v>496</v>
      </c>
      <c r="AJ285" s="623" t="s">
        <v>497</v>
      </c>
      <c r="AK285" s="623" t="s">
        <v>498</v>
      </c>
      <c r="AM285" s="624" t="s">
        <v>499</v>
      </c>
      <c r="AN285" s="625" t="s">
        <v>500</v>
      </c>
      <c r="AO285" s="626" t="s">
        <v>501</v>
      </c>
    </row>
    <row r="286" spans="1:41" s="618" customFormat="1" ht="12" customHeight="1">
      <c r="A286" s="627">
        <v>8</v>
      </c>
      <c r="B286" s="628" t="s">
        <v>294</v>
      </c>
      <c r="C286" s="629"/>
      <c r="D286" s="630" t="s">
        <v>534</v>
      </c>
      <c r="E286" s="631">
        <f>IF(AND($A286=0,$A$1="DIF"),0, ROUND(ROUND(($R290*$S$2+($T290*$T$2))/A286,2)*$C$2,2))</f>
        <v>8.65</v>
      </c>
      <c r="F286" s="632">
        <f>ROUND($A286*$E286,2)</f>
        <v>69.2</v>
      </c>
      <c r="G286" s="88" t="s">
        <v>135</v>
      </c>
      <c r="H286" s="2"/>
      <c r="I286" s="633"/>
      <c r="J286" s="2"/>
      <c r="K286" s="2" t="s">
        <v>3</v>
      </c>
      <c r="L286" s="634" t="s">
        <v>136</v>
      </c>
      <c r="M286" s="634"/>
      <c r="N286" s="634"/>
      <c r="O286" s="634"/>
      <c r="P286" s="634"/>
      <c r="Q286" s="616"/>
      <c r="T286" s="635" t="str">
        <f>IF(AND($R290=0,$T290=0),"0.00","mu :" &amp; ROUND($F286/$C$2/($R290+$T290*$D$9),2))</f>
        <v>mu :1</v>
      </c>
      <c r="W286" s="636"/>
      <c r="AG286" s="637">
        <f>IF($E286=0,0,ROUND($R290*$S$2*$C$2/$A286,2))</f>
        <v>0</v>
      </c>
      <c r="AH286" s="637">
        <f>$AG286*$A286</f>
        <v>0</v>
      </c>
      <c r="AI286" s="638">
        <f>$E286-$AG286</f>
        <v>8.65</v>
      </c>
      <c r="AJ286" s="638">
        <f>$A286*$AI286</f>
        <v>69.2</v>
      </c>
      <c r="AK286" s="639">
        <f>ROUND(($AG286+$AI286)*$A286,2)</f>
        <v>69.2</v>
      </c>
      <c r="AM286" s="640">
        <f>ROUND(R290,2)</f>
        <v>0</v>
      </c>
      <c r="AN286" s="641">
        <f>ROUND(T290,2)</f>
        <v>2.4</v>
      </c>
      <c r="AO286" s="642">
        <f>ROUND(AM286+AN286,2)*A286</f>
        <v>19.2</v>
      </c>
    </row>
    <row r="287" spans="1:41" s="618" customFormat="1" ht="13.2">
      <c r="A287" s="629"/>
      <c r="B287"/>
      <c r="C287" s="629"/>
      <c r="D287" s="630" t="s">
        <v>322</v>
      </c>
      <c r="F287" s="2"/>
      <c r="G287" s="3"/>
      <c r="H287" s="2"/>
      <c r="I287" s="633"/>
      <c r="J287" s="2"/>
      <c r="K287" s="2" t="s">
        <v>502</v>
      </c>
      <c r="L287" s="2"/>
      <c r="M287" s="2"/>
      <c r="N287" s="2"/>
      <c r="O287" s="2"/>
      <c r="P287" s="2"/>
      <c r="Q287" s="616"/>
      <c r="R287" s="643"/>
      <c r="S287" s="644"/>
      <c r="T287" s="2"/>
    </row>
    <row r="288" spans="1:41" s="783" customFormat="1" ht="13.2">
      <c r="A288" s="105">
        <v>8</v>
      </c>
      <c r="B288" s="783" t="s">
        <v>134</v>
      </c>
      <c r="D288" s="865" t="s">
        <v>710</v>
      </c>
      <c r="G288" s="784" t="s">
        <v>707</v>
      </c>
      <c r="H288" s="785">
        <v>835</v>
      </c>
      <c r="I288" s="783" t="s">
        <v>708</v>
      </c>
      <c r="J288" s="783" t="s">
        <v>709</v>
      </c>
      <c r="M288" s="783">
        <v>0</v>
      </c>
      <c r="N288" s="783">
        <v>0</v>
      </c>
      <c r="O288" s="786">
        <v>3</v>
      </c>
      <c r="P288" s="787">
        <v>40694</v>
      </c>
      <c r="Q288" s="788">
        <v>0</v>
      </c>
      <c r="R288" s="789">
        <f>$A288*Q288</f>
        <v>0</v>
      </c>
      <c r="S288" s="788">
        <v>0.3</v>
      </c>
      <c r="T288" s="790">
        <f>$A288*S288*$T$1</f>
        <v>2.4</v>
      </c>
    </row>
    <row r="289" spans="1:41" s="618" customFormat="1" ht="12">
      <c r="A289" s="645"/>
      <c r="B289" s="645"/>
      <c r="C289" s="645"/>
      <c r="D289" s="645"/>
      <c r="E289" s="645"/>
      <c r="F289" s="2"/>
      <c r="G289" s="645"/>
      <c r="H289" s="645"/>
      <c r="I289" s="646"/>
      <c r="J289" s="645"/>
      <c r="K289" s="645"/>
      <c r="L289" s="645"/>
      <c r="M289" s="645"/>
      <c r="N289" s="645"/>
      <c r="O289" s="645"/>
      <c r="P289" s="645"/>
      <c r="Q289" s="646"/>
      <c r="R289" s="647">
        <f t="shared" ref="R289" si="74">$A289*Q289</f>
        <v>0</v>
      </c>
      <c r="S289" s="646"/>
      <c r="T289" s="648">
        <f t="shared" ref="T289" si="75">$A289*S289*$T$1</f>
        <v>0</v>
      </c>
    </row>
    <row r="290" spans="1:41" s="618" customFormat="1" ht="12.6" thickBot="1">
      <c r="A290" s="649" t="s">
        <v>137</v>
      </c>
      <c r="B290" s="650">
        <f>(R289+T289)</f>
        <v>0</v>
      </c>
      <c r="C290" s="651"/>
      <c r="D290" s="651"/>
      <c r="E290" s="651"/>
      <c r="F290" s="652"/>
      <c r="G290" s="651" t="s">
        <v>503</v>
      </c>
      <c r="H290" s="651"/>
      <c r="I290" s="653"/>
      <c r="J290" s="651"/>
      <c r="K290" s="651" t="s">
        <v>3</v>
      </c>
      <c r="L290" s="654" t="s">
        <v>136</v>
      </c>
      <c r="M290" s="654"/>
      <c r="N290" s="654"/>
      <c r="O290" s="654"/>
      <c r="P290" s="654"/>
      <c r="Q290" s="655"/>
      <c r="R290" s="656">
        <f>SUM(R287:R289)</f>
        <v>0</v>
      </c>
      <c r="S290" s="651"/>
      <c r="T290" s="656">
        <f>SUM(T287:T289)</f>
        <v>2.4</v>
      </c>
      <c r="U290" s="621"/>
      <c r="V290" s="621"/>
      <c r="W290" s="621"/>
      <c r="X290" s="621"/>
      <c r="Y290" s="621"/>
      <c r="Z290" s="621"/>
      <c r="AA290" s="621"/>
      <c r="AB290" s="621"/>
      <c r="AC290" s="621"/>
      <c r="AD290" s="621"/>
      <c r="AE290" s="621"/>
      <c r="AF290" s="621"/>
      <c r="AG290" s="621"/>
      <c r="AH290" s="621"/>
      <c r="AI290" s="621"/>
      <c r="AJ290" s="621"/>
      <c r="AK290" s="621"/>
      <c r="AL290" s="621"/>
      <c r="AM290" s="621"/>
      <c r="AN290" s="621"/>
      <c r="AO290" s="621"/>
    </row>
    <row r="291" spans="1:41" s="618" customFormat="1" ht="12" thickTop="1">
      <c r="A291" s="616"/>
      <c r="B291" s="622"/>
      <c r="C291" s="616"/>
      <c r="E291" s="37" t="s">
        <v>491</v>
      </c>
      <c r="F291" s="37" t="s">
        <v>492</v>
      </c>
      <c r="G291" s="616"/>
      <c r="H291" s="616"/>
      <c r="I291" s="616"/>
      <c r="J291" s="616"/>
      <c r="K291" s="616" t="s">
        <v>493</v>
      </c>
      <c r="L291" s="616"/>
      <c r="M291" s="616"/>
      <c r="N291" s="616"/>
      <c r="O291" s="617"/>
      <c r="P291" s="616"/>
      <c r="Q291" s="616"/>
      <c r="R291" s="616"/>
      <c r="S291" s="616"/>
      <c r="T291" s="622"/>
      <c r="AG291" s="623" t="s">
        <v>494</v>
      </c>
      <c r="AH291" s="623" t="s">
        <v>495</v>
      </c>
      <c r="AI291" s="623" t="s">
        <v>496</v>
      </c>
      <c r="AJ291" s="623" t="s">
        <v>497</v>
      </c>
      <c r="AK291" s="623" t="s">
        <v>498</v>
      </c>
      <c r="AM291" s="624" t="s">
        <v>499</v>
      </c>
      <c r="AN291" s="625" t="s">
        <v>500</v>
      </c>
      <c r="AO291" s="626" t="s">
        <v>501</v>
      </c>
    </row>
    <row r="292" spans="1:41" s="618" customFormat="1" ht="12" customHeight="1">
      <c r="A292" s="627">
        <v>40</v>
      </c>
      <c r="B292" s="628" t="s">
        <v>284</v>
      </c>
      <c r="C292" s="629"/>
      <c r="D292" s="630" t="s">
        <v>535</v>
      </c>
      <c r="E292" s="631">
        <f>IF(AND($A292=0,$A$1="DIF"),0, ROUND(ROUND(($R296*$S$2+($T296*$T$2))/A292,2)*$C$2,2))</f>
        <v>5.77</v>
      </c>
      <c r="F292" s="632">
        <f>ROUND($A292*$E292,2)</f>
        <v>230.8</v>
      </c>
      <c r="G292" s="88" t="s">
        <v>135</v>
      </c>
      <c r="H292" s="2"/>
      <c r="I292" s="633"/>
      <c r="J292" s="2"/>
      <c r="K292" s="2" t="s">
        <v>3</v>
      </c>
      <c r="L292" s="634" t="s">
        <v>136</v>
      </c>
      <c r="M292" s="634"/>
      <c r="N292" s="634"/>
      <c r="O292" s="634"/>
      <c r="P292" s="634"/>
      <c r="Q292" s="616"/>
      <c r="T292" s="635" t="str">
        <f>IF(AND($R296=0,$T296=0),"0.00","mu :" &amp; ROUND($F292/$C$2/($R296+$T296*$D$9),2))</f>
        <v>mu :1</v>
      </c>
      <c r="W292" s="636"/>
      <c r="AG292" s="637">
        <f>IF($E292=0,0,ROUND($R296*$S$2*$C$2/$A292,2))</f>
        <v>0</v>
      </c>
      <c r="AH292" s="637">
        <f>$AG292*$A292</f>
        <v>0</v>
      </c>
      <c r="AI292" s="638">
        <f>$E292-$AG292</f>
        <v>5.77</v>
      </c>
      <c r="AJ292" s="638">
        <f>$A292*$AI292</f>
        <v>230.79999999999998</v>
      </c>
      <c r="AK292" s="639">
        <f>ROUND(($AG292+$AI292)*$A292,2)</f>
        <v>230.8</v>
      </c>
      <c r="AM292" s="640">
        <f>ROUND(R296,2)</f>
        <v>0</v>
      </c>
      <c r="AN292" s="641">
        <f>ROUND(T296,2)</f>
        <v>8</v>
      </c>
      <c r="AO292" s="642">
        <f>ROUND(AM292+AN292,2)*A292</f>
        <v>320</v>
      </c>
    </row>
    <row r="293" spans="1:41" s="618" customFormat="1" ht="13.2">
      <c r="A293" s="629"/>
      <c r="B293"/>
      <c r="C293" s="629"/>
      <c r="D293" s="630" t="s">
        <v>323</v>
      </c>
      <c r="F293" s="2"/>
      <c r="G293" s="3"/>
      <c r="H293" s="2"/>
      <c r="I293" s="633"/>
      <c r="J293" s="2"/>
      <c r="K293" s="2" t="s">
        <v>502</v>
      </c>
      <c r="L293" s="2"/>
      <c r="M293" s="2"/>
      <c r="N293" s="2"/>
      <c r="O293" s="2"/>
      <c r="P293" s="2"/>
      <c r="Q293" s="616"/>
      <c r="R293" s="643"/>
      <c r="S293" s="644"/>
      <c r="T293" s="2"/>
    </row>
    <row r="294" spans="1:41" s="783" customFormat="1" ht="13.2">
      <c r="A294" s="105">
        <v>40</v>
      </c>
      <c r="B294" s="783" t="s">
        <v>284</v>
      </c>
      <c r="D294" s="865" t="s">
        <v>323</v>
      </c>
      <c r="G294" s="784" t="s">
        <v>707</v>
      </c>
      <c r="H294" s="785">
        <v>835</v>
      </c>
      <c r="I294" s="783" t="s">
        <v>708</v>
      </c>
      <c r="J294" s="783" t="s">
        <v>709</v>
      </c>
      <c r="M294" s="783">
        <v>0</v>
      </c>
      <c r="N294" s="783">
        <v>0</v>
      </c>
      <c r="O294" s="786">
        <v>3</v>
      </c>
      <c r="P294" s="787">
        <v>40694</v>
      </c>
      <c r="Q294" s="788">
        <v>0</v>
      </c>
      <c r="R294" s="789">
        <f>$A294*Q294</f>
        <v>0</v>
      </c>
      <c r="S294" s="788">
        <v>0.2</v>
      </c>
      <c r="T294" s="790">
        <f>$A294*S294*$T$1</f>
        <v>8</v>
      </c>
    </row>
    <row r="295" spans="1:41" s="618" customFormat="1" ht="12">
      <c r="A295" s="645"/>
      <c r="B295" s="645"/>
      <c r="C295" s="645"/>
      <c r="D295" s="645"/>
      <c r="E295" s="645"/>
      <c r="F295" s="2"/>
      <c r="G295" s="645"/>
      <c r="H295" s="645"/>
      <c r="I295" s="646"/>
      <c r="J295" s="645"/>
      <c r="K295" s="645"/>
      <c r="L295" s="645"/>
      <c r="M295" s="645"/>
      <c r="N295" s="645"/>
      <c r="O295" s="645"/>
      <c r="P295" s="645"/>
      <c r="Q295" s="646"/>
      <c r="R295" s="647">
        <f t="shared" ref="R295" si="76">$A295*Q295</f>
        <v>0</v>
      </c>
      <c r="S295" s="646"/>
      <c r="T295" s="648">
        <f t="shared" ref="T295" si="77">$A295*S295*$T$1</f>
        <v>0</v>
      </c>
    </row>
    <row r="296" spans="1:41" s="618" customFormat="1" ht="12.6" thickBot="1">
      <c r="A296" s="649" t="s">
        <v>137</v>
      </c>
      <c r="B296" s="650">
        <f>(R295+T295)</f>
        <v>0</v>
      </c>
      <c r="C296" s="651"/>
      <c r="D296" s="651"/>
      <c r="E296" s="651"/>
      <c r="F296" s="652"/>
      <c r="G296" s="651" t="s">
        <v>503</v>
      </c>
      <c r="H296" s="651"/>
      <c r="I296" s="653"/>
      <c r="J296" s="651"/>
      <c r="K296" s="651" t="s">
        <v>3</v>
      </c>
      <c r="L296" s="654" t="s">
        <v>136</v>
      </c>
      <c r="M296" s="654"/>
      <c r="N296" s="654"/>
      <c r="O296" s="654"/>
      <c r="P296" s="654"/>
      <c r="Q296" s="655"/>
      <c r="R296" s="656">
        <f>SUM(R293:R295)</f>
        <v>0</v>
      </c>
      <c r="S296" s="651"/>
      <c r="T296" s="656">
        <f>SUM(T293:T295)</f>
        <v>8</v>
      </c>
      <c r="U296" s="621"/>
      <c r="V296" s="621"/>
      <c r="W296" s="621"/>
      <c r="X296" s="621"/>
      <c r="Y296" s="621"/>
      <c r="Z296" s="621"/>
      <c r="AA296" s="621"/>
      <c r="AB296" s="621"/>
      <c r="AC296" s="621"/>
      <c r="AD296" s="621"/>
      <c r="AE296" s="621"/>
      <c r="AF296" s="621"/>
      <c r="AG296" s="621"/>
      <c r="AH296" s="621"/>
      <c r="AI296" s="621"/>
      <c r="AJ296" s="621"/>
      <c r="AK296" s="621"/>
      <c r="AL296" s="621"/>
      <c r="AM296" s="621"/>
      <c r="AN296" s="621"/>
      <c r="AO296" s="621"/>
    </row>
    <row r="297" spans="1:41" s="618" customFormat="1" ht="12" thickTop="1">
      <c r="A297" s="616"/>
      <c r="B297" s="622"/>
      <c r="C297" s="616"/>
      <c r="E297" s="37" t="s">
        <v>491</v>
      </c>
      <c r="F297" s="37" t="s">
        <v>492</v>
      </c>
      <c r="G297" s="616"/>
      <c r="H297" s="616"/>
      <c r="I297" s="616"/>
      <c r="J297" s="616"/>
      <c r="K297" s="616" t="s">
        <v>493</v>
      </c>
      <c r="L297" s="616"/>
      <c r="M297" s="616"/>
      <c r="N297" s="616"/>
      <c r="O297" s="617"/>
      <c r="P297" s="616"/>
      <c r="Q297" s="616"/>
      <c r="R297" s="616"/>
      <c r="S297" s="616"/>
      <c r="T297" s="622"/>
      <c r="AG297" s="623" t="s">
        <v>494</v>
      </c>
      <c r="AH297" s="623" t="s">
        <v>495</v>
      </c>
      <c r="AI297" s="623" t="s">
        <v>496</v>
      </c>
      <c r="AJ297" s="623" t="s">
        <v>497</v>
      </c>
      <c r="AK297" s="623" t="s">
        <v>498</v>
      </c>
      <c r="AM297" s="624" t="s">
        <v>499</v>
      </c>
      <c r="AN297" s="625" t="s">
        <v>500</v>
      </c>
      <c r="AO297" s="626" t="s">
        <v>501</v>
      </c>
    </row>
    <row r="298" spans="1:41" s="618" customFormat="1" ht="12" customHeight="1">
      <c r="A298" s="627">
        <v>24</v>
      </c>
      <c r="B298" s="628" t="s">
        <v>294</v>
      </c>
      <c r="C298" s="629"/>
      <c r="D298" s="630" t="s">
        <v>536</v>
      </c>
      <c r="E298" s="631">
        <f>IF(AND($A298=0,$A$1="DIF"),0, ROUND(ROUND(($R302*$S$2+($T302*$T$2))/A298,2)*$C$2,2))</f>
        <v>8.65</v>
      </c>
      <c r="F298" s="632">
        <f>ROUND($A298*$E298,2)</f>
        <v>207.6</v>
      </c>
      <c r="G298" s="88" t="s">
        <v>135</v>
      </c>
      <c r="H298" s="2"/>
      <c r="I298" s="633"/>
      <c r="J298" s="2"/>
      <c r="K298" s="2" t="s">
        <v>3</v>
      </c>
      <c r="L298" s="634" t="s">
        <v>136</v>
      </c>
      <c r="M298" s="634"/>
      <c r="N298" s="634"/>
      <c r="O298" s="634"/>
      <c r="P298" s="634"/>
      <c r="Q298" s="616"/>
      <c r="T298" s="635" t="str">
        <f>IF(AND($R302=0,$T302=0),"0.00","mu :" &amp; ROUND($F298/$C$2/($R302+$T302*$D$9),2))</f>
        <v>mu :1</v>
      </c>
      <c r="W298" s="636"/>
      <c r="AG298" s="637">
        <f>IF($E298=0,0,ROUND($R302*$S$2*$C$2/$A298,2))</f>
        <v>0</v>
      </c>
      <c r="AH298" s="637">
        <f>$AG298*$A298</f>
        <v>0</v>
      </c>
      <c r="AI298" s="638">
        <f>$E298-$AG298</f>
        <v>8.65</v>
      </c>
      <c r="AJ298" s="638">
        <f>$A298*$AI298</f>
        <v>207.60000000000002</v>
      </c>
      <c r="AK298" s="639">
        <f>ROUND(($AG298+$AI298)*$A298,2)</f>
        <v>207.6</v>
      </c>
      <c r="AM298" s="640">
        <f>ROUND(R302,2)</f>
        <v>0</v>
      </c>
      <c r="AN298" s="641">
        <f>ROUND(T302,2)</f>
        <v>7.2</v>
      </c>
      <c r="AO298" s="642">
        <f>ROUND(AM298+AN298,2)*A298</f>
        <v>172.8</v>
      </c>
    </row>
    <row r="299" spans="1:41" s="618" customFormat="1" ht="13.2">
      <c r="A299" s="629"/>
      <c r="B299"/>
      <c r="C299" s="629"/>
      <c r="D299" s="630" t="s">
        <v>324</v>
      </c>
      <c r="F299" s="2"/>
      <c r="G299" s="3"/>
      <c r="H299" s="2"/>
      <c r="I299" s="633"/>
      <c r="J299" s="2"/>
      <c r="K299" s="2" t="s">
        <v>502</v>
      </c>
      <c r="L299" s="2"/>
      <c r="M299" s="2"/>
      <c r="N299" s="2"/>
      <c r="O299" s="2"/>
      <c r="P299" s="2"/>
      <c r="Q299" s="616"/>
      <c r="R299" s="643"/>
      <c r="S299" s="644"/>
      <c r="T299" s="2"/>
    </row>
    <row r="300" spans="1:41" s="783" customFormat="1" ht="13.2">
      <c r="A300" s="105">
        <v>24</v>
      </c>
      <c r="B300" s="783" t="s">
        <v>134</v>
      </c>
      <c r="D300" s="865" t="s">
        <v>324</v>
      </c>
      <c r="G300" s="784" t="s">
        <v>707</v>
      </c>
      <c r="H300" s="785">
        <v>835</v>
      </c>
      <c r="I300" s="783" t="s">
        <v>708</v>
      </c>
      <c r="J300" s="783" t="s">
        <v>709</v>
      </c>
      <c r="M300" s="783">
        <v>0</v>
      </c>
      <c r="N300" s="783">
        <v>0</v>
      </c>
      <c r="O300" s="786">
        <v>3</v>
      </c>
      <c r="P300" s="787">
        <v>40694</v>
      </c>
      <c r="Q300" s="788">
        <v>0</v>
      </c>
      <c r="R300" s="789">
        <f>$A300*Q300</f>
        <v>0</v>
      </c>
      <c r="S300" s="788">
        <v>0.3</v>
      </c>
      <c r="T300" s="790">
        <f>$A300*S300*$T$1</f>
        <v>7.1999999999999993</v>
      </c>
    </row>
    <row r="301" spans="1:41" s="618" customFormat="1" ht="12">
      <c r="A301" s="645"/>
      <c r="B301" s="645"/>
      <c r="C301" s="645"/>
      <c r="D301" s="645"/>
      <c r="E301" s="645"/>
      <c r="F301" s="2"/>
      <c r="G301" s="645"/>
      <c r="H301" s="645"/>
      <c r="I301" s="646"/>
      <c r="J301" s="645"/>
      <c r="K301" s="645"/>
      <c r="L301" s="645"/>
      <c r="M301" s="645"/>
      <c r="N301" s="645"/>
      <c r="O301" s="645"/>
      <c r="P301" s="645"/>
      <c r="Q301" s="646"/>
      <c r="R301" s="647">
        <f t="shared" ref="R301" si="78">$A301*Q301</f>
        <v>0</v>
      </c>
      <c r="S301" s="646"/>
      <c r="T301" s="648">
        <f t="shared" ref="T301" si="79">$A301*S301*$T$1</f>
        <v>0</v>
      </c>
    </row>
    <row r="302" spans="1:41" s="618" customFormat="1" ht="12.6" thickBot="1">
      <c r="A302" s="649" t="s">
        <v>137</v>
      </c>
      <c r="B302" s="650">
        <f>(R301+T301)</f>
        <v>0</v>
      </c>
      <c r="C302" s="651"/>
      <c r="D302" s="651"/>
      <c r="E302" s="651"/>
      <c r="F302" s="652"/>
      <c r="G302" s="651" t="s">
        <v>503</v>
      </c>
      <c r="H302" s="651"/>
      <c r="I302" s="653"/>
      <c r="J302" s="651"/>
      <c r="K302" s="651" t="s">
        <v>3</v>
      </c>
      <c r="L302" s="654" t="s">
        <v>136</v>
      </c>
      <c r="M302" s="654"/>
      <c r="N302" s="654"/>
      <c r="O302" s="654"/>
      <c r="P302" s="654"/>
      <c r="Q302" s="655"/>
      <c r="R302" s="656">
        <f>SUM(R299:R301)</f>
        <v>0</v>
      </c>
      <c r="S302" s="651"/>
      <c r="T302" s="656">
        <f>SUM(T299:T301)</f>
        <v>7.1999999999999993</v>
      </c>
      <c r="U302" s="621"/>
      <c r="V302" s="621"/>
      <c r="W302" s="621"/>
      <c r="X302" s="621"/>
      <c r="Y302" s="621"/>
      <c r="Z302" s="621"/>
      <c r="AA302" s="621"/>
      <c r="AB302" s="621"/>
      <c r="AC302" s="621"/>
      <c r="AD302" s="621"/>
      <c r="AE302" s="621"/>
      <c r="AF302" s="621"/>
      <c r="AG302" s="621"/>
      <c r="AH302" s="621"/>
      <c r="AI302" s="621"/>
      <c r="AJ302" s="621"/>
      <c r="AK302" s="621"/>
      <c r="AL302" s="621"/>
      <c r="AM302" s="621"/>
      <c r="AN302" s="621"/>
      <c r="AO302" s="621"/>
    </row>
    <row r="303" spans="1:41" s="618" customFormat="1" ht="12" thickTop="1">
      <c r="A303" s="616"/>
      <c r="B303" s="622"/>
      <c r="C303" s="616"/>
      <c r="E303" s="37" t="s">
        <v>491</v>
      </c>
      <c r="F303" s="37" t="s">
        <v>492</v>
      </c>
      <c r="G303" s="616"/>
      <c r="H303" s="616"/>
      <c r="I303" s="616"/>
      <c r="J303" s="616"/>
      <c r="K303" s="616" t="s">
        <v>493</v>
      </c>
      <c r="L303" s="616"/>
      <c r="M303" s="616"/>
      <c r="N303" s="616"/>
      <c r="O303" s="617"/>
      <c r="P303" s="616"/>
      <c r="Q303" s="616"/>
      <c r="R303" s="616"/>
      <c r="S303" s="616"/>
      <c r="T303" s="622"/>
      <c r="AG303" s="623" t="s">
        <v>494</v>
      </c>
      <c r="AH303" s="623" t="s">
        <v>495</v>
      </c>
      <c r="AI303" s="623" t="s">
        <v>496</v>
      </c>
      <c r="AJ303" s="623" t="s">
        <v>497</v>
      </c>
      <c r="AK303" s="623" t="s">
        <v>498</v>
      </c>
      <c r="AM303" s="624" t="s">
        <v>499</v>
      </c>
      <c r="AN303" s="625" t="s">
        <v>500</v>
      </c>
      <c r="AO303" s="626" t="s">
        <v>501</v>
      </c>
    </row>
    <row r="304" spans="1:41" s="618" customFormat="1" ht="12" customHeight="1">
      <c r="A304" s="627">
        <v>1</v>
      </c>
      <c r="B304" s="628" t="s">
        <v>255</v>
      </c>
      <c r="C304" s="629"/>
      <c r="D304" s="630" t="s">
        <v>534</v>
      </c>
      <c r="E304" s="631">
        <f>IF(AND($A304=0,$A$1="DIF"),0, ROUND(ROUND(($R309*$S$2+($T309*$T$2))/A304,2)*$C$2,2))</f>
        <v>0</v>
      </c>
      <c r="F304" s="632">
        <f>ROUND($A304*$E304,2)</f>
        <v>0</v>
      </c>
      <c r="G304" s="88" t="s">
        <v>135</v>
      </c>
      <c r="H304" s="2"/>
      <c r="I304" s="633"/>
      <c r="J304" s="2"/>
      <c r="K304" s="2" t="s">
        <v>3</v>
      </c>
      <c r="L304" s="634" t="s">
        <v>136</v>
      </c>
      <c r="M304" s="634"/>
      <c r="N304" s="634"/>
      <c r="O304" s="634"/>
      <c r="P304" s="634"/>
      <c r="Q304" s="616" t="s">
        <v>811</v>
      </c>
      <c r="T304" s="635" t="str">
        <f>IF(AND($R309=0,$T309=0),"0.00","mu :" &amp; ROUND($F304/$C$2/($R309+$T309*$D$9),2))</f>
        <v>0.00</v>
      </c>
      <c r="W304" s="636"/>
      <c r="AG304" s="637">
        <f>IF($E304=0,0,ROUND($R309*$S$2*$C$2/$A304,2))</f>
        <v>0</v>
      </c>
      <c r="AH304" s="637">
        <f>$AG304*$A304</f>
        <v>0</v>
      </c>
      <c r="AI304" s="638">
        <f>$E304-$AG304</f>
        <v>0</v>
      </c>
      <c r="AJ304" s="638">
        <f>$A304*$AI304</f>
        <v>0</v>
      </c>
      <c r="AK304" s="639">
        <f>ROUND(($AG304+$AI304)*$A304,2)</f>
        <v>0</v>
      </c>
      <c r="AM304" s="640">
        <f>ROUND(R309,2)</f>
        <v>0</v>
      </c>
      <c r="AN304" s="641">
        <f>ROUND(T309,2)</f>
        <v>0</v>
      </c>
      <c r="AO304" s="642">
        <f>ROUND(AM304+AN304,2)*A304</f>
        <v>0</v>
      </c>
    </row>
    <row r="305" spans="1:41" s="618" customFormat="1" ht="13.2">
      <c r="A305" s="629"/>
      <c r="B305"/>
      <c r="C305" s="629"/>
      <c r="D305" s="630" t="s">
        <v>325</v>
      </c>
      <c r="F305" s="2"/>
      <c r="G305" s="3"/>
      <c r="H305" s="2"/>
      <c r="I305" s="633"/>
      <c r="J305" s="2"/>
      <c r="K305" s="2" t="s">
        <v>502</v>
      </c>
      <c r="L305" s="2"/>
      <c r="M305" s="2"/>
      <c r="N305" s="2"/>
      <c r="O305" s="2"/>
      <c r="P305" s="2"/>
      <c r="Q305" s="616"/>
      <c r="R305" s="643"/>
      <c r="S305" s="644"/>
      <c r="T305" s="2"/>
    </row>
    <row r="306" spans="1:41" s="618" customFormat="1" ht="12">
      <c r="A306" s="616"/>
      <c r="B306" s="645"/>
      <c r="C306" s="645"/>
      <c r="D306" s="645"/>
      <c r="E306" s="645"/>
      <c r="F306" s="2"/>
      <c r="G306" s="645"/>
      <c r="H306" s="645"/>
      <c r="I306" s="646"/>
      <c r="J306" s="645"/>
      <c r="K306" s="645"/>
      <c r="L306" s="645"/>
      <c r="M306" s="645"/>
      <c r="N306" s="645"/>
      <c r="O306" s="645"/>
      <c r="P306" s="645"/>
      <c r="Q306" s="646"/>
      <c r="R306" s="647">
        <f t="shared" ref="R306:R308" si="80">$A306*Q306</f>
        <v>0</v>
      </c>
      <c r="S306" s="646"/>
      <c r="T306" s="648">
        <f t="shared" ref="T306:T308" si="81">$A306*S306*$T$1</f>
        <v>0</v>
      </c>
    </row>
    <row r="307" spans="1:41" s="618" customFormat="1" ht="12">
      <c r="A307" s="616"/>
      <c r="B307" s="645"/>
      <c r="C307" s="645"/>
      <c r="D307" s="616" t="s">
        <v>811</v>
      </c>
      <c r="E307" s="645"/>
      <c r="F307" s="2"/>
      <c r="G307" s="645"/>
      <c r="H307" s="645"/>
      <c r="I307" s="646"/>
      <c r="J307" s="645"/>
      <c r="K307" s="645"/>
      <c r="L307" s="645"/>
      <c r="M307" s="645"/>
      <c r="N307" s="645"/>
      <c r="O307" s="645"/>
      <c r="P307" s="645"/>
      <c r="Q307" s="646"/>
      <c r="R307" s="647">
        <f t="shared" si="80"/>
        <v>0</v>
      </c>
      <c r="S307" s="646"/>
      <c r="T307" s="648">
        <f t="shared" si="81"/>
        <v>0</v>
      </c>
    </row>
    <row r="308" spans="1:41" s="618" customFormat="1" ht="12">
      <c r="A308" s="645"/>
      <c r="B308" s="645"/>
      <c r="C308" s="645"/>
      <c r="D308" s="645"/>
      <c r="E308" s="645"/>
      <c r="F308" s="2"/>
      <c r="G308" s="645"/>
      <c r="H308" s="645"/>
      <c r="I308" s="646"/>
      <c r="J308" s="645"/>
      <c r="K308" s="645"/>
      <c r="L308" s="645"/>
      <c r="M308" s="645"/>
      <c r="N308" s="645"/>
      <c r="O308" s="645"/>
      <c r="P308" s="645"/>
      <c r="Q308" s="646"/>
      <c r="R308" s="647">
        <f t="shared" si="80"/>
        <v>0</v>
      </c>
      <c r="S308" s="646"/>
      <c r="T308" s="648">
        <f t="shared" si="81"/>
        <v>0</v>
      </c>
    </row>
    <row r="309" spans="1:41" s="618" customFormat="1" ht="12.6" thickBot="1">
      <c r="A309" s="649" t="s">
        <v>137</v>
      </c>
      <c r="B309" s="650">
        <f>(R308+T308)</f>
        <v>0</v>
      </c>
      <c r="C309" s="651"/>
      <c r="D309" s="651"/>
      <c r="E309" s="651"/>
      <c r="F309" s="652"/>
      <c r="G309" s="651" t="s">
        <v>503</v>
      </c>
      <c r="H309" s="651"/>
      <c r="I309" s="653"/>
      <c r="J309" s="651"/>
      <c r="K309" s="651" t="s">
        <v>3</v>
      </c>
      <c r="L309" s="654" t="s">
        <v>136</v>
      </c>
      <c r="M309" s="654"/>
      <c r="N309" s="654"/>
      <c r="O309" s="654"/>
      <c r="P309" s="654"/>
      <c r="Q309" s="655"/>
      <c r="R309" s="656">
        <f>SUM(R305:R308)</f>
        <v>0</v>
      </c>
      <c r="S309" s="651"/>
      <c r="T309" s="656">
        <f>SUM(T305:T308)</f>
        <v>0</v>
      </c>
      <c r="U309" s="621"/>
      <c r="V309" s="621"/>
      <c r="W309" s="621"/>
      <c r="X309" s="621"/>
      <c r="Y309" s="621"/>
      <c r="Z309" s="621"/>
      <c r="AA309" s="621"/>
      <c r="AB309" s="621"/>
      <c r="AC309" s="621"/>
      <c r="AD309" s="621"/>
      <c r="AE309" s="621"/>
      <c r="AF309" s="621"/>
      <c r="AG309" s="621"/>
      <c r="AH309" s="621"/>
      <c r="AI309" s="621"/>
      <c r="AJ309" s="621"/>
      <c r="AK309" s="621"/>
      <c r="AL309" s="621"/>
      <c r="AM309" s="621"/>
      <c r="AN309" s="621"/>
      <c r="AO309" s="621"/>
    </row>
    <row r="310" spans="1:41" s="618" customFormat="1" thickTop="1">
      <c r="A310" s="616"/>
      <c r="B310" s="616"/>
      <c r="C310" s="3"/>
      <c r="D310" s="3"/>
      <c r="E310" s="616"/>
      <c r="F310" s="616"/>
      <c r="G310" s="616"/>
      <c r="H310" s="616"/>
      <c r="I310" s="616"/>
      <c r="J310" s="616"/>
      <c r="K310" s="616" t="s">
        <v>489</v>
      </c>
      <c r="L310" s="616"/>
      <c r="M310" s="616"/>
      <c r="N310" s="616"/>
      <c r="O310" s="617"/>
      <c r="P310" s="616"/>
      <c r="Q310" s="616"/>
      <c r="R310" s="616"/>
      <c r="S310" s="616"/>
      <c r="T310" s="616"/>
    </row>
    <row r="311" spans="1:41" s="618" customFormat="1" ht="12">
      <c r="A311" s="616"/>
      <c r="B311" s="616"/>
      <c r="C311" s="616" t="s">
        <v>490</v>
      </c>
      <c r="D311" s="619"/>
      <c r="E311" s="616"/>
      <c r="F311" s="616"/>
      <c r="G311" s="616"/>
      <c r="H311" s="616"/>
      <c r="I311" s="616"/>
      <c r="J311" s="616"/>
      <c r="K311" s="616"/>
      <c r="L311" s="616"/>
      <c r="M311" s="616"/>
      <c r="N311" s="616"/>
      <c r="O311" s="617"/>
      <c r="P311" s="616"/>
      <c r="Q311" s="616"/>
      <c r="R311" s="616"/>
      <c r="S311" s="616"/>
      <c r="T311" s="616"/>
    </row>
    <row r="312" spans="1:41" s="618" customFormat="1" ht="12">
      <c r="A312" s="616"/>
      <c r="B312" s="616"/>
      <c r="C312" s="616"/>
      <c r="D312" s="619" t="s">
        <v>327</v>
      </c>
      <c r="E312" s="616"/>
      <c r="F312" s="616"/>
      <c r="G312" s="616"/>
      <c r="H312" s="616"/>
      <c r="I312" s="616"/>
      <c r="J312" s="616"/>
      <c r="K312" s="616"/>
      <c r="L312" s="616"/>
      <c r="M312" s="616"/>
      <c r="N312" s="616"/>
      <c r="O312" s="617"/>
      <c r="P312" s="616"/>
      <c r="Q312" s="616"/>
      <c r="R312" s="616"/>
      <c r="S312" s="620"/>
      <c r="T312" s="620"/>
    </row>
    <row r="313" spans="1:41" s="3" customFormat="1" thickBot="1">
      <c r="A313" s="621"/>
      <c r="O313" s="96"/>
    </row>
    <row r="314" spans="1:41" s="618" customFormat="1" thickTop="1">
      <c r="A314" s="616"/>
      <c r="B314" s="616"/>
      <c r="C314" s="3"/>
      <c r="D314" s="3"/>
      <c r="E314" s="616"/>
      <c r="F314" s="616"/>
      <c r="G314" s="616"/>
      <c r="H314" s="616"/>
      <c r="I314" s="616"/>
      <c r="J314" s="616"/>
      <c r="K314" s="616" t="s">
        <v>489</v>
      </c>
      <c r="L314" s="616"/>
      <c r="M314" s="616"/>
      <c r="N314" s="616"/>
      <c r="O314" s="617"/>
      <c r="P314" s="616"/>
      <c r="Q314" s="616"/>
      <c r="R314" s="616"/>
      <c r="S314" s="616"/>
      <c r="T314" s="616"/>
    </row>
    <row r="315" spans="1:41" s="618" customFormat="1" ht="12">
      <c r="A315" s="616"/>
      <c r="B315" s="616"/>
      <c r="C315" s="616" t="s">
        <v>490</v>
      </c>
      <c r="D315" s="619"/>
      <c r="E315" s="616"/>
      <c r="F315" s="616"/>
      <c r="G315" s="616"/>
      <c r="H315" s="616"/>
      <c r="I315" s="616"/>
      <c r="J315" s="616"/>
      <c r="K315" s="616"/>
      <c r="L315" s="616"/>
      <c r="M315" s="616"/>
      <c r="N315" s="616"/>
      <c r="O315" s="617"/>
      <c r="P315" s="616"/>
      <c r="Q315" s="616"/>
      <c r="R315" s="616"/>
      <c r="S315" s="616"/>
      <c r="T315" s="616"/>
    </row>
    <row r="316" spans="1:41" s="618" customFormat="1" ht="12">
      <c r="A316" s="616"/>
      <c r="B316" s="616"/>
      <c r="C316" s="616"/>
      <c r="D316" s="619" t="s">
        <v>328</v>
      </c>
      <c r="E316" s="616"/>
      <c r="F316" s="616"/>
      <c r="G316" s="616"/>
      <c r="H316" s="616"/>
      <c r="I316" s="616"/>
      <c r="J316" s="616"/>
      <c r="K316" s="616"/>
      <c r="L316" s="616"/>
      <c r="M316" s="616"/>
      <c r="N316" s="616"/>
      <c r="O316" s="617"/>
      <c r="P316" s="616"/>
      <c r="Q316" s="616"/>
      <c r="R316" s="616"/>
      <c r="S316" s="620"/>
      <c r="T316" s="620"/>
    </row>
    <row r="317" spans="1:41" s="3" customFormat="1" thickBot="1">
      <c r="A317" s="621"/>
      <c r="O317" s="96"/>
    </row>
    <row r="318" spans="1:41" s="618" customFormat="1" ht="12" thickTop="1">
      <c r="A318" s="616"/>
      <c r="B318" s="622"/>
      <c r="C318" s="616"/>
      <c r="E318" s="37" t="s">
        <v>491</v>
      </c>
      <c r="F318" s="37" t="s">
        <v>492</v>
      </c>
      <c r="G318" s="616"/>
      <c r="H318" s="616"/>
      <c r="I318" s="616"/>
      <c r="J318" s="616"/>
      <c r="K318" s="616" t="s">
        <v>493</v>
      </c>
      <c r="L318" s="616"/>
      <c r="M318" s="616"/>
      <c r="N318" s="616"/>
      <c r="O318" s="617"/>
      <c r="P318" s="616"/>
      <c r="Q318" s="616"/>
      <c r="R318" s="616"/>
      <c r="S318" s="616"/>
      <c r="T318" s="622"/>
      <c r="AG318" s="623" t="s">
        <v>494</v>
      </c>
      <c r="AH318" s="623" t="s">
        <v>495</v>
      </c>
      <c r="AI318" s="623" t="s">
        <v>496</v>
      </c>
      <c r="AJ318" s="623" t="s">
        <v>497</v>
      </c>
      <c r="AK318" s="623" t="s">
        <v>498</v>
      </c>
      <c r="AM318" s="624" t="s">
        <v>499</v>
      </c>
      <c r="AN318" s="625" t="s">
        <v>500</v>
      </c>
      <c r="AO318" s="626" t="s">
        <v>501</v>
      </c>
    </row>
    <row r="319" spans="1:41" s="618" customFormat="1" ht="12" customHeight="1">
      <c r="A319" s="627">
        <v>1</v>
      </c>
      <c r="B319" s="628" t="s">
        <v>330</v>
      </c>
      <c r="C319" s="629"/>
      <c r="D319" s="630" t="s">
        <v>537</v>
      </c>
      <c r="E319" s="631">
        <f>IF(AND($A319=0,$A$1="DIF"),0, ROUND(ROUND(($R324*$S$2+($T324*$T$2))/A319,2)*$C$2,2))</f>
        <v>0</v>
      </c>
      <c r="F319" s="632">
        <f>ROUND($A319*$E319,2)</f>
        <v>0</v>
      </c>
      <c r="G319" s="88" t="s">
        <v>135</v>
      </c>
      <c r="H319" s="2"/>
      <c r="I319" s="633"/>
      <c r="J319" s="2"/>
      <c r="K319" s="2" t="s">
        <v>3</v>
      </c>
      <c r="L319" s="634" t="s">
        <v>136</v>
      </c>
      <c r="M319" s="634"/>
      <c r="N319" s="634"/>
      <c r="O319" s="634"/>
      <c r="P319" s="634"/>
      <c r="Q319" s="616" t="s">
        <v>256</v>
      </c>
      <c r="T319" s="635" t="str">
        <f>IF(AND($R324=0,$T324=0),"0.00","mu :" &amp; ROUND($F319/$C$2/($R324+$T324*$D$9),2))</f>
        <v>0.00</v>
      </c>
      <c r="W319" s="636"/>
      <c r="AG319" s="637">
        <f>IF($E319=0,0,ROUND($R324*$S$2*$C$2/$A319,2))</f>
        <v>0</v>
      </c>
      <c r="AH319" s="637">
        <f>$AG319*$A319</f>
        <v>0</v>
      </c>
      <c r="AI319" s="638">
        <f>$E319-$AG319</f>
        <v>0</v>
      </c>
      <c r="AJ319" s="638">
        <f>$A319*$AI319</f>
        <v>0</v>
      </c>
      <c r="AK319" s="639">
        <f>ROUND(($AG319+$AI319)*$A319,2)</f>
        <v>0</v>
      </c>
      <c r="AM319" s="640">
        <f>ROUND(R324,2)</f>
        <v>0</v>
      </c>
      <c r="AN319" s="641">
        <f>ROUND(T324,2)</f>
        <v>0</v>
      </c>
      <c r="AO319" s="642">
        <f>ROUND(AM319+AN319,2)*A319</f>
        <v>0</v>
      </c>
    </row>
    <row r="320" spans="1:41" s="618" customFormat="1" ht="36">
      <c r="A320" s="616"/>
      <c r="B320" s="616"/>
      <c r="C320" s="616"/>
      <c r="D320" s="744" t="s">
        <v>329</v>
      </c>
      <c r="E320" s="744"/>
      <c r="F320" s="744"/>
      <c r="G320" s="744"/>
      <c r="H320" s="744"/>
      <c r="I320" s="744"/>
      <c r="J320" s="744"/>
      <c r="K320" s="744"/>
      <c r="L320" s="744"/>
      <c r="M320" s="744"/>
      <c r="N320" s="744"/>
      <c r="O320" s="744"/>
      <c r="P320" s="744"/>
      <c r="Q320" s="744"/>
      <c r="R320" s="669"/>
      <c r="S320" s="669"/>
      <c r="T320" s="669"/>
    </row>
    <row r="321" spans="1:41" s="618" customFormat="1" ht="12">
      <c r="A321" s="616"/>
      <c r="B321" s="645"/>
      <c r="C321" s="645"/>
      <c r="D321" s="645"/>
      <c r="E321" s="645"/>
      <c r="F321" s="2"/>
      <c r="G321" s="645"/>
      <c r="H321" s="645"/>
      <c r="I321" s="646"/>
      <c r="J321" s="645"/>
      <c r="K321" s="645"/>
      <c r="L321" s="645"/>
      <c r="M321" s="645"/>
      <c r="N321" s="645"/>
      <c r="O321" s="645"/>
      <c r="P321" s="645"/>
      <c r="Q321" s="646"/>
      <c r="R321" s="647">
        <f t="shared" ref="R321:R323" si="82">$A321*Q321</f>
        <v>0</v>
      </c>
      <c r="S321" s="646"/>
      <c r="T321" s="648">
        <f t="shared" ref="T321:T323" si="83">$A321*S321*$T$1</f>
        <v>0</v>
      </c>
    </row>
    <row r="322" spans="1:41" s="618" customFormat="1" ht="12">
      <c r="A322" s="616"/>
      <c r="B322" s="645"/>
      <c r="C322" s="645"/>
      <c r="D322" s="616" t="s">
        <v>256</v>
      </c>
      <c r="E322" s="645"/>
      <c r="F322" s="2"/>
      <c r="G322" s="645"/>
      <c r="H322" s="645"/>
      <c r="I322" s="646"/>
      <c r="J322" s="645"/>
      <c r="K322" s="645"/>
      <c r="L322" s="645"/>
      <c r="M322" s="645"/>
      <c r="N322" s="645"/>
      <c r="O322" s="645"/>
      <c r="P322" s="645"/>
      <c r="Q322" s="646"/>
      <c r="R322" s="647">
        <f t="shared" si="82"/>
        <v>0</v>
      </c>
      <c r="S322" s="646"/>
      <c r="T322" s="648">
        <f t="shared" si="83"/>
        <v>0</v>
      </c>
    </row>
    <row r="323" spans="1:41" s="618" customFormat="1" ht="12">
      <c r="A323" s="645"/>
      <c r="B323" s="645"/>
      <c r="C323" s="645"/>
      <c r="D323" s="645"/>
      <c r="E323" s="645"/>
      <c r="F323" s="2"/>
      <c r="G323" s="645"/>
      <c r="H323" s="645"/>
      <c r="I323" s="646"/>
      <c r="J323" s="645"/>
      <c r="K323" s="645"/>
      <c r="L323" s="645"/>
      <c r="M323" s="645"/>
      <c r="N323" s="645"/>
      <c r="O323" s="645"/>
      <c r="P323" s="645"/>
      <c r="Q323" s="646"/>
      <c r="R323" s="647">
        <f t="shared" si="82"/>
        <v>0</v>
      </c>
      <c r="S323" s="646"/>
      <c r="T323" s="648">
        <f t="shared" si="83"/>
        <v>0</v>
      </c>
    </row>
    <row r="324" spans="1:41" s="618" customFormat="1" ht="12.6" thickBot="1">
      <c r="A324" s="649" t="s">
        <v>137</v>
      </c>
      <c r="B324" s="650">
        <f>(R323+T323)</f>
        <v>0</v>
      </c>
      <c r="C324" s="651"/>
      <c r="D324" s="651"/>
      <c r="E324" s="651"/>
      <c r="F324" s="652"/>
      <c r="G324" s="651" t="s">
        <v>503</v>
      </c>
      <c r="H324" s="651"/>
      <c r="I324" s="653"/>
      <c r="J324" s="651"/>
      <c r="K324" s="651" t="s">
        <v>3</v>
      </c>
      <c r="L324" s="654" t="s">
        <v>136</v>
      </c>
      <c r="M324" s="654"/>
      <c r="N324" s="654"/>
      <c r="O324" s="654"/>
      <c r="P324" s="654"/>
      <c r="Q324" s="655"/>
      <c r="R324" s="656">
        <f>SUM(R320:R323)</f>
        <v>0</v>
      </c>
      <c r="S324" s="651"/>
      <c r="T324" s="656">
        <f>SUM(T320:T323)</f>
        <v>0</v>
      </c>
      <c r="U324" s="621"/>
      <c r="V324" s="621"/>
      <c r="W324" s="621"/>
      <c r="X324" s="621"/>
      <c r="Y324" s="621"/>
      <c r="Z324" s="621"/>
      <c r="AA324" s="621"/>
      <c r="AB324" s="621"/>
      <c r="AC324" s="621"/>
      <c r="AD324" s="621"/>
      <c r="AE324" s="621"/>
      <c r="AF324" s="621"/>
      <c r="AG324" s="621"/>
      <c r="AH324" s="621"/>
      <c r="AI324" s="621"/>
      <c r="AJ324" s="621"/>
      <c r="AK324" s="621"/>
      <c r="AL324" s="621"/>
      <c r="AM324" s="621"/>
      <c r="AN324" s="621"/>
      <c r="AO324" s="621"/>
    </row>
    <row r="325" spans="1:41" s="618" customFormat="1" ht="12" thickTop="1">
      <c r="A325" s="616"/>
      <c r="B325" s="622"/>
      <c r="C325" s="616"/>
      <c r="E325" s="37" t="s">
        <v>491</v>
      </c>
      <c r="F325" s="37" t="s">
        <v>492</v>
      </c>
      <c r="G325" s="616"/>
      <c r="H325" s="616"/>
      <c r="I325" s="616"/>
      <c r="J325" s="616"/>
      <c r="K325" s="616" t="s">
        <v>493</v>
      </c>
      <c r="L325" s="616"/>
      <c r="M325" s="616"/>
      <c r="N325" s="616"/>
      <c r="O325" s="617"/>
      <c r="P325" s="616"/>
      <c r="Q325" s="616"/>
      <c r="R325" s="616"/>
      <c r="S325" s="616"/>
      <c r="T325" s="622"/>
      <c r="AG325" s="623" t="s">
        <v>494</v>
      </c>
      <c r="AH325" s="623" t="s">
        <v>495</v>
      </c>
      <c r="AI325" s="623" t="s">
        <v>496</v>
      </c>
      <c r="AJ325" s="623" t="s">
        <v>497</v>
      </c>
      <c r="AK325" s="623" t="s">
        <v>498</v>
      </c>
      <c r="AM325" s="624" t="s">
        <v>499</v>
      </c>
      <c r="AN325" s="625" t="s">
        <v>500</v>
      </c>
      <c r="AO325" s="626" t="s">
        <v>501</v>
      </c>
    </row>
    <row r="326" spans="1:41" s="618" customFormat="1" ht="12" customHeight="1">
      <c r="A326" s="627">
        <v>1</v>
      </c>
      <c r="B326" s="628" t="s">
        <v>330</v>
      </c>
      <c r="C326" s="629"/>
      <c r="D326" s="630" t="s">
        <v>538</v>
      </c>
      <c r="E326" s="631">
        <f>IF(AND($A326=0,$A$1="DIF"),0, ROUND(ROUND(($R331*$S$2+($T331*$T$2))/A326,2)*$C$2,2))</f>
        <v>0</v>
      </c>
      <c r="F326" s="632">
        <f>ROUND($A326*$E326,2)</f>
        <v>0</v>
      </c>
      <c r="G326" s="88" t="s">
        <v>135</v>
      </c>
      <c r="H326" s="2"/>
      <c r="I326" s="633"/>
      <c r="J326" s="2"/>
      <c r="K326" s="2" t="s">
        <v>3</v>
      </c>
      <c r="L326" s="634" t="s">
        <v>136</v>
      </c>
      <c r="M326" s="634"/>
      <c r="N326" s="634"/>
      <c r="O326" s="634"/>
      <c r="P326" s="634"/>
      <c r="Q326" s="616" t="s">
        <v>256</v>
      </c>
      <c r="T326" s="635" t="str">
        <f>IF(AND($R331=0,$T331=0),"0.00","mu :" &amp; ROUND($F326/$C$2/($R331+$T331*$D$9),2))</f>
        <v>0.00</v>
      </c>
      <c r="W326" s="636"/>
      <c r="AG326" s="637">
        <f>IF($E326=0,0,ROUND($R331*$S$2*$C$2/$A326,2))</f>
        <v>0</v>
      </c>
      <c r="AH326" s="637">
        <f>$AG326*$A326</f>
        <v>0</v>
      </c>
      <c r="AI326" s="638">
        <f>$E326-$AG326</f>
        <v>0</v>
      </c>
      <c r="AJ326" s="638">
        <f>$A326*$AI326</f>
        <v>0</v>
      </c>
      <c r="AK326" s="639">
        <f>ROUND(($AG326+$AI326)*$A326,2)</f>
        <v>0</v>
      </c>
      <c r="AM326" s="640">
        <f>ROUND(R331,2)</f>
        <v>0</v>
      </c>
      <c r="AN326" s="641">
        <f>ROUND(T331,2)</f>
        <v>0</v>
      </c>
      <c r="AO326" s="642">
        <f>ROUND(AM326+AN326,2)*A326</f>
        <v>0</v>
      </c>
    </row>
    <row r="327" spans="1:41" s="618" customFormat="1" ht="72">
      <c r="A327" s="616"/>
      <c r="B327" s="616"/>
      <c r="C327" s="616"/>
      <c r="D327" s="744" t="s">
        <v>331</v>
      </c>
      <c r="E327" s="744"/>
      <c r="F327" s="744"/>
      <c r="G327" s="744"/>
      <c r="H327" s="744"/>
      <c r="I327" s="744"/>
      <c r="J327" s="744"/>
      <c r="K327" s="744"/>
      <c r="L327" s="744"/>
      <c r="M327" s="744"/>
      <c r="N327" s="744"/>
      <c r="O327" s="744"/>
      <c r="P327" s="744"/>
      <c r="Q327" s="744"/>
      <c r="R327" s="669"/>
      <c r="S327" s="669"/>
      <c r="T327" s="669"/>
    </row>
    <row r="328" spans="1:41" s="618" customFormat="1" ht="12">
      <c r="A328" s="616"/>
      <c r="B328" s="645"/>
      <c r="C328" s="645"/>
      <c r="D328" s="645"/>
      <c r="E328" s="645"/>
      <c r="F328" s="2"/>
      <c r="G328" s="645"/>
      <c r="H328" s="645"/>
      <c r="I328" s="646"/>
      <c r="J328" s="645"/>
      <c r="K328" s="645"/>
      <c r="L328" s="645"/>
      <c r="M328" s="645"/>
      <c r="N328" s="645"/>
      <c r="O328" s="645"/>
      <c r="P328" s="645"/>
      <c r="Q328" s="646"/>
      <c r="R328" s="647">
        <f t="shared" ref="R328:R330" si="84">$A328*Q328</f>
        <v>0</v>
      </c>
      <c r="S328" s="646"/>
      <c r="T328" s="648">
        <f t="shared" ref="T328:T330" si="85">$A328*S328*$T$1</f>
        <v>0</v>
      </c>
    </row>
    <row r="329" spans="1:41" s="618" customFormat="1" ht="12">
      <c r="A329" s="616"/>
      <c r="B329" s="645"/>
      <c r="C329" s="645"/>
      <c r="D329" s="616" t="s">
        <v>256</v>
      </c>
      <c r="E329" s="645"/>
      <c r="F329" s="2"/>
      <c r="G329" s="645"/>
      <c r="H329" s="645"/>
      <c r="I329" s="646"/>
      <c r="J329" s="645"/>
      <c r="K329" s="645"/>
      <c r="L329" s="645"/>
      <c r="M329" s="645"/>
      <c r="N329" s="645"/>
      <c r="O329" s="645"/>
      <c r="P329" s="645"/>
      <c r="Q329" s="646"/>
      <c r="R329" s="647">
        <f t="shared" si="84"/>
        <v>0</v>
      </c>
      <c r="S329" s="646"/>
      <c r="T329" s="648">
        <f t="shared" si="85"/>
        <v>0</v>
      </c>
    </row>
    <row r="330" spans="1:41" s="618" customFormat="1" ht="12">
      <c r="A330" s="645"/>
      <c r="B330" s="645"/>
      <c r="C330" s="645"/>
      <c r="D330" s="645"/>
      <c r="E330" s="645"/>
      <c r="F330" s="2"/>
      <c r="G330" s="645"/>
      <c r="H330" s="645"/>
      <c r="I330" s="646"/>
      <c r="J330" s="645"/>
      <c r="K330" s="645"/>
      <c r="L330" s="645"/>
      <c r="M330" s="645"/>
      <c r="N330" s="645"/>
      <c r="O330" s="645"/>
      <c r="P330" s="645"/>
      <c r="Q330" s="646"/>
      <c r="R330" s="647">
        <f t="shared" si="84"/>
        <v>0</v>
      </c>
      <c r="S330" s="646"/>
      <c r="T330" s="648">
        <f t="shared" si="85"/>
        <v>0</v>
      </c>
    </row>
    <row r="331" spans="1:41" s="618" customFormat="1" ht="12.6" thickBot="1">
      <c r="A331" s="649" t="s">
        <v>137</v>
      </c>
      <c r="B331" s="650">
        <f>(R330+T330)</f>
        <v>0</v>
      </c>
      <c r="C331" s="651"/>
      <c r="D331" s="651"/>
      <c r="E331" s="651"/>
      <c r="F331" s="652"/>
      <c r="G331" s="651" t="s">
        <v>503</v>
      </c>
      <c r="H331" s="651"/>
      <c r="I331" s="653"/>
      <c r="J331" s="651"/>
      <c r="K331" s="651" t="s">
        <v>3</v>
      </c>
      <c r="L331" s="654" t="s">
        <v>136</v>
      </c>
      <c r="M331" s="654"/>
      <c r="N331" s="654"/>
      <c r="O331" s="654"/>
      <c r="P331" s="654"/>
      <c r="Q331" s="655"/>
      <c r="R331" s="656">
        <f>SUM(R327:R330)</f>
        <v>0</v>
      </c>
      <c r="S331" s="651"/>
      <c r="T331" s="656">
        <f>SUM(T327:T330)</f>
        <v>0</v>
      </c>
      <c r="U331" s="621"/>
      <c r="V331" s="621"/>
      <c r="W331" s="621"/>
      <c r="X331" s="621"/>
      <c r="Y331" s="621"/>
      <c r="Z331" s="621"/>
      <c r="AA331" s="621"/>
      <c r="AB331" s="621"/>
      <c r="AC331" s="621"/>
      <c r="AD331" s="621"/>
      <c r="AE331" s="621"/>
      <c r="AF331" s="621"/>
      <c r="AG331" s="621"/>
      <c r="AH331" s="621"/>
      <c r="AI331" s="621"/>
      <c r="AJ331" s="621"/>
      <c r="AK331" s="621"/>
      <c r="AL331" s="621"/>
      <c r="AM331" s="621"/>
      <c r="AN331" s="621"/>
      <c r="AO331" s="621"/>
    </row>
    <row r="332" spans="1:41" s="618" customFormat="1" thickTop="1">
      <c r="A332" s="616"/>
      <c r="B332" s="616"/>
      <c r="C332" s="3"/>
      <c r="D332" s="3"/>
      <c r="E332" s="616"/>
      <c r="F332" s="616"/>
      <c r="G332" s="616"/>
      <c r="H332" s="616"/>
      <c r="I332" s="616"/>
      <c r="J332" s="616"/>
      <c r="K332" s="616" t="s">
        <v>489</v>
      </c>
      <c r="L332" s="616"/>
      <c r="M332" s="616"/>
      <c r="N332" s="616"/>
      <c r="O332" s="617"/>
      <c r="P332" s="616"/>
      <c r="Q332" s="616"/>
      <c r="R332" s="616"/>
      <c r="S332" s="616"/>
      <c r="T332" s="616"/>
    </row>
    <row r="333" spans="1:41" s="618" customFormat="1" ht="12">
      <c r="A333" s="616"/>
      <c r="B333" s="616"/>
      <c r="C333" s="616" t="s">
        <v>490</v>
      </c>
      <c r="D333" s="619"/>
      <c r="E333" s="616"/>
      <c r="F333" s="616"/>
      <c r="G333" s="616"/>
      <c r="H333" s="616"/>
      <c r="I333" s="616"/>
      <c r="J333" s="616"/>
      <c r="K333" s="616"/>
      <c r="L333" s="616"/>
      <c r="M333" s="616"/>
      <c r="N333" s="616"/>
      <c r="O333" s="617"/>
      <c r="P333" s="616"/>
      <c r="Q333" s="616"/>
      <c r="R333" s="616"/>
      <c r="S333" s="616"/>
      <c r="T333" s="616"/>
    </row>
    <row r="334" spans="1:41" s="618" customFormat="1" ht="12">
      <c r="A334" s="616"/>
      <c r="B334" s="616"/>
      <c r="C334" s="616"/>
      <c r="D334" s="619" t="s">
        <v>332</v>
      </c>
      <c r="E334" s="616"/>
      <c r="F334" s="616"/>
      <c r="G334" s="616"/>
      <c r="H334" s="616"/>
      <c r="I334" s="616"/>
      <c r="J334" s="616"/>
      <c r="K334" s="616"/>
      <c r="L334" s="616"/>
      <c r="M334" s="616"/>
      <c r="N334" s="616"/>
      <c r="O334" s="617"/>
      <c r="P334" s="616"/>
      <c r="Q334" s="616"/>
      <c r="R334" s="616"/>
      <c r="S334" s="620"/>
      <c r="T334" s="620"/>
    </row>
    <row r="335" spans="1:41" s="3" customFormat="1" thickBot="1">
      <c r="A335" s="621"/>
      <c r="O335" s="96"/>
    </row>
    <row r="336" spans="1:41" s="618" customFormat="1" ht="12" thickTop="1">
      <c r="A336" s="616"/>
      <c r="B336" s="622"/>
      <c r="C336" s="616"/>
      <c r="E336" s="37" t="s">
        <v>491</v>
      </c>
      <c r="F336" s="37" t="s">
        <v>492</v>
      </c>
      <c r="G336" s="616"/>
      <c r="H336" s="616"/>
      <c r="I336" s="616"/>
      <c r="J336" s="616"/>
      <c r="K336" s="616" t="s">
        <v>493</v>
      </c>
      <c r="L336" s="616"/>
      <c r="M336" s="616"/>
      <c r="N336" s="616"/>
      <c r="O336" s="617"/>
      <c r="P336" s="616"/>
      <c r="Q336" s="616"/>
      <c r="R336" s="616"/>
      <c r="S336" s="616"/>
      <c r="T336" s="622"/>
      <c r="AG336" s="623" t="s">
        <v>494</v>
      </c>
      <c r="AH336" s="623" t="s">
        <v>495</v>
      </c>
      <c r="AI336" s="623" t="s">
        <v>496</v>
      </c>
      <c r="AJ336" s="623" t="s">
        <v>497</v>
      </c>
      <c r="AK336" s="623" t="s">
        <v>498</v>
      </c>
      <c r="AM336" s="624" t="s">
        <v>499</v>
      </c>
      <c r="AN336" s="625" t="s">
        <v>500</v>
      </c>
      <c r="AO336" s="626" t="s">
        <v>501</v>
      </c>
    </row>
    <row r="337" spans="1:41" s="618" customFormat="1" ht="12" customHeight="1">
      <c r="A337" s="627">
        <v>1</v>
      </c>
      <c r="B337" s="628" t="s">
        <v>330</v>
      </c>
      <c r="C337" s="629"/>
      <c r="D337" s="630" t="s">
        <v>539</v>
      </c>
      <c r="E337" s="631">
        <f>IF(AND($A337=0,$A$1="DIF"),0, ROUND(ROUND(($R342*$S$2+($T342*$T$2))/A337,2)*$C$2,2))</f>
        <v>0</v>
      </c>
      <c r="F337" s="632">
        <f>ROUND($A337*$E337,2)</f>
        <v>0</v>
      </c>
      <c r="G337" s="88" t="s">
        <v>135</v>
      </c>
      <c r="H337" s="2"/>
      <c r="I337" s="633"/>
      <c r="J337" s="2"/>
      <c r="K337" s="2" t="s">
        <v>3</v>
      </c>
      <c r="L337" s="634" t="s">
        <v>136</v>
      </c>
      <c r="M337" s="634"/>
      <c r="N337" s="634"/>
      <c r="O337" s="634"/>
      <c r="P337" s="634"/>
      <c r="Q337" s="616" t="s">
        <v>256</v>
      </c>
      <c r="T337" s="635" t="str">
        <f>IF(AND($R342=0,$T342=0),"0.00","mu :" &amp; ROUND($F337/$C$2/($R342+$T342*$D$9),2))</f>
        <v>0.00</v>
      </c>
      <c r="W337" s="636"/>
      <c r="AG337" s="637">
        <f>IF($E337=0,0,ROUND($R342*$S$2*$C$2/$A337,2))</f>
        <v>0</v>
      </c>
      <c r="AH337" s="637">
        <f>$AG337*$A337</f>
        <v>0</v>
      </c>
      <c r="AI337" s="638">
        <f>$E337-$AG337</f>
        <v>0</v>
      </c>
      <c r="AJ337" s="638">
        <f>$A337*$AI337</f>
        <v>0</v>
      </c>
      <c r="AK337" s="639">
        <f>ROUND(($AG337+$AI337)*$A337,2)</f>
        <v>0</v>
      </c>
      <c r="AM337" s="640">
        <f>ROUND(R342,2)</f>
        <v>0</v>
      </c>
      <c r="AN337" s="641">
        <f>ROUND(T342,2)</f>
        <v>0</v>
      </c>
      <c r="AO337" s="642">
        <f>ROUND(AM337+AN337,2)*A337</f>
        <v>0</v>
      </c>
    </row>
    <row r="338" spans="1:41" s="618" customFormat="1" ht="24">
      <c r="A338" s="616"/>
      <c r="B338" s="616"/>
      <c r="C338" s="616"/>
      <c r="D338" s="744" t="s">
        <v>333</v>
      </c>
      <c r="E338" s="744"/>
      <c r="F338" s="744"/>
      <c r="G338" s="744"/>
      <c r="H338" s="744"/>
      <c r="I338" s="744"/>
      <c r="J338" s="744"/>
      <c r="K338" s="744"/>
      <c r="L338" s="744"/>
      <c r="M338" s="744"/>
      <c r="N338" s="744"/>
      <c r="O338" s="744"/>
      <c r="P338" s="744"/>
      <c r="Q338" s="744"/>
      <c r="R338" s="669"/>
      <c r="S338" s="669"/>
      <c r="T338" s="669"/>
    </row>
    <row r="339" spans="1:41" s="618" customFormat="1" ht="12">
      <c r="A339" s="616"/>
      <c r="B339" s="645"/>
      <c r="C339" s="645"/>
      <c r="D339" s="645"/>
      <c r="E339" s="645"/>
      <c r="F339" s="2"/>
      <c r="G339" s="645"/>
      <c r="H339" s="645"/>
      <c r="I339" s="646"/>
      <c r="J339" s="645"/>
      <c r="K339" s="645"/>
      <c r="L339" s="645"/>
      <c r="M339" s="645"/>
      <c r="N339" s="645"/>
      <c r="O339" s="645"/>
      <c r="P339" s="645"/>
      <c r="Q339" s="646"/>
      <c r="R339" s="647">
        <f t="shared" ref="R339:R341" si="86">$A339*Q339</f>
        <v>0</v>
      </c>
      <c r="S339" s="646"/>
      <c r="T339" s="648">
        <f t="shared" ref="T339:T341" si="87">$A339*S339*$T$1</f>
        <v>0</v>
      </c>
    </row>
    <row r="340" spans="1:41" s="618" customFormat="1" ht="12">
      <c r="A340" s="616"/>
      <c r="B340" s="645"/>
      <c r="C340" s="645"/>
      <c r="D340" s="616" t="s">
        <v>256</v>
      </c>
      <c r="E340" s="645"/>
      <c r="F340" s="2"/>
      <c r="G340" s="645"/>
      <c r="H340" s="645"/>
      <c r="I340" s="646"/>
      <c r="J340" s="645"/>
      <c r="K340" s="645"/>
      <c r="L340" s="645"/>
      <c r="M340" s="645"/>
      <c r="N340" s="645"/>
      <c r="O340" s="645"/>
      <c r="P340" s="645"/>
      <c r="Q340" s="646"/>
      <c r="R340" s="647">
        <f t="shared" si="86"/>
        <v>0</v>
      </c>
      <c r="S340" s="646"/>
      <c r="T340" s="648">
        <f t="shared" si="87"/>
        <v>0</v>
      </c>
    </row>
    <row r="341" spans="1:41" s="618" customFormat="1" ht="12">
      <c r="A341" s="645"/>
      <c r="B341" s="645"/>
      <c r="C341" s="645"/>
      <c r="D341" s="645"/>
      <c r="E341" s="645"/>
      <c r="F341" s="2"/>
      <c r="G341" s="645"/>
      <c r="H341" s="645"/>
      <c r="I341" s="646"/>
      <c r="J341" s="645"/>
      <c r="K341" s="645"/>
      <c r="L341" s="645"/>
      <c r="M341" s="645"/>
      <c r="N341" s="645"/>
      <c r="O341" s="645"/>
      <c r="P341" s="645"/>
      <c r="Q341" s="646"/>
      <c r="R341" s="647">
        <f t="shared" si="86"/>
        <v>0</v>
      </c>
      <c r="S341" s="646"/>
      <c r="T341" s="648">
        <f t="shared" si="87"/>
        <v>0</v>
      </c>
    </row>
    <row r="342" spans="1:41" s="618" customFormat="1" ht="12.6" thickBot="1">
      <c r="A342" s="649" t="s">
        <v>137</v>
      </c>
      <c r="B342" s="650">
        <f>(R341+T341)</f>
        <v>0</v>
      </c>
      <c r="C342" s="651"/>
      <c r="D342" s="651"/>
      <c r="E342" s="651"/>
      <c r="F342" s="652"/>
      <c r="G342" s="651" t="s">
        <v>503</v>
      </c>
      <c r="H342" s="651"/>
      <c r="I342" s="653"/>
      <c r="J342" s="651"/>
      <c r="K342" s="651" t="s">
        <v>3</v>
      </c>
      <c r="L342" s="654" t="s">
        <v>136</v>
      </c>
      <c r="M342" s="654"/>
      <c r="N342" s="654"/>
      <c r="O342" s="654"/>
      <c r="P342" s="654"/>
      <c r="Q342" s="655"/>
      <c r="R342" s="656">
        <f>SUM(R338:R341)</f>
        <v>0</v>
      </c>
      <c r="S342" s="651"/>
      <c r="T342" s="656">
        <f>SUM(T338:T341)</f>
        <v>0</v>
      </c>
      <c r="U342" s="621"/>
      <c r="V342" s="621"/>
      <c r="W342" s="621"/>
      <c r="X342" s="621"/>
      <c r="Y342" s="621"/>
      <c r="Z342" s="621"/>
      <c r="AA342" s="621"/>
      <c r="AB342" s="621"/>
      <c r="AC342" s="621"/>
      <c r="AD342" s="621"/>
      <c r="AE342" s="621"/>
      <c r="AF342" s="621"/>
      <c r="AG342" s="621"/>
      <c r="AH342" s="621"/>
      <c r="AI342" s="621"/>
      <c r="AJ342" s="621"/>
      <c r="AK342" s="621"/>
      <c r="AL342" s="621"/>
      <c r="AM342" s="621"/>
      <c r="AN342" s="621"/>
      <c r="AO342" s="621"/>
    </row>
    <row r="343" spans="1:41" s="618" customFormat="1" thickTop="1">
      <c r="A343" s="616"/>
      <c r="B343" s="616"/>
      <c r="C343" s="3"/>
      <c r="D343" s="3"/>
      <c r="E343" s="616"/>
      <c r="F343" s="616"/>
      <c r="G343" s="616"/>
      <c r="H343" s="616"/>
      <c r="I343" s="616"/>
      <c r="J343" s="616"/>
      <c r="K343" s="616" t="s">
        <v>489</v>
      </c>
      <c r="L343" s="616"/>
      <c r="M343" s="616"/>
      <c r="N343" s="616"/>
      <c r="O343" s="617"/>
      <c r="P343" s="616"/>
      <c r="Q343" s="616"/>
      <c r="R343" s="616"/>
      <c r="S343" s="616"/>
      <c r="T343" s="616"/>
    </row>
    <row r="344" spans="1:41" s="618" customFormat="1" ht="12">
      <c r="A344" s="616"/>
      <c r="B344" s="616"/>
      <c r="C344" s="616" t="s">
        <v>490</v>
      </c>
      <c r="D344" s="619"/>
      <c r="E344" s="616"/>
      <c r="F344" s="616"/>
      <c r="G344" s="616"/>
      <c r="H344" s="616"/>
      <c r="I344" s="616"/>
      <c r="J344" s="616"/>
      <c r="K344" s="616"/>
      <c r="L344" s="616"/>
      <c r="M344" s="616"/>
      <c r="N344" s="616"/>
      <c r="O344" s="617"/>
      <c r="P344" s="616"/>
      <c r="Q344" s="616"/>
      <c r="R344" s="616"/>
      <c r="S344" s="616"/>
      <c r="T344" s="616"/>
    </row>
    <row r="345" spans="1:41" s="618" customFormat="1" ht="12">
      <c r="A345" s="616"/>
      <c r="B345" s="616"/>
      <c r="C345" s="616"/>
      <c r="D345" s="619" t="s">
        <v>334</v>
      </c>
      <c r="E345" s="616"/>
      <c r="F345" s="616"/>
      <c r="G345" s="616"/>
      <c r="H345" s="616"/>
      <c r="I345" s="616"/>
      <c r="J345" s="616"/>
      <c r="K345" s="616"/>
      <c r="L345" s="616"/>
      <c r="M345" s="616"/>
      <c r="N345" s="616"/>
      <c r="O345" s="617"/>
      <c r="P345" s="616"/>
      <c r="Q345" s="616"/>
      <c r="R345" s="616"/>
      <c r="S345" s="620"/>
      <c r="T345" s="620"/>
    </row>
    <row r="346" spans="1:41" s="3" customFormat="1" thickBot="1">
      <c r="A346" s="621"/>
      <c r="O346" s="96"/>
    </row>
    <row r="347" spans="1:41" s="618" customFormat="1" ht="12" thickTop="1">
      <c r="A347" s="616"/>
      <c r="B347" s="622"/>
      <c r="C347" s="616"/>
      <c r="E347" s="37" t="s">
        <v>491</v>
      </c>
      <c r="F347" s="37" t="s">
        <v>492</v>
      </c>
      <c r="G347" s="616"/>
      <c r="H347" s="616"/>
      <c r="I347" s="616"/>
      <c r="J347" s="616"/>
      <c r="K347" s="616" t="s">
        <v>493</v>
      </c>
      <c r="L347" s="616"/>
      <c r="M347" s="616"/>
      <c r="N347" s="616"/>
      <c r="O347" s="617"/>
      <c r="P347" s="616"/>
      <c r="Q347" s="616"/>
      <c r="R347" s="616"/>
      <c r="S347" s="616"/>
      <c r="T347" s="622"/>
      <c r="AG347" s="623" t="s">
        <v>494</v>
      </c>
      <c r="AH347" s="623" t="s">
        <v>495</v>
      </c>
      <c r="AI347" s="623" t="s">
        <v>496</v>
      </c>
      <c r="AJ347" s="623" t="s">
        <v>497</v>
      </c>
      <c r="AK347" s="623" t="s">
        <v>498</v>
      </c>
      <c r="AM347" s="624" t="s">
        <v>499</v>
      </c>
      <c r="AN347" s="625" t="s">
        <v>500</v>
      </c>
      <c r="AO347" s="626" t="s">
        <v>501</v>
      </c>
    </row>
    <row r="348" spans="1:41" s="618" customFormat="1" ht="12" customHeight="1">
      <c r="A348" s="627">
        <v>1</v>
      </c>
      <c r="B348" s="628" t="s">
        <v>330</v>
      </c>
      <c r="C348" s="629"/>
      <c r="D348" s="630" t="s">
        <v>540</v>
      </c>
      <c r="E348" s="631">
        <f>IF(AND($A348=0,$A$1="DIF"),0, ROUND(ROUND(($R353*$S$2+($T353*$T$2))/A348,2)*$C$2,2))</f>
        <v>0</v>
      </c>
      <c r="F348" s="632">
        <f>ROUND($A348*$E348,2)</f>
        <v>0</v>
      </c>
      <c r="G348" s="88" t="s">
        <v>135</v>
      </c>
      <c r="H348" s="2"/>
      <c r="I348" s="633"/>
      <c r="J348" s="2"/>
      <c r="K348" s="2" t="s">
        <v>3</v>
      </c>
      <c r="L348" s="634" t="s">
        <v>136</v>
      </c>
      <c r="M348" s="634"/>
      <c r="N348" s="634"/>
      <c r="O348" s="634"/>
      <c r="P348" s="634"/>
      <c r="Q348" s="616" t="s">
        <v>256</v>
      </c>
      <c r="T348" s="635" t="str">
        <f>IF(AND($R353=0,$T353=0),"0.00","mu :" &amp; ROUND($F348/$C$2/($R353+$T353*$D$9),2))</f>
        <v>0.00</v>
      </c>
      <c r="W348" s="636"/>
      <c r="AG348" s="637">
        <f>IF($E348=0,0,ROUND($R353*$S$2*$C$2/$A348,2))</f>
        <v>0</v>
      </c>
      <c r="AH348" s="637">
        <f>$AG348*$A348</f>
        <v>0</v>
      </c>
      <c r="AI348" s="638">
        <f>$E348-$AG348</f>
        <v>0</v>
      </c>
      <c r="AJ348" s="638">
        <f>$A348*$AI348</f>
        <v>0</v>
      </c>
      <c r="AK348" s="639">
        <f>ROUND(($AG348+$AI348)*$A348,2)</f>
        <v>0</v>
      </c>
      <c r="AM348" s="640">
        <f>ROUND(R353,2)</f>
        <v>0</v>
      </c>
      <c r="AN348" s="641">
        <f>ROUND(T353,2)</f>
        <v>0</v>
      </c>
      <c r="AO348" s="642">
        <f>ROUND(AM348+AN348,2)*A348</f>
        <v>0</v>
      </c>
    </row>
    <row r="349" spans="1:41" s="618" customFormat="1" ht="24">
      <c r="A349" s="616"/>
      <c r="B349" s="616"/>
      <c r="C349" s="616"/>
      <c r="D349" s="744" t="s">
        <v>335</v>
      </c>
      <c r="E349" s="744"/>
      <c r="F349" s="744"/>
      <c r="G349" s="744"/>
      <c r="H349" s="744"/>
      <c r="I349" s="744"/>
      <c r="J349" s="744"/>
      <c r="K349" s="744" t="s">
        <v>502</v>
      </c>
      <c r="L349" s="744"/>
      <c r="M349" s="744"/>
      <c r="N349" s="744"/>
      <c r="O349" s="744"/>
      <c r="P349" s="744"/>
      <c r="Q349" s="744"/>
      <c r="R349" s="669"/>
      <c r="S349" s="669"/>
      <c r="T349" s="669"/>
    </row>
    <row r="350" spans="1:41" s="618" customFormat="1" ht="12">
      <c r="A350" s="616"/>
      <c r="B350" s="645"/>
      <c r="C350" s="645"/>
      <c r="D350" s="645"/>
      <c r="E350" s="645"/>
      <c r="F350" s="2"/>
      <c r="G350" s="645"/>
      <c r="H350" s="645"/>
      <c r="I350" s="646"/>
      <c r="J350" s="645"/>
      <c r="K350" s="645"/>
      <c r="L350" s="645"/>
      <c r="M350" s="645"/>
      <c r="N350" s="645"/>
      <c r="O350" s="645"/>
      <c r="P350" s="645"/>
      <c r="Q350" s="646"/>
      <c r="R350" s="647">
        <f t="shared" ref="R350:R352" si="88">$A350*Q350</f>
        <v>0</v>
      </c>
      <c r="S350" s="646"/>
      <c r="T350" s="648">
        <f t="shared" ref="T350:T352" si="89">$A350*S350*$T$1</f>
        <v>0</v>
      </c>
    </row>
    <row r="351" spans="1:41" s="618" customFormat="1" ht="12">
      <c r="A351" s="616"/>
      <c r="B351" s="645"/>
      <c r="C351" s="645"/>
      <c r="D351" s="616" t="s">
        <v>256</v>
      </c>
      <c r="E351" s="645"/>
      <c r="F351" s="2"/>
      <c r="G351" s="645"/>
      <c r="H351" s="645"/>
      <c r="I351" s="646"/>
      <c r="J351" s="645"/>
      <c r="K351" s="645"/>
      <c r="L351" s="645"/>
      <c r="M351" s="645"/>
      <c r="N351" s="645"/>
      <c r="O351" s="645"/>
      <c r="P351" s="645"/>
      <c r="Q351" s="646"/>
      <c r="R351" s="647">
        <f t="shared" si="88"/>
        <v>0</v>
      </c>
      <c r="S351" s="646"/>
      <c r="T351" s="648">
        <f t="shared" si="89"/>
        <v>0</v>
      </c>
    </row>
    <row r="352" spans="1:41" s="618" customFormat="1" ht="12">
      <c r="A352" s="645"/>
      <c r="B352" s="645"/>
      <c r="C352" s="645"/>
      <c r="D352" s="645"/>
      <c r="E352" s="645"/>
      <c r="F352" s="2"/>
      <c r="G352" s="645"/>
      <c r="H352" s="645"/>
      <c r="I352" s="646"/>
      <c r="J352" s="645"/>
      <c r="K352" s="645"/>
      <c r="L352" s="645"/>
      <c r="M352" s="645"/>
      <c r="N352" s="645"/>
      <c r="O352" s="645"/>
      <c r="P352" s="645"/>
      <c r="Q352" s="646"/>
      <c r="R352" s="647">
        <f t="shared" si="88"/>
        <v>0</v>
      </c>
      <c r="S352" s="646"/>
      <c r="T352" s="648">
        <f t="shared" si="89"/>
        <v>0</v>
      </c>
    </row>
    <row r="353" spans="1:41" s="618" customFormat="1" ht="12.6" thickBot="1">
      <c r="A353" s="649" t="s">
        <v>137</v>
      </c>
      <c r="B353" s="650">
        <f>(R352+T352)</f>
        <v>0</v>
      </c>
      <c r="C353" s="651"/>
      <c r="D353" s="651"/>
      <c r="E353" s="651"/>
      <c r="F353" s="652"/>
      <c r="G353" s="651" t="s">
        <v>503</v>
      </c>
      <c r="H353" s="651"/>
      <c r="I353" s="653"/>
      <c r="J353" s="651"/>
      <c r="K353" s="651" t="s">
        <v>3</v>
      </c>
      <c r="L353" s="654" t="s">
        <v>136</v>
      </c>
      <c r="M353" s="654"/>
      <c r="N353" s="654"/>
      <c r="O353" s="654"/>
      <c r="P353" s="654"/>
      <c r="Q353" s="655"/>
      <c r="R353" s="656">
        <f>SUM(R349:R352)</f>
        <v>0</v>
      </c>
      <c r="S353" s="651"/>
      <c r="T353" s="656">
        <f>SUM(T349:T352)</f>
        <v>0</v>
      </c>
      <c r="U353" s="621"/>
      <c r="V353" s="621"/>
      <c r="W353" s="621"/>
      <c r="X353" s="621"/>
      <c r="Y353" s="621"/>
      <c r="Z353" s="621"/>
      <c r="AA353" s="621"/>
      <c r="AB353" s="621"/>
      <c r="AC353" s="621"/>
      <c r="AD353" s="621"/>
      <c r="AE353" s="621"/>
      <c r="AF353" s="621"/>
      <c r="AG353" s="621"/>
      <c r="AH353" s="621"/>
      <c r="AI353" s="621"/>
      <c r="AJ353" s="621"/>
      <c r="AK353" s="621"/>
      <c r="AL353" s="621"/>
      <c r="AM353" s="621"/>
      <c r="AN353" s="621"/>
      <c r="AO353" s="621"/>
    </row>
    <row r="354" spans="1:41" s="618" customFormat="1" ht="12" thickTop="1">
      <c r="A354" s="616"/>
      <c r="B354" s="622"/>
      <c r="C354" s="616"/>
      <c r="E354" s="37" t="s">
        <v>491</v>
      </c>
      <c r="F354" s="37" t="s">
        <v>492</v>
      </c>
      <c r="G354" s="616"/>
      <c r="H354" s="616"/>
      <c r="I354" s="616"/>
      <c r="J354" s="616"/>
      <c r="K354" s="616" t="s">
        <v>493</v>
      </c>
      <c r="L354" s="616"/>
      <c r="M354" s="616"/>
      <c r="N354" s="616"/>
      <c r="O354" s="617"/>
      <c r="P354" s="616"/>
      <c r="Q354" s="616"/>
      <c r="R354" s="616"/>
      <c r="S354" s="616"/>
      <c r="T354" s="622"/>
      <c r="AG354" s="623" t="s">
        <v>494</v>
      </c>
      <c r="AH354" s="623" t="s">
        <v>495</v>
      </c>
      <c r="AI354" s="623" t="s">
        <v>496</v>
      </c>
      <c r="AJ354" s="623" t="s">
        <v>497</v>
      </c>
      <c r="AK354" s="623" t="s">
        <v>498</v>
      </c>
      <c r="AM354" s="624" t="s">
        <v>499</v>
      </c>
      <c r="AN354" s="625" t="s">
        <v>500</v>
      </c>
      <c r="AO354" s="626" t="s">
        <v>501</v>
      </c>
    </row>
    <row r="355" spans="1:41" s="618" customFormat="1" ht="12" customHeight="1">
      <c r="A355" s="627">
        <v>1</v>
      </c>
      <c r="B355" s="628" t="s">
        <v>330</v>
      </c>
      <c r="C355" s="629"/>
      <c r="D355" s="630" t="s">
        <v>541</v>
      </c>
      <c r="E355" s="631">
        <f>IF(AND($A355=0,$A$1="DIF"),0, ROUND(ROUND(($R359*$S$2+($T359*$T$2))/A355,2)*$C$2,2))</f>
        <v>48.73</v>
      </c>
      <c r="F355" s="632">
        <f>ROUND($A355*$E355,2)</f>
        <v>48.73</v>
      </c>
      <c r="G355" s="88" t="s">
        <v>135</v>
      </c>
      <c r="H355" s="2"/>
      <c r="I355" s="633"/>
      <c r="J355" s="2"/>
      <c r="K355" s="2" t="s">
        <v>3</v>
      </c>
      <c r="L355" s="634" t="s">
        <v>136</v>
      </c>
      <c r="M355" s="634"/>
      <c r="N355" s="634"/>
      <c r="O355" s="634"/>
      <c r="P355" s="634"/>
      <c r="Q355" s="616"/>
      <c r="T355" s="635" t="str">
        <f>IF(AND($R359=0,$T359=0),"0.00","mu :" &amp; ROUND($F355/$C$2/($R359+$T359*$D$9),2))</f>
        <v>mu :1</v>
      </c>
      <c r="W355" s="636"/>
      <c r="AG355" s="637">
        <f>IF($E355=0,0,ROUND($R359*$S$2*$C$2/$A355,2))</f>
        <v>0</v>
      </c>
      <c r="AH355" s="637">
        <f>$AG355*$A355</f>
        <v>0</v>
      </c>
      <c r="AI355" s="638">
        <f>$E355-$AG355</f>
        <v>48.73</v>
      </c>
      <c r="AJ355" s="638">
        <f>$A355*$AI355</f>
        <v>48.73</v>
      </c>
      <c r="AK355" s="639">
        <f>ROUND(($AG355+$AI355)*$A355,2)</f>
        <v>48.73</v>
      </c>
      <c r="AM355" s="640">
        <f>ROUND(R359,2)</f>
        <v>0</v>
      </c>
      <c r="AN355" s="641">
        <f>ROUND(T359,2)</f>
        <v>1.69</v>
      </c>
      <c r="AO355" s="642">
        <f>ROUND(AM355+AN355,2)*A355</f>
        <v>1.69</v>
      </c>
    </row>
    <row r="356" spans="1:41" s="618" customFormat="1" ht="13.2">
      <c r="A356" s="629"/>
      <c r="B356"/>
      <c r="C356" s="629"/>
      <c r="D356" s="630" t="s">
        <v>336</v>
      </c>
      <c r="F356" s="2"/>
      <c r="G356" s="3"/>
      <c r="H356" s="2"/>
      <c r="I356" s="633"/>
      <c r="J356" s="2"/>
      <c r="K356" s="2" t="s">
        <v>502</v>
      </c>
      <c r="L356" s="2"/>
      <c r="M356" s="2"/>
      <c r="N356" s="2"/>
      <c r="O356" s="2"/>
      <c r="P356" s="2"/>
      <c r="Q356" s="616"/>
      <c r="R356" s="643"/>
      <c r="S356" s="644"/>
      <c r="T356" s="2"/>
    </row>
    <row r="357" spans="1:41" s="783" customFormat="1" ht="13.2">
      <c r="A357" s="105">
        <v>1</v>
      </c>
      <c r="B357" s="783" t="s">
        <v>255</v>
      </c>
      <c r="D357" s="783" t="s">
        <v>690</v>
      </c>
      <c r="G357" s="784" t="s">
        <v>691</v>
      </c>
      <c r="H357" s="785">
        <v>902</v>
      </c>
      <c r="I357" s="783" t="s">
        <v>692</v>
      </c>
      <c r="O357" s="786">
        <v>3</v>
      </c>
      <c r="P357" s="787">
        <v>38317</v>
      </c>
      <c r="Q357" s="788">
        <v>0</v>
      </c>
      <c r="R357" s="789">
        <f>$A357*Q357</f>
        <v>0</v>
      </c>
      <c r="S357" s="788">
        <f>0.845 *(2)</f>
        <v>1.69</v>
      </c>
      <c r="T357" s="790">
        <f>$A357*S357*$T$1</f>
        <v>1.69</v>
      </c>
    </row>
    <row r="358" spans="1:41" s="618" customFormat="1" ht="12">
      <c r="A358" s="645"/>
      <c r="B358" s="645"/>
      <c r="C358" s="645"/>
      <c r="D358" s="645"/>
      <c r="E358" s="645"/>
      <c r="F358" s="2"/>
      <c r="G358" s="645"/>
      <c r="H358" s="645"/>
      <c r="I358" s="646"/>
      <c r="J358" s="645"/>
      <c r="K358" s="645"/>
      <c r="L358" s="645"/>
      <c r="M358" s="645"/>
      <c r="N358" s="645"/>
      <c r="O358" s="645"/>
      <c r="P358" s="645"/>
      <c r="Q358" s="646"/>
      <c r="R358" s="647">
        <f t="shared" ref="R358" si="90">$A358*Q358</f>
        <v>0</v>
      </c>
      <c r="S358" s="646"/>
      <c r="T358" s="648">
        <f t="shared" ref="T358" si="91">$A358*S358*$T$1</f>
        <v>0</v>
      </c>
    </row>
    <row r="359" spans="1:41" s="618" customFormat="1" ht="12.6" thickBot="1">
      <c r="A359" s="649" t="s">
        <v>137</v>
      </c>
      <c r="B359" s="650">
        <f>(R358+T358)</f>
        <v>0</v>
      </c>
      <c r="C359" s="651"/>
      <c r="D359" s="651"/>
      <c r="E359" s="651"/>
      <c r="F359" s="652"/>
      <c r="G359" s="651" t="s">
        <v>503</v>
      </c>
      <c r="H359" s="651"/>
      <c r="I359" s="653"/>
      <c r="J359" s="651"/>
      <c r="K359" s="651" t="s">
        <v>3</v>
      </c>
      <c r="L359" s="654" t="s">
        <v>136</v>
      </c>
      <c r="M359" s="654"/>
      <c r="N359" s="654"/>
      <c r="O359" s="654"/>
      <c r="P359" s="654"/>
      <c r="Q359" s="655"/>
      <c r="R359" s="656">
        <f>SUM(R356:R358)</f>
        <v>0</v>
      </c>
      <c r="S359" s="651"/>
      <c r="T359" s="656">
        <f>SUM(T356:T358)</f>
        <v>1.69</v>
      </c>
      <c r="U359" s="621"/>
      <c r="V359" s="621"/>
      <c r="W359" s="621"/>
      <c r="X359" s="621"/>
      <c r="Y359" s="621"/>
      <c r="Z359" s="621"/>
      <c r="AA359" s="621"/>
      <c r="AB359" s="621"/>
      <c r="AC359" s="621"/>
      <c r="AD359" s="621"/>
      <c r="AE359" s="621"/>
      <c r="AF359" s="621"/>
      <c r="AG359" s="621"/>
      <c r="AH359" s="621"/>
      <c r="AI359" s="621"/>
      <c r="AJ359" s="621"/>
      <c r="AK359" s="621"/>
      <c r="AL359" s="621"/>
      <c r="AM359" s="621"/>
      <c r="AN359" s="621"/>
      <c r="AO359" s="621"/>
    </row>
    <row r="360" spans="1:41" s="618" customFormat="1" ht="12" thickTop="1">
      <c r="A360" s="43" t="s">
        <v>542</v>
      </c>
      <c r="D360" s="13"/>
      <c r="E360" s="37"/>
      <c r="O360" s="657"/>
    </row>
    <row r="361" spans="1:41" s="618" customFormat="1" ht="13.2">
      <c r="B361" s="3"/>
      <c r="O361" s="657"/>
    </row>
    <row r="362" spans="1:41" s="618" customFormat="1" ht="12">
      <c r="B362" s="658">
        <f ca="1">$F362/$C$2-($R362*$S$2+$T362*$T$2)</f>
        <v>1.8664374998024869E-2</v>
      </c>
      <c r="D362" s="659" t="s">
        <v>597</v>
      </c>
      <c r="E362" s="660"/>
      <c r="F362" s="661">
        <f ca="1">SUMIF($L14:$L360,"ITEM",F14:F360)</f>
        <v>3784.679999999998</v>
      </c>
      <c r="G362" s="645"/>
      <c r="H362" s="645"/>
      <c r="I362" s="646"/>
      <c r="J362" s="645"/>
      <c r="K362" s="645"/>
      <c r="L362" s="634" t="s">
        <v>543</v>
      </c>
      <c r="M362" s="634"/>
      <c r="N362" s="634"/>
      <c r="O362" s="634"/>
      <c r="P362" s="634"/>
      <c r="R362" s="661">
        <f ca="1">SUMIF($L14:$L360,"ITEM",R14:R360)</f>
        <v>1623.4657999999997</v>
      </c>
      <c r="S362" s="662"/>
      <c r="T362" s="661">
        <f ca="1">SUMIF($L14:$L360,"ITEM",T14:T360)</f>
        <v>74.955625000000012</v>
      </c>
    </row>
    <row r="363" spans="1:41" s="618" customFormat="1" ht="13.2">
      <c r="A363" s="616"/>
      <c r="B363" s="663" t="s">
        <v>544</v>
      </c>
      <c r="C363" s="616"/>
      <c r="D363" s="3"/>
      <c r="F363" s="664" t="s">
        <v>545</v>
      </c>
      <c r="G363" s="645"/>
      <c r="H363" s="645"/>
      <c r="I363" s="646"/>
      <c r="J363" s="645"/>
      <c r="K363" s="645"/>
      <c r="L363" s="645"/>
      <c r="M363" s="645"/>
      <c r="N363" s="645"/>
      <c r="O363" s="645"/>
      <c r="P363" s="645"/>
      <c r="Q363" s="665"/>
      <c r="R363" s="664" t="s">
        <v>546</v>
      </c>
      <c r="S363" s="620"/>
      <c r="T363" s="664" t="s">
        <v>547</v>
      </c>
    </row>
    <row r="364" spans="1:41" s="618" customFormat="1" ht="13.2">
      <c r="A364" s="645"/>
      <c r="B364" s="3"/>
      <c r="C364" s="645"/>
      <c r="D364" s="3"/>
      <c r="E364" s="3"/>
      <c r="G364" s="3"/>
      <c r="H364" s="3"/>
      <c r="I364" s="3"/>
      <c r="J364" s="3"/>
      <c r="K364" s="3"/>
      <c r="L364" s="3"/>
      <c r="M364" s="3"/>
      <c r="N364" s="3"/>
      <c r="O364" s="96"/>
      <c r="P364" s="3"/>
      <c r="Q364" s="3"/>
      <c r="R364" s="3"/>
      <c r="S364" s="3"/>
      <c r="T364" s="3"/>
    </row>
    <row r="365" spans="1:41" s="618" customFormat="1" ht="12" thickBot="1">
      <c r="A365" s="621"/>
      <c r="B365" s="651"/>
      <c r="C365" s="651"/>
      <c r="D365" s="621"/>
      <c r="E365" s="666"/>
      <c r="F365" s="667"/>
      <c r="G365" s="651"/>
      <c r="H365" s="651"/>
      <c r="I365" s="653"/>
      <c r="J365" s="651"/>
      <c r="K365" s="651"/>
      <c r="L365" s="654"/>
      <c r="M365" s="654"/>
      <c r="N365" s="654"/>
      <c r="O365" s="654"/>
      <c r="P365" s="654"/>
      <c r="Q365" s="655"/>
      <c r="R365" s="667"/>
      <c r="S365" s="668"/>
      <c r="T365" s="667"/>
      <c r="U365" s="621"/>
      <c r="V365" s="621"/>
      <c r="W365" s="621"/>
      <c r="X365" s="621"/>
      <c r="Y365" s="621"/>
      <c r="Z365" s="621"/>
      <c r="AA365" s="621"/>
      <c r="AB365" s="621"/>
      <c r="AC365" s="621"/>
      <c r="AD365" s="621"/>
      <c r="AE365" s="621"/>
      <c r="AF365" s="621"/>
      <c r="AG365" s="621"/>
      <c r="AH365" s="621"/>
      <c r="AI365" s="621"/>
      <c r="AJ365" s="621"/>
      <c r="AK365" s="621"/>
    </row>
    <row r="366" spans="1:41" s="618" customFormat="1" thickTop="1">
      <c r="A366" s="736"/>
      <c r="B366" s="736"/>
      <c r="C366" s="737"/>
      <c r="D366" s="737"/>
      <c r="E366" s="736"/>
      <c r="F366" s="736"/>
      <c r="G366" s="736"/>
      <c r="H366" s="736"/>
      <c r="I366" s="736"/>
      <c r="J366" s="736"/>
      <c r="K366" s="736" t="s">
        <v>489</v>
      </c>
      <c r="L366" s="736"/>
      <c r="M366" s="736"/>
      <c r="N366" s="736"/>
      <c r="O366" s="738"/>
      <c r="P366" s="736"/>
      <c r="Q366" s="736"/>
      <c r="R366" s="736"/>
      <c r="S366" s="736"/>
      <c r="T366" s="736"/>
    </row>
    <row r="367" spans="1:41" s="618" customFormat="1" ht="12">
      <c r="A367" s="736"/>
      <c r="B367" s="736"/>
      <c r="C367" s="736" t="s">
        <v>490</v>
      </c>
      <c r="D367" s="739"/>
      <c r="E367" s="736"/>
      <c r="F367" s="736"/>
      <c r="G367" s="736"/>
      <c r="H367" s="736"/>
      <c r="I367" s="736"/>
      <c r="J367" s="736"/>
      <c r="K367" s="736"/>
      <c r="L367" s="736"/>
      <c r="M367" s="736"/>
      <c r="N367" s="736"/>
      <c r="O367" s="738"/>
      <c r="P367" s="736"/>
      <c r="Q367" s="736"/>
      <c r="R367" s="736"/>
      <c r="S367" s="736"/>
      <c r="T367" s="736"/>
    </row>
    <row r="368" spans="1:41" s="618" customFormat="1" ht="12">
      <c r="A368" s="736"/>
      <c r="B368" s="736"/>
      <c r="C368" s="736"/>
      <c r="D368" s="739" t="s">
        <v>338</v>
      </c>
      <c r="E368" s="736"/>
      <c r="F368" s="736"/>
      <c r="G368" s="736"/>
      <c r="H368" s="736"/>
      <c r="I368" s="736"/>
      <c r="J368" s="736"/>
      <c r="K368" s="736"/>
      <c r="L368" s="736"/>
      <c r="M368" s="736"/>
      <c r="N368" s="736"/>
      <c r="O368" s="738"/>
      <c r="P368" s="736"/>
      <c r="Q368" s="736"/>
      <c r="R368" s="736"/>
      <c r="S368" s="740"/>
      <c r="T368" s="740"/>
    </row>
    <row r="369" spans="1:41" s="3" customFormat="1" thickBot="1">
      <c r="A369" s="741"/>
      <c r="B369" s="737"/>
      <c r="C369" s="737"/>
      <c r="D369" s="737"/>
      <c r="E369" s="737"/>
      <c r="F369" s="737"/>
      <c r="G369" s="737"/>
      <c r="H369" s="737"/>
      <c r="I369" s="737"/>
      <c r="J369" s="737"/>
      <c r="K369" s="737"/>
      <c r="L369" s="737"/>
      <c r="M369" s="737"/>
      <c r="N369" s="737"/>
      <c r="O369" s="742"/>
      <c r="P369" s="737"/>
      <c r="Q369" s="737"/>
      <c r="R369" s="737"/>
      <c r="S369" s="737"/>
      <c r="T369" s="737"/>
    </row>
    <row r="370" spans="1:41" s="618" customFormat="1" ht="12" thickTop="1">
      <c r="A370" s="616"/>
      <c r="B370" s="622"/>
      <c r="C370" s="616"/>
      <c r="E370" s="37" t="s">
        <v>491</v>
      </c>
      <c r="F370" s="37" t="s">
        <v>492</v>
      </c>
      <c r="G370" s="616"/>
      <c r="H370" s="616"/>
      <c r="I370" s="616"/>
      <c r="J370" s="616"/>
      <c r="K370" s="616" t="s">
        <v>493</v>
      </c>
      <c r="L370" s="616"/>
      <c r="M370" s="616"/>
      <c r="N370" s="616"/>
      <c r="O370" s="617"/>
      <c r="P370" s="616"/>
      <c r="Q370" s="616"/>
      <c r="R370" s="616"/>
      <c r="S370" s="616"/>
      <c r="T370" s="622"/>
      <c r="AG370" s="623" t="s">
        <v>494</v>
      </c>
      <c r="AH370" s="623" t="s">
        <v>495</v>
      </c>
      <c r="AI370" s="623" t="s">
        <v>496</v>
      </c>
      <c r="AJ370" s="623" t="s">
        <v>497</v>
      </c>
      <c r="AK370" s="623" t="s">
        <v>498</v>
      </c>
      <c r="AM370" s="624" t="s">
        <v>499</v>
      </c>
      <c r="AN370" s="625" t="s">
        <v>500</v>
      </c>
      <c r="AO370" s="626" t="s">
        <v>501</v>
      </c>
    </row>
    <row r="371" spans="1:41" s="618" customFormat="1" ht="12" customHeight="1">
      <c r="A371" s="627">
        <v>1</v>
      </c>
      <c r="B371" s="628" t="s">
        <v>255</v>
      </c>
      <c r="C371" s="629"/>
      <c r="D371" s="630" t="s">
        <v>548</v>
      </c>
      <c r="E371" s="631">
        <f>IF(AND($A371=0,$A$1="DIF"),0, ROUND(ROUND(($R376*$S$2+($T376*$T$2))/A371,2)*$C$2,2))</f>
        <v>0</v>
      </c>
      <c r="F371" s="632">
        <f>ROUND($A371*$E371,2)</f>
        <v>0</v>
      </c>
      <c r="G371" s="88" t="s">
        <v>135</v>
      </c>
      <c r="H371" s="2"/>
      <c r="I371" s="633"/>
      <c r="J371" s="2"/>
      <c r="K371" s="2" t="s">
        <v>3</v>
      </c>
      <c r="L371" s="634" t="s">
        <v>136</v>
      </c>
      <c r="M371" s="634"/>
      <c r="N371" s="634"/>
      <c r="O371" s="634"/>
      <c r="P371" s="634"/>
      <c r="Q371" s="616" t="s">
        <v>256</v>
      </c>
      <c r="T371" s="635" t="str">
        <f>IF(AND($R376=0,$T376=0),"0.00","mu :" &amp; ROUND($F371/$C$2/($R376+$T376*$D$9),2))</f>
        <v>0.00</v>
      </c>
      <c r="W371" s="636"/>
      <c r="AG371" s="637">
        <f>IF($E371=0,0,ROUND($R376*$S$2*$C$2/$A371,2))</f>
        <v>0</v>
      </c>
      <c r="AH371" s="637">
        <f>$AG371*$A371</f>
        <v>0</v>
      </c>
      <c r="AI371" s="638">
        <f>$E371-$AG371</f>
        <v>0</v>
      </c>
      <c r="AJ371" s="638">
        <f>$A371*$AI371</f>
        <v>0</v>
      </c>
      <c r="AK371" s="639">
        <f>ROUND(($AG371+$AI371)*$A371,2)</f>
        <v>0</v>
      </c>
      <c r="AM371" s="640">
        <f>ROUND(R376,2)</f>
        <v>0</v>
      </c>
      <c r="AN371" s="641">
        <f>ROUND(T376,2)</f>
        <v>0</v>
      </c>
      <c r="AO371" s="642">
        <f>ROUND(AM371+AN371,2)*A371</f>
        <v>0</v>
      </c>
    </row>
    <row r="372" spans="1:41" s="618" customFormat="1" ht="13.2">
      <c r="A372" s="629"/>
      <c r="B372"/>
      <c r="C372" s="629"/>
      <c r="D372" s="630" t="s">
        <v>279</v>
      </c>
      <c r="F372" s="2"/>
      <c r="G372" s="3"/>
      <c r="H372" s="2"/>
      <c r="I372" s="633"/>
      <c r="J372" s="2"/>
      <c r="K372" s="2" t="s">
        <v>502</v>
      </c>
      <c r="L372" s="2"/>
      <c r="M372" s="2"/>
      <c r="N372" s="2"/>
      <c r="O372" s="2"/>
      <c r="P372" s="2"/>
      <c r="Q372" s="616"/>
      <c r="R372" s="643"/>
      <c r="S372" s="644"/>
      <c r="T372" s="2"/>
    </row>
    <row r="373" spans="1:41" s="618" customFormat="1" ht="12">
      <c r="A373" s="616"/>
      <c r="B373" s="645"/>
      <c r="C373" s="645"/>
      <c r="D373" s="645"/>
      <c r="E373" s="645"/>
      <c r="F373" s="2"/>
      <c r="G373" s="645"/>
      <c r="H373" s="645"/>
      <c r="I373" s="646"/>
      <c r="J373" s="645"/>
      <c r="K373" s="645"/>
      <c r="L373" s="645"/>
      <c r="M373" s="645"/>
      <c r="N373" s="645"/>
      <c r="O373" s="645"/>
      <c r="P373" s="645"/>
      <c r="Q373" s="646"/>
      <c r="R373" s="647">
        <f t="shared" ref="R373:R375" si="92">$A373*Q373</f>
        <v>0</v>
      </c>
      <c r="S373" s="646"/>
      <c r="T373" s="648">
        <f t="shared" ref="T373:T375" si="93">$A373*S373*$T$1</f>
        <v>0</v>
      </c>
    </row>
    <row r="374" spans="1:41" s="618" customFormat="1" ht="12">
      <c r="A374" s="616"/>
      <c r="B374" s="645"/>
      <c r="C374" s="645"/>
      <c r="D374" s="645" t="s">
        <v>256</v>
      </c>
      <c r="E374" s="645"/>
      <c r="F374" s="2"/>
      <c r="G374" s="645"/>
      <c r="H374" s="645"/>
      <c r="I374" s="646"/>
      <c r="J374" s="645"/>
      <c r="K374" s="645"/>
      <c r="L374" s="645"/>
      <c r="M374" s="645"/>
      <c r="N374" s="645"/>
      <c r="O374" s="645"/>
      <c r="P374" s="645"/>
      <c r="Q374" s="646"/>
      <c r="R374" s="647">
        <f t="shared" si="92"/>
        <v>0</v>
      </c>
      <c r="S374" s="646"/>
      <c r="T374" s="648">
        <f t="shared" si="93"/>
        <v>0</v>
      </c>
    </row>
    <row r="375" spans="1:41" s="618" customFormat="1" ht="12">
      <c r="A375" s="645"/>
      <c r="B375" s="645"/>
      <c r="C375" s="645"/>
      <c r="D375" s="645"/>
      <c r="E375" s="645"/>
      <c r="F375" s="2"/>
      <c r="G375" s="645"/>
      <c r="H375" s="645"/>
      <c r="I375" s="646"/>
      <c r="J375" s="645"/>
      <c r="K375" s="645"/>
      <c r="L375" s="645"/>
      <c r="M375" s="645"/>
      <c r="N375" s="645"/>
      <c r="O375" s="645"/>
      <c r="P375" s="645"/>
      <c r="Q375" s="646"/>
      <c r="R375" s="647">
        <f t="shared" si="92"/>
        <v>0</v>
      </c>
      <c r="S375" s="646"/>
      <c r="T375" s="648">
        <f t="shared" si="93"/>
        <v>0</v>
      </c>
    </row>
    <row r="376" spans="1:41" s="618" customFormat="1" ht="12.6" thickBot="1">
      <c r="A376" s="649" t="s">
        <v>137</v>
      </c>
      <c r="B376" s="650">
        <f>(R375+T375)</f>
        <v>0</v>
      </c>
      <c r="C376" s="651"/>
      <c r="D376" s="651"/>
      <c r="E376" s="651"/>
      <c r="F376" s="652"/>
      <c r="G376" s="651" t="s">
        <v>503</v>
      </c>
      <c r="H376" s="651"/>
      <c r="I376" s="653"/>
      <c r="J376" s="651"/>
      <c r="K376" s="651" t="s">
        <v>3</v>
      </c>
      <c r="L376" s="654" t="s">
        <v>136</v>
      </c>
      <c r="M376" s="654"/>
      <c r="N376" s="654"/>
      <c r="O376" s="654"/>
      <c r="P376" s="654"/>
      <c r="Q376" s="655"/>
      <c r="R376" s="656">
        <f>SUM(R372:R375)</f>
        <v>0</v>
      </c>
      <c r="S376" s="651"/>
      <c r="T376" s="656">
        <f>SUM(T372:T375)</f>
        <v>0</v>
      </c>
      <c r="U376" s="621"/>
      <c r="V376" s="621"/>
      <c r="W376" s="621"/>
      <c r="X376" s="621"/>
      <c r="Y376" s="621"/>
      <c r="Z376" s="621"/>
      <c r="AA376" s="621"/>
      <c r="AB376" s="621"/>
      <c r="AC376" s="621"/>
      <c r="AD376" s="621"/>
      <c r="AE376" s="621"/>
      <c r="AF376" s="621"/>
      <c r="AG376" s="621"/>
      <c r="AH376" s="621"/>
      <c r="AI376" s="621"/>
      <c r="AJ376" s="621"/>
      <c r="AK376" s="621"/>
      <c r="AL376" s="621"/>
      <c r="AM376" s="621"/>
      <c r="AN376" s="621"/>
      <c r="AO376" s="621"/>
    </row>
    <row r="377" spans="1:41" s="618" customFormat="1" thickTop="1">
      <c r="A377" s="616"/>
      <c r="B377" s="616"/>
      <c r="C377" s="3"/>
      <c r="D377" s="3"/>
      <c r="E377" s="616"/>
      <c r="F377" s="616"/>
      <c r="G377" s="616"/>
      <c r="H377" s="616"/>
      <c r="I377" s="616"/>
      <c r="J377" s="616"/>
      <c r="K377" s="616" t="s">
        <v>489</v>
      </c>
      <c r="L377" s="616"/>
      <c r="M377" s="616"/>
      <c r="N377" s="616"/>
      <c r="O377" s="617"/>
      <c r="P377" s="616"/>
      <c r="Q377" s="616"/>
      <c r="R377" s="616"/>
      <c r="S377" s="616"/>
      <c r="T377" s="616"/>
    </row>
    <row r="378" spans="1:41" s="618" customFormat="1" ht="12">
      <c r="A378" s="616"/>
      <c r="B378" s="616"/>
      <c r="C378" s="616" t="s">
        <v>490</v>
      </c>
      <c r="D378" s="619"/>
      <c r="E378" s="616"/>
      <c r="F378" s="616"/>
      <c r="G378" s="616"/>
      <c r="H378" s="616"/>
      <c r="I378" s="616"/>
      <c r="J378" s="616"/>
      <c r="K378" s="616"/>
      <c r="L378" s="616"/>
      <c r="M378" s="616"/>
      <c r="N378" s="616"/>
      <c r="O378" s="617"/>
      <c r="P378" s="616"/>
      <c r="Q378" s="616"/>
      <c r="R378" s="616"/>
      <c r="S378" s="616"/>
      <c r="T378" s="616"/>
    </row>
    <row r="379" spans="1:41" s="618" customFormat="1" ht="36">
      <c r="A379" s="616"/>
      <c r="B379" s="616"/>
      <c r="C379" s="616"/>
      <c r="D379" s="744" t="s">
        <v>339</v>
      </c>
      <c r="E379" s="744"/>
      <c r="F379" s="744"/>
      <c r="G379" s="744"/>
      <c r="H379" s="744"/>
      <c r="I379" s="744"/>
      <c r="J379" s="744"/>
      <c r="K379" s="744"/>
      <c r="L379" s="744"/>
      <c r="M379" s="744"/>
      <c r="N379" s="744"/>
      <c r="O379" s="744"/>
      <c r="P379" s="744"/>
      <c r="Q379" s="744"/>
      <c r="R379" s="669"/>
      <c r="S379" s="669"/>
      <c r="T379" s="669"/>
    </row>
    <row r="380" spans="1:41" s="3" customFormat="1" thickBot="1">
      <c r="A380" s="621"/>
      <c r="O380" s="96"/>
    </row>
    <row r="381" spans="1:41" s="618" customFormat="1" ht="12" thickTop="1">
      <c r="A381" s="616"/>
      <c r="B381" s="622"/>
      <c r="C381" s="616"/>
      <c r="E381" s="37" t="s">
        <v>491</v>
      </c>
      <c r="F381" s="37" t="s">
        <v>492</v>
      </c>
      <c r="G381" s="616"/>
      <c r="H381" s="616"/>
      <c r="I381" s="616"/>
      <c r="J381" s="616"/>
      <c r="K381" s="616" t="s">
        <v>493</v>
      </c>
      <c r="L381" s="616"/>
      <c r="M381" s="616"/>
      <c r="N381" s="616"/>
      <c r="O381" s="617"/>
      <c r="P381" s="616"/>
      <c r="Q381" s="616"/>
      <c r="R381" s="616"/>
      <c r="S381" s="616"/>
      <c r="T381" s="622"/>
      <c r="AG381" s="623" t="s">
        <v>494</v>
      </c>
      <c r="AH381" s="623" t="s">
        <v>495</v>
      </c>
      <c r="AI381" s="623" t="s">
        <v>496</v>
      </c>
      <c r="AJ381" s="623" t="s">
        <v>497</v>
      </c>
      <c r="AK381" s="623" t="s">
        <v>498</v>
      </c>
      <c r="AM381" s="624" t="s">
        <v>499</v>
      </c>
      <c r="AN381" s="625" t="s">
        <v>500</v>
      </c>
      <c r="AO381" s="626" t="s">
        <v>501</v>
      </c>
    </row>
    <row r="382" spans="1:41" s="618" customFormat="1" ht="12" customHeight="1">
      <c r="A382" s="627">
        <v>6</v>
      </c>
      <c r="B382" s="628" t="s">
        <v>294</v>
      </c>
      <c r="C382" s="629"/>
      <c r="D382" s="630" t="s">
        <v>549</v>
      </c>
      <c r="E382" s="631">
        <f>IF(AND($A382=0,$A$1="DIF"),0, ROUND(ROUND(($R386*$S$2+($T386*$T$2))/A382,2)*$C$2,2))</f>
        <v>28.78</v>
      </c>
      <c r="F382" s="632">
        <f>ROUND($A382*$E382,2)</f>
        <v>172.68</v>
      </c>
      <c r="G382" s="88" t="s">
        <v>135</v>
      </c>
      <c r="H382" s="2"/>
      <c r="I382" s="633"/>
      <c r="J382" s="2"/>
      <c r="K382" s="2" t="s">
        <v>3</v>
      </c>
      <c r="L382" s="634" t="s">
        <v>136</v>
      </c>
      <c r="M382" s="634"/>
      <c r="N382" s="634"/>
      <c r="O382" s="634"/>
      <c r="P382" s="634"/>
      <c r="Q382" s="616"/>
      <c r="T382" s="635" t="str">
        <f>IF(AND($R386=0,$T386=0),"0.00","mu :" &amp; ROUND($F382/$C$2/($R386+$T386*$D$9),2))</f>
        <v>mu :1</v>
      </c>
      <c r="W382" s="636"/>
      <c r="AG382" s="637">
        <f>IF($E382=0,0,ROUND($R386*$S$2*$C$2/$A382,2))</f>
        <v>5.03</v>
      </c>
      <c r="AH382" s="637">
        <f>$AG382*$A382</f>
        <v>30.18</v>
      </c>
      <c r="AI382" s="638">
        <f>$E382-$AG382</f>
        <v>23.75</v>
      </c>
      <c r="AJ382" s="638">
        <f>$A382*$AI382</f>
        <v>142.5</v>
      </c>
      <c r="AK382" s="639">
        <f>ROUND(($AG382+$AI382)*$A382,2)</f>
        <v>172.68</v>
      </c>
      <c r="AM382" s="640">
        <f>ROUND(R386,2)</f>
        <v>30.15</v>
      </c>
      <c r="AN382" s="641">
        <f>ROUND(T386,2)</f>
        <v>4.9400000000000004</v>
      </c>
      <c r="AO382" s="642">
        <f>ROUND(AM382+AN382,2)*A382</f>
        <v>210.54000000000002</v>
      </c>
    </row>
    <row r="383" spans="1:41" s="618" customFormat="1" ht="13.2">
      <c r="A383" s="629"/>
      <c r="B383"/>
      <c r="C383" s="629"/>
      <c r="D383" s="630" t="s">
        <v>340</v>
      </c>
      <c r="F383" s="2"/>
      <c r="G383" s="3"/>
      <c r="H383" s="2"/>
      <c r="I383" s="633"/>
      <c r="J383" s="2"/>
      <c r="K383" s="2" t="s">
        <v>502</v>
      </c>
      <c r="L383" s="2"/>
      <c r="M383" s="2"/>
      <c r="N383" s="2"/>
      <c r="O383" s="2"/>
      <c r="P383" s="2"/>
      <c r="Q383" s="616"/>
      <c r="R383" s="643"/>
      <c r="S383" s="644"/>
      <c r="T383" s="2"/>
    </row>
    <row r="384" spans="1:41" s="783" customFormat="1" ht="11.4">
      <c r="A384" s="616">
        <v>45</v>
      </c>
      <c r="B384" s="783" t="s">
        <v>284</v>
      </c>
      <c r="D384" s="783" t="s">
        <v>621</v>
      </c>
      <c r="G384" s="784" t="s">
        <v>622</v>
      </c>
      <c r="H384" s="785">
        <v>700</v>
      </c>
      <c r="I384" s="783" t="s">
        <v>623</v>
      </c>
      <c r="J384" s="783" t="s">
        <v>624</v>
      </c>
      <c r="O384" s="786">
        <v>1</v>
      </c>
      <c r="P384" s="787">
        <v>42213</v>
      </c>
      <c r="Q384" s="788">
        <v>0.67</v>
      </c>
      <c r="R384" s="789">
        <f>$A384*Q384</f>
        <v>30.150000000000002</v>
      </c>
      <c r="S384" s="788">
        <f>0.845 *(0.13)</f>
        <v>0.10985</v>
      </c>
      <c r="T384" s="790">
        <f>$A384*S384*$T$1</f>
        <v>4.9432499999999999</v>
      </c>
    </row>
    <row r="385" spans="1:41" s="618" customFormat="1" ht="12">
      <c r="A385" s="645"/>
      <c r="B385" s="645"/>
      <c r="C385" s="645"/>
      <c r="D385" s="645"/>
      <c r="E385" s="645"/>
      <c r="F385" s="2"/>
      <c r="G385" s="645"/>
      <c r="H385" s="645"/>
      <c r="I385" s="646"/>
      <c r="J385" s="645"/>
      <c r="K385" s="645"/>
      <c r="L385" s="645"/>
      <c r="M385" s="645"/>
      <c r="N385" s="645"/>
      <c r="O385" s="645"/>
      <c r="P385" s="645"/>
      <c r="Q385" s="646"/>
      <c r="R385" s="647">
        <f t="shared" ref="R385" si="94">$A385*Q385</f>
        <v>0</v>
      </c>
      <c r="S385" s="646"/>
      <c r="T385" s="648">
        <f t="shared" ref="T385" si="95">$A385*S385*$T$1</f>
        <v>0</v>
      </c>
    </row>
    <row r="386" spans="1:41" s="618" customFormat="1" ht="12.6" thickBot="1">
      <c r="A386" s="649" t="s">
        <v>137</v>
      </c>
      <c r="B386" s="650">
        <f>(R385+T385)</f>
        <v>0</v>
      </c>
      <c r="C386" s="651"/>
      <c r="D386" s="651"/>
      <c r="E386" s="651"/>
      <c r="F386" s="652"/>
      <c r="G386" s="651" t="s">
        <v>503</v>
      </c>
      <c r="H386" s="651"/>
      <c r="I386" s="653"/>
      <c r="J386" s="651"/>
      <c r="K386" s="651" t="s">
        <v>3</v>
      </c>
      <c r="L386" s="654" t="s">
        <v>136</v>
      </c>
      <c r="M386" s="654"/>
      <c r="N386" s="654"/>
      <c r="O386" s="654"/>
      <c r="P386" s="654"/>
      <c r="Q386" s="655"/>
      <c r="R386" s="656">
        <f>SUM(R383:R385)</f>
        <v>30.150000000000002</v>
      </c>
      <c r="S386" s="651"/>
      <c r="T386" s="656">
        <f>SUM(T383:T385)</f>
        <v>4.9432499999999999</v>
      </c>
      <c r="U386" s="621"/>
      <c r="V386" s="621"/>
      <c r="W386" s="621"/>
      <c r="X386" s="621"/>
      <c r="Y386" s="621"/>
      <c r="Z386" s="621"/>
      <c r="AA386" s="621"/>
      <c r="AB386" s="621"/>
      <c r="AC386" s="621"/>
      <c r="AD386" s="621"/>
      <c r="AE386" s="621"/>
      <c r="AF386" s="621"/>
      <c r="AG386" s="621"/>
      <c r="AH386" s="621"/>
      <c r="AI386" s="621"/>
      <c r="AJ386" s="621"/>
      <c r="AK386" s="621"/>
      <c r="AL386" s="621"/>
      <c r="AM386" s="621"/>
      <c r="AN386" s="621"/>
      <c r="AO386" s="621"/>
    </row>
    <row r="387" spans="1:41" s="618" customFormat="1" thickTop="1">
      <c r="A387" s="616"/>
      <c r="B387" s="616"/>
      <c r="C387" s="3"/>
      <c r="D387" s="3"/>
      <c r="E387" s="616"/>
      <c r="F387" s="616"/>
      <c r="G387" s="616"/>
      <c r="H387" s="616"/>
      <c r="I387" s="616"/>
      <c r="J387" s="616"/>
      <c r="K387" s="616" t="s">
        <v>489</v>
      </c>
      <c r="L387" s="616"/>
      <c r="M387" s="616"/>
      <c r="N387" s="616"/>
      <c r="O387" s="617"/>
      <c r="P387" s="616"/>
      <c r="Q387" s="616"/>
      <c r="R387" s="616"/>
      <c r="S387" s="616"/>
      <c r="T387" s="616"/>
    </row>
    <row r="388" spans="1:41" s="618" customFormat="1" ht="12">
      <c r="A388" s="616"/>
      <c r="B388" s="616"/>
      <c r="C388" s="616" t="s">
        <v>490</v>
      </c>
      <c r="D388" s="619"/>
      <c r="E388" s="616"/>
      <c r="F388" s="616"/>
      <c r="G388" s="616"/>
      <c r="H388" s="616"/>
      <c r="I388" s="616"/>
      <c r="J388" s="616"/>
      <c r="K388" s="616"/>
      <c r="L388" s="616"/>
      <c r="M388" s="616"/>
      <c r="N388" s="616"/>
      <c r="O388" s="617"/>
      <c r="P388" s="616"/>
      <c r="Q388" s="616"/>
      <c r="R388" s="616"/>
      <c r="S388" s="616"/>
      <c r="T388" s="616"/>
    </row>
    <row r="389" spans="1:41" s="618" customFormat="1" ht="36">
      <c r="A389" s="616"/>
      <c r="B389" s="616"/>
      <c r="C389" s="616"/>
      <c r="D389" s="744" t="s">
        <v>550</v>
      </c>
      <c r="E389" s="744"/>
      <c r="F389" s="744"/>
      <c r="G389" s="744"/>
      <c r="H389" s="744"/>
      <c r="I389" s="744"/>
      <c r="J389" s="744"/>
      <c r="K389" s="744"/>
      <c r="L389" s="744"/>
      <c r="M389" s="744"/>
      <c r="N389" s="744"/>
      <c r="O389" s="744"/>
      <c r="P389" s="744"/>
      <c r="Q389" s="744"/>
      <c r="R389" s="669"/>
      <c r="S389" s="669"/>
      <c r="T389" s="669"/>
    </row>
    <row r="390" spans="1:41" s="3" customFormat="1" thickBot="1">
      <c r="A390" s="621"/>
      <c r="O390" s="96"/>
    </row>
    <row r="391" spans="1:41" s="618" customFormat="1" ht="12" thickTop="1">
      <c r="A391" s="616"/>
      <c r="B391" s="622"/>
      <c r="C391" s="616"/>
      <c r="E391" s="37" t="s">
        <v>491</v>
      </c>
      <c r="F391" s="37" t="s">
        <v>492</v>
      </c>
      <c r="G391" s="616"/>
      <c r="H391" s="616"/>
      <c r="I391" s="616"/>
      <c r="J391" s="616"/>
      <c r="K391" s="616" t="s">
        <v>493</v>
      </c>
      <c r="L391" s="616"/>
      <c r="M391" s="616"/>
      <c r="N391" s="616"/>
      <c r="O391" s="617"/>
      <c r="P391" s="616"/>
      <c r="Q391" s="616"/>
      <c r="R391" s="616"/>
      <c r="S391" s="616"/>
      <c r="T391" s="622"/>
      <c r="AG391" s="623" t="s">
        <v>494</v>
      </c>
      <c r="AH391" s="623" t="s">
        <v>495</v>
      </c>
      <c r="AI391" s="623" t="s">
        <v>496</v>
      </c>
      <c r="AJ391" s="623" t="s">
        <v>497</v>
      </c>
      <c r="AK391" s="623" t="s">
        <v>498</v>
      </c>
      <c r="AM391" s="624" t="s">
        <v>499</v>
      </c>
      <c r="AN391" s="625" t="s">
        <v>500</v>
      </c>
      <c r="AO391" s="626" t="s">
        <v>501</v>
      </c>
    </row>
    <row r="392" spans="1:41" s="618" customFormat="1" ht="12" customHeight="1">
      <c r="A392" s="627">
        <v>5</v>
      </c>
      <c r="B392" s="628" t="s">
        <v>294</v>
      </c>
      <c r="C392" s="629"/>
      <c r="D392" s="630" t="s">
        <v>551</v>
      </c>
      <c r="E392" s="631">
        <f>IF(AND($A392=0,$A$1="DIF"),0, ROUND(ROUND(($R397*$S$2+($T397*$T$2))/A392,2)*$C$2,2))</f>
        <v>25.08</v>
      </c>
      <c r="F392" s="632">
        <f>ROUND($A392*$E392,2)</f>
        <v>125.4</v>
      </c>
      <c r="G392" s="88" t="s">
        <v>135</v>
      </c>
      <c r="H392" s="2"/>
      <c r="I392" s="633"/>
      <c r="J392" s="2"/>
      <c r="K392" s="2" t="s">
        <v>3</v>
      </c>
      <c r="L392" s="634" t="s">
        <v>136</v>
      </c>
      <c r="M392" s="634"/>
      <c r="N392" s="634"/>
      <c r="O392" s="634"/>
      <c r="P392" s="634"/>
      <c r="Q392" s="616"/>
      <c r="T392" s="635" t="str">
        <f>IF(AND($R397=0,$T397=0),"0.00","mu :" &amp; ROUND($F392/$C$2/($R397+$T397*$D$9),2))</f>
        <v>mu :1</v>
      </c>
      <c r="W392" s="636"/>
      <c r="AG392" s="637">
        <f>IF($E392=0,0,ROUND($R397*$S$2*$C$2/$A392,2))</f>
        <v>15.09</v>
      </c>
      <c r="AH392" s="637">
        <f>$AG392*$A392</f>
        <v>75.45</v>
      </c>
      <c r="AI392" s="638">
        <f>$E392-$AG392</f>
        <v>9.9899999999999984</v>
      </c>
      <c r="AJ392" s="638">
        <f>$A392*$AI392</f>
        <v>49.949999999999989</v>
      </c>
      <c r="AK392" s="639">
        <f>ROUND(($AG392+$AI392)*$A392,2)</f>
        <v>125.4</v>
      </c>
      <c r="AM392" s="640">
        <f>ROUND(R397,2)</f>
        <v>75.459999999999994</v>
      </c>
      <c r="AN392" s="641">
        <f>ROUND(T397,2)</f>
        <v>1.73</v>
      </c>
      <c r="AO392" s="642">
        <f>ROUND(AM392+AN392,2)*A392</f>
        <v>385.95</v>
      </c>
    </row>
    <row r="393" spans="1:41" s="618" customFormat="1" ht="13.2">
      <c r="A393" s="629"/>
      <c r="B393"/>
      <c r="C393" s="629"/>
      <c r="D393" s="630" t="s">
        <v>342</v>
      </c>
      <c r="F393" s="2"/>
      <c r="G393" s="3"/>
      <c r="H393" s="2"/>
      <c r="I393" s="633"/>
      <c r="J393" s="2"/>
      <c r="K393" s="2" t="s">
        <v>502</v>
      </c>
      <c r="L393" s="2"/>
      <c r="M393" s="2"/>
      <c r="N393" s="2"/>
      <c r="O393" s="2"/>
      <c r="P393" s="2"/>
      <c r="Q393" s="616"/>
      <c r="R393" s="643"/>
      <c r="S393" s="644"/>
      <c r="T393" s="2"/>
    </row>
    <row r="394" spans="1:41" s="783" customFormat="1" ht="13.2">
      <c r="A394">
        <v>52</v>
      </c>
      <c r="B394" s="783" t="s">
        <v>284</v>
      </c>
      <c r="D394" s="783" t="s">
        <v>625</v>
      </c>
      <c r="F394" s="783" t="s">
        <v>809</v>
      </c>
      <c r="G394" s="784" t="s">
        <v>626</v>
      </c>
      <c r="H394" s="785">
        <v>617</v>
      </c>
      <c r="I394" s="783" t="s">
        <v>627</v>
      </c>
      <c r="O394" s="786">
        <v>2</v>
      </c>
      <c r="P394" s="787"/>
      <c r="Q394" s="788">
        <f>130/305</f>
        <v>0.42622950819672129</v>
      </c>
      <c r="R394" s="789">
        <f>$A394*Q394</f>
        <v>22.163934426229506</v>
      </c>
      <c r="S394" s="788">
        <f>0.845 *(0.025)</f>
        <v>2.1125000000000001E-2</v>
      </c>
      <c r="T394" s="790">
        <f>$A394*S394*$T$1</f>
        <v>1.0985</v>
      </c>
    </row>
    <row r="395" spans="1:41" s="783" customFormat="1" ht="13.2">
      <c r="A395" s="105">
        <v>5</v>
      </c>
      <c r="B395" s="783" t="s">
        <v>134</v>
      </c>
      <c r="D395" s="783" t="s">
        <v>634</v>
      </c>
      <c r="G395" s="784" t="s">
        <v>631</v>
      </c>
      <c r="H395" s="785">
        <v>705</v>
      </c>
      <c r="I395" s="783" t="s">
        <v>632</v>
      </c>
      <c r="J395" s="783" t="s">
        <v>633</v>
      </c>
      <c r="O395" s="786">
        <v>3</v>
      </c>
      <c r="P395" s="787">
        <v>38448</v>
      </c>
      <c r="Q395" s="788">
        <v>10.66</v>
      </c>
      <c r="R395" s="789">
        <f>$A395*Q395</f>
        <v>53.3</v>
      </c>
      <c r="S395" s="788">
        <f>0.845 *(0.15)</f>
        <v>0.12675</v>
      </c>
      <c r="T395" s="790">
        <f>$A395*S395*$T$1</f>
        <v>0.63375000000000004</v>
      </c>
    </row>
    <row r="396" spans="1:41" s="618" customFormat="1" ht="12">
      <c r="A396" s="645"/>
      <c r="B396" s="645"/>
      <c r="C396" s="645"/>
      <c r="D396" s="645"/>
      <c r="E396" s="645"/>
      <c r="F396" s="2"/>
      <c r="G396" s="645"/>
      <c r="H396" s="645"/>
      <c r="I396" s="646"/>
      <c r="J396" s="645"/>
      <c r="K396" s="645"/>
      <c r="L396" s="645"/>
      <c r="M396" s="645"/>
      <c r="N396" s="645"/>
      <c r="O396" s="645"/>
      <c r="P396" s="645"/>
      <c r="Q396" s="646"/>
      <c r="R396" s="647">
        <f t="shared" ref="R396" si="96">$A396*Q396</f>
        <v>0</v>
      </c>
      <c r="S396" s="646"/>
      <c r="T396" s="648">
        <f t="shared" ref="T396" si="97">$A396*S396*$T$1</f>
        <v>0</v>
      </c>
    </row>
    <row r="397" spans="1:41" s="618" customFormat="1" ht="12.6" thickBot="1">
      <c r="A397" s="649" t="s">
        <v>137</v>
      </c>
      <c r="B397" s="650">
        <f>(R396+T396)</f>
        <v>0</v>
      </c>
      <c r="C397" s="651"/>
      <c r="D397" s="651"/>
      <c r="E397" s="651"/>
      <c r="F397" s="652"/>
      <c r="G397" s="651" t="s">
        <v>503</v>
      </c>
      <c r="H397" s="651"/>
      <c r="I397" s="653"/>
      <c r="J397" s="651"/>
      <c r="K397" s="651" t="s">
        <v>3</v>
      </c>
      <c r="L397" s="654" t="s">
        <v>136</v>
      </c>
      <c r="M397" s="654"/>
      <c r="N397" s="654"/>
      <c r="O397" s="654"/>
      <c r="P397" s="654"/>
      <c r="Q397" s="655"/>
      <c r="R397" s="656">
        <f>SUM(R393:R396)</f>
        <v>75.4639344262295</v>
      </c>
      <c r="S397" s="651"/>
      <c r="T397" s="656">
        <f>SUM(T393:T396)</f>
        <v>1.7322500000000001</v>
      </c>
      <c r="U397" s="621"/>
      <c r="V397" s="621"/>
      <c r="W397" s="621"/>
      <c r="X397" s="621"/>
      <c r="Y397" s="621"/>
      <c r="Z397" s="621"/>
      <c r="AA397" s="621"/>
      <c r="AB397" s="621"/>
      <c r="AC397" s="621"/>
      <c r="AD397" s="621"/>
      <c r="AE397" s="621"/>
      <c r="AF397" s="621"/>
      <c r="AG397" s="621"/>
      <c r="AH397" s="621"/>
      <c r="AI397" s="621"/>
      <c r="AJ397" s="621"/>
      <c r="AK397" s="621"/>
      <c r="AL397" s="621"/>
      <c r="AM397" s="621"/>
      <c r="AN397" s="621"/>
      <c r="AO397" s="621"/>
    </row>
    <row r="398" spans="1:41" s="618" customFormat="1" ht="12" thickTop="1">
      <c r="A398" s="616"/>
      <c r="B398" s="622"/>
      <c r="C398" s="616"/>
      <c r="E398" s="37" t="s">
        <v>491</v>
      </c>
      <c r="F398" s="37" t="s">
        <v>492</v>
      </c>
      <c r="G398" s="616"/>
      <c r="H398" s="616"/>
      <c r="I398" s="616"/>
      <c r="J398" s="616"/>
      <c r="K398" s="616" t="s">
        <v>493</v>
      </c>
      <c r="L398" s="616"/>
      <c r="M398" s="616"/>
      <c r="N398" s="616"/>
      <c r="O398" s="617"/>
      <c r="P398" s="616"/>
      <c r="Q398" s="616"/>
      <c r="R398" s="616"/>
      <c r="S398" s="616"/>
      <c r="T398" s="622"/>
      <c r="AG398" s="623" t="s">
        <v>494</v>
      </c>
      <c r="AH398" s="623" t="s">
        <v>495</v>
      </c>
      <c r="AI398" s="623" t="s">
        <v>496</v>
      </c>
      <c r="AJ398" s="623" t="s">
        <v>497</v>
      </c>
      <c r="AK398" s="623" t="s">
        <v>498</v>
      </c>
      <c r="AM398" s="624" t="s">
        <v>499</v>
      </c>
      <c r="AN398" s="625" t="s">
        <v>500</v>
      </c>
      <c r="AO398" s="626" t="s">
        <v>501</v>
      </c>
    </row>
    <row r="399" spans="1:41" s="618" customFormat="1" ht="12" customHeight="1">
      <c r="A399" s="627">
        <v>6</v>
      </c>
      <c r="B399" s="628" t="s">
        <v>294</v>
      </c>
      <c r="C399" s="629"/>
      <c r="D399" s="630" t="s">
        <v>552</v>
      </c>
      <c r="E399" s="631">
        <f>IF(AND($A399=0,$A$1="DIF"),0, ROUND(ROUND(($R403*$S$2+($T403*$T$2))/A399,2)*$C$2,2))</f>
        <v>9</v>
      </c>
      <c r="F399" s="632">
        <f>ROUND($A399*$E399,2)</f>
        <v>54</v>
      </c>
      <c r="G399" s="88" t="s">
        <v>135</v>
      </c>
      <c r="H399" s="2"/>
      <c r="I399" s="633"/>
      <c r="J399" s="2"/>
      <c r="K399" s="2" t="s">
        <v>3</v>
      </c>
      <c r="L399" s="634" t="s">
        <v>136</v>
      </c>
      <c r="M399" s="634"/>
      <c r="N399" s="634"/>
      <c r="O399" s="634"/>
      <c r="P399" s="634"/>
      <c r="Q399" s="616"/>
      <c r="T399" s="635" t="str">
        <f>IF(AND($R403=0,$T403=0),"0.00","mu :" &amp; ROUND($F399/$C$2/($R403+$T403*$D$9),2))</f>
        <v>mu :1</v>
      </c>
      <c r="W399" s="636"/>
      <c r="AG399" s="637">
        <f>IF($E399=0,0,ROUND($R403*$S$2*$C$2/$A399,2))</f>
        <v>9</v>
      </c>
      <c r="AH399" s="637">
        <f>$AG399*$A399</f>
        <v>54</v>
      </c>
      <c r="AI399" s="638">
        <f>$E399-$AG399</f>
        <v>0</v>
      </c>
      <c r="AJ399" s="638">
        <f>$A399*$AI399</f>
        <v>0</v>
      </c>
      <c r="AK399" s="639">
        <f>ROUND(($AG399+$AI399)*$A399,2)</f>
        <v>54</v>
      </c>
      <c r="AM399" s="640">
        <f>ROUND(R403,2)</f>
        <v>54</v>
      </c>
      <c r="AN399" s="641">
        <f>ROUND(T403,2)</f>
        <v>0</v>
      </c>
      <c r="AO399" s="642">
        <f>ROUND(AM399+AN399,2)*A399</f>
        <v>324</v>
      </c>
    </row>
    <row r="400" spans="1:41" s="618" customFormat="1" ht="13.2">
      <c r="A400" s="629"/>
      <c r="B400"/>
      <c r="C400" s="629"/>
      <c r="D400" s="630" t="s">
        <v>343</v>
      </c>
      <c r="F400" s="2"/>
      <c r="G400" s="3"/>
      <c r="H400" s="2"/>
      <c r="I400" s="633"/>
      <c r="J400" s="2"/>
      <c r="K400" s="2" t="s">
        <v>502</v>
      </c>
      <c r="L400" s="2"/>
      <c r="M400" s="2"/>
      <c r="N400" s="2"/>
      <c r="O400" s="2"/>
      <c r="P400" s="2"/>
      <c r="Q400" s="616"/>
      <c r="R400" s="643"/>
      <c r="S400" s="644"/>
      <c r="T400" s="2"/>
    </row>
    <row r="401" spans="1:41" s="783" customFormat="1" ht="41.4">
      <c r="A401" s="105">
        <v>6</v>
      </c>
      <c r="B401" s="783" t="s">
        <v>134</v>
      </c>
      <c r="D401" s="791" t="s">
        <v>629</v>
      </c>
      <c r="E401" s="791"/>
      <c r="F401" s="791"/>
      <c r="G401" s="784" t="s">
        <v>628</v>
      </c>
      <c r="H401" s="785">
        <v>821</v>
      </c>
      <c r="I401" s="783" t="s">
        <v>627</v>
      </c>
      <c r="O401" s="786">
        <v>3</v>
      </c>
      <c r="P401" s="787">
        <v>38091</v>
      </c>
      <c r="Q401" s="788">
        <v>9</v>
      </c>
      <c r="R401" s="789">
        <f>$A401*Q401</f>
        <v>54</v>
      </c>
      <c r="S401" s="788"/>
      <c r="T401" s="790">
        <f>$A401*S401*$T$1</f>
        <v>0</v>
      </c>
    </row>
    <row r="402" spans="1:41" s="618" customFormat="1" ht="12">
      <c r="A402" s="645"/>
      <c r="B402" s="645"/>
      <c r="C402" s="645"/>
      <c r="D402" s="645"/>
      <c r="E402" s="645"/>
      <c r="F402" s="2"/>
      <c r="G402" s="645"/>
      <c r="H402" s="645"/>
      <c r="I402" s="646"/>
      <c r="J402" s="645"/>
      <c r="K402" s="645"/>
      <c r="L402" s="645"/>
      <c r="M402" s="645"/>
      <c r="N402" s="645"/>
      <c r="O402" s="645"/>
      <c r="P402" s="645"/>
      <c r="Q402" s="646"/>
      <c r="R402" s="647">
        <f t="shared" ref="R402" si="98">$A402*Q402</f>
        <v>0</v>
      </c>
      <c r="S402" s="646"/>
      <c r="T402" s="648">
        <f t="shared" ref="T402" si="99">$A402*S402*$T$1</f>
        <v>0</v>
      </c>
    </row>
    <row r="403" spans="1:41" s="618" customFormat="1" ht="12.6" thickBot="1">
      <c r="A403" s="649" t="s">
        <v>137</v>
      </c>
      <c r="B403" s="650">
        <f>(R402+T402)</f>
        <v>0</v>
      </c>
      <c r="C403" s="651"/>
      <c r="D403" s="651"/>
      <c r="E403" s="651"/>
      <c r="F403" s="652"/>
      <c r="G403" s="651" t="s">
        <v>503</v>
      </c>
      <c r="H403" s="651"/>
      <c r="I403" s="653"/>
      <c r="J403" s="651"/>
      <c r="K403" s="651" t="s">
        <v>3</v>
      </c>
      <c r="L403" s="654" t="s">
        <v>136</v>
      </c>
      <c r="M403" s="654"/>
      <c r="N403" s="654"/>
      <c r="O403" s="654"/>
      <c r="P403" s="654"/>
      <c r="Q403" s="655"/>
      <c r="R403" s="656">
        <f>SUM(R400:R402)</f>
        <v>54</v>
      </c>
      <c r="S403" s="651"/>
      <c r="T403" s="656">
        <f>SUM(T400:T402)</f>
        <v>0</v>
      </c>
      <c r="U403" s="621"/>
      <c r="V403" s="621"/>
      <c r="W403" s="621"/>
      <c r="X403" s="621"/>
      <c r="Y403" s="621"/>
      <c r="Z403" s="621"/>
      <c r="AA403" s="621"/>
      <c r="AB403" s="621"/>
      <c r="AC403" s="621"/>
      <c r="AD403" s="621"/>
      <c r="AE403" s="621"/>
      <c r="AF403" s="621"/>
      <c r="AG403" s="621"/>
      <c r="AH403" s="621"/>
      <c r="AI403" s="621"/>
      <c r="AJ403" s="621"/>
      <c r="AK403" s="621"/>
      <c r="AL403" s="621"/>
      <c r="AM403" s="621"/>
      <c r="AN403" s="621"/>
      <c r="AO403" s="621"/>
    </row>
    <row r="404" spans="1:41" s="618" customFormat="1" ht="12" thickTop="1">
      <c r="A404" s="616"/>
      <c r="B404" s="622"/>
      <c r="C404" s="616"/>
      <c r="E404" s="37" t="s">
        <v>491</v>
      </c>
      <c r="F404" s="37" t="s">
        <v>492</v>
      </c>
      <c r="G404" s="616"/>
      <c r="H404" s="616"/>
      <c r="I404" s="616"/>
      <c r="J404" s="616"/>
      <c r="K404" s="616" t="s">
        <v>493</v>
      </c>
      <c r="L404" s="616"/>
      <c r="M404" s="616"/>
      <c r="N404" s="616"/>
      <c r="O404" s="617"/>
      <c r="P404" s="616"/>
      <c r="Q404" s="616"/>
      <c r="R404" s="616"/>
      <c r="S404" s="616"/>
      <c r="T404" s="622"/>
      <c r="AG404" s="623" t="s">
        <v>494</v>
      </c>
      <c r="AH404" s="623" t="s">
        <v>495</v>
      </c>
      <c r="AI404" s="623" t="s">
        <v>496</v>
      </c>
      <c r="AJ404" s="623" t="s">
        <v>497</v>
      </c>
      <c r="AK404" s="623" t="s">
        <v>498</v>
      </c>
      <c r="AM404" s="624" t="s">
        <v>499</v>
      </c>
      <c r="AN404" s="625" t="s">
        <v>500</v>
      </c>
      <c r="AO404" s="626" t="s">
        <v>501</v>
      </c>
    </row>
    <row r="405" spans="1:41" s="618" customFormat="1" ht="12" customHeight="1">
      <c r="A405" s="627">
        <v>1</v>
      </c>
      <c r="B405" s="628" t="s">
        <v>294</v>
      </c>
      <c r="C405" s="629"/>
      <c r="D405" s="630" t="s">
        <v>553</v>
      </c>
      <c r="E405" s="631">
        <f>IF(AND($A405=0,$A$1="DIF"),0, ROUND(ROUND(($R409*$S$2+($T409*$T$2))/A405,2)*$C$2,2))</f>
        <v>5.18</v>
      </c>
      <c r="F405" s="632">
        <f>ROUND($A405*$E405,2)</f>
        <v>5.18</v>
      </c>
      <c r="G405" s="88" t="s">
        <v>135</v>
      </c>
      <c r="H405" s="2"/>
      <c r="I405" s="633"/>
      <c r="J405" s="2"/>
      <c r="K405" s="2" t="s">
        <v>3</v>
      </c>
      <c r="L405" s="634" t="s">
        <v>136</v>
      </c>
      <c r="M405" s="634"/>
      <c r="N405" s="634"/>
      <c r="O405" s="634"/>
      <c r="P405" s="634"/>
      <c r="Q405" s="616"/>
      <c r="T405" s="635" t="str">
        <f>IF(AND($R409=0,$T409=0),"0.00","mu :" &amp; ROUND($F405/$C$2/($R409+$T409*$D$9),2))</f>
        <v>mu :1</v>
      </c>
      <c r="W405" s="636"/>
      <c r="AG405" s="637">
        <f>IF($E405=0,0,ROUND($R409*$S$2*$C$2/$A405,2))</f>
        <v>2.13</v>
      </c>
      <c r="AH405" s="637">
        <f>$AG405*$A405</f>
        <v>2.13</v>
      </c>
      <c r="AI405" s="638">
        <f>$E405-$AG405</f>
        <v>3.05</v>
      </c>
      <c r="AJ405" s="638">
        <f>$A405*$AI405</f>
        <v>3.05</v>
      </c>
      <c r="AK405" s="639">
        <f>ROUND(($AG405+$AI405)*$A405,2)</f>
        <v>5.18</v>
      </c>
      <c r="AM405" s="640">
        <f>ROUND(R409,2)</f>
        <v>2.13</v>
      </c>
      <c r="AN405" s="641">
        <f>ROUND(T409,2)</f>
        <v>0.11</v>
      </c>
      <c r="AO405" s="642">
        <f>ROUND(AM405+AN405,2)*A405</f>
        <v>2.2400000000000002</v>
      </c>
    </row>
    <row r="406" spans="1:41" s="618" customFormat="1" ht="13.2">
      <c r="A406" s="629"/>
      <c r="B406"/>
      <c r="C406" s="629"/>
      <c r="D406" s="630" t="s">
        <v>344</v>
      </c>
      <c r="F406" s="2"/>
      <c r="G406" s="3"/>
      <c r="H406" s="2"/>
      <c r="I406" s="633"/>
      <c r="J406" s="2"/>
      <c r="K406" s="2" t="s">
        <v>502</v>
      </c>
      <c r="L406" s="2"/>
      <c r="M406" s="2"/>
      <c r="N406" s="2"/>
      <c r="O406" s="2"/>
      <c r="P406" s="2"/>
      <c r="Q406" s="616"/>
      <c r="R406" s="643"/>
      <c r="S406" s="644"/>
      <c r="T406" s="2"/>
    </row>
    <row r="407" spans="1:41" s="783" customFormat="1" ht="13.2">
      <c r="A407">
        <v>5</v>
      </c>
      <c r="B407" s="783" t="s">
        <v>284</v>
      </c>
      <c r="D407" s="783" t="s">
        <v>625</v>
      </c>
      <c r="F407" s="783" t="s">
        <v>809</v>
      </c>
      <c r="G407" s="784" t="s">
        <v>626</v>
      </c>
      <c r="H407" s="785">
        <v>617</v>
      </c>
      <c r="I407" s="783" t="s">
        <v>627</v>
      </c>
      <c r="O407" s="786">
        <v>2</v>
      </c>
      <c r="P407" s="787"/>
      <c r="Q407" s="788">
        <f>130/305</f>
        <v>0.42622950819672129</v>
      </c>
      <c r="R407" s="789">
        <f>$A407*Q407</f>
        <v>2.1311475409836063</v>
      </c>
      <c r="S407" s="788">
        <f>0.845 *(0.025)</f>
        <v>2.1125000000000001E-2</v>
      </c>
      <c r="T407" s="790">
        <f>$A407*S407*$T$1</f>
        <v>0.10562500000000001</v>
      </c>
    </row>
    <row r="408" spans="1:41" s="618" customFormat="1" ht="12">
      <c r="A408" s="645"/>
      <c r="B408" s="645"/>
      <c r="C408" s="645"/>
      <c r="D408" s="645"/>
      <c r="E408" s="645"/>
      <c r="F408" s="2"/>
      <c r="G408" s="645"/>
      <c r="H408" s="645"/>
      <c r="I408" s="646"/>
      <c r="J408" s="645"/>
      <c r="K408" s="645"/>
      <c r="L408" s="645"/>
      <c r="M408" s="645"/>
      <c r="N408" s="645"/>
      <c r="O408" s="645"/>
      <c r="P408" s="645"/>
      <c r="Q408" s="646"/>
      <c r="R408" s="647">
        <f t="shared" ref="R408" si="100">$A408*Q408</f>
        <v>0</v>
      </c>
      <c r="S408" s="646"/>
      <c r="T408" s="648">
        <f t="shared" ref="T408" si="101">$A408*S408*$T$1</f>
        <v>0</v>
      </c>
    </row>
    <row r="409" spans="1:41" s="618" customFormat="1" ht="12.6" thickBot="1">
      <c r="A409" s="649" t="s">
        <v>137</v>
      </c>
      <c r="B409" s="650">
        <f>(R408+T408)</f>
        <v>0</v>
      </c>
      <c r="C409" s="651"/>
      <c r="D409" s="651"/>
      <c r="E409" s="651"/>
      <c r="F409" s="652"/>
      <c r="G409" s="651" t="s">
        <v>503</v>
      </c>
      <c r="H409" s="651"/>
      <c r="I409" s="653"/>
      <c r="J409" s="651"/>
      <c r="K409" s="651" t="s">
        <v>3</v>
      </c>
      <c r="L409" s="654" t="s">
        <v>136</v>
      </c>
      <c r="M409" s="654"/>
      <c r="N409" s="654"/>
      <c r="O409" s="654"/>
      <c r="P409" s="654"/>
      <c r="Q409" s="655"/>
      <c r="R409" s="656">
        <f>SUM(R406:R408)</f>
        <v>2.1311475409836063</v>
      </c>
      <c r="S409" s="651"/>
      <c r="T409" s="656">
        <f>SUM(T406:T408)</f>
        <v>0.10562500000000001</v>
      </c>
      <c r="U409" s="621"/>
      <c r="V409" s="621"/>
      <c r="W409" s="621"/>
      <c r="X409" s="621"/>
      <c r="Y409" s="621"/>
      <c r="Z409" s="621"/>
      <c r="AA409" s="621"/>
      <c r="AB409" s="621"/>
      <c r="AC409" s="621"/>
      <c r="AD409" s="621"/>
      <c r="AE409" s="621"/>
      <c r="AF409" s="621"/>
      <c r="AG409" s="621"/>
      <c r="AH409" s="621"/>
      <c r="AI409" s="621"/>
      <c r="AJ409" s="621"/>
      <c r="AK409" s="621"/>
      <c r="AL409" s="621"/>
      <c r="AM409" s="621"/>
      <c r="AN409" s="621"/>
      <c r="AO409" s="621"/>
    </row>
    <row r="410" spans="1:41" s="618" customFormat="1" thickTop="1">
      <c r="A410" s="616"/>
      <c r="B410" s="622"/>
      <c r="C410" s="616"/>
      <c r="E410" s="37" t="s">
        <v>491</v>
      </c>
      <c r="F410"/>
      <c r="G410" s="616"/>
      <c r="H410" s="616"/>
      <c r="I410" s="616"/>
      <c r="J410" s="616"/>
      <c r="K410" s="616" t="s">
        <v>493</v>
      </c>
      <c r="L410" s="846"/>
      <c r="M410" s="616"/>
      <c r="N410" s="616"/>
      <c r="O410" s="617"/>
      <c r="P410" s="616"/>
      <c r="Q410" s="616"/>
      <c r="R410" s="616"/>
      <c r="S410" s="616"/>
      <c r="T410" s="622"/>
      <c r="AG410" s="623" t="s">
        <v>494</v>
      </c>
      <c r="AH410" s="847"/>
      <c r="AI410" s="623" t="s">
        <v>496</v>
      </c>
      <c r="AM410" s="624" t="s">
        <v>499</v>
      </c>
      <c r="AN410" s="625" t="s">
        <v>500</v>
      </c>
      <c r="AO410" s="626" t="s">
        <v>501</v>
      </c>
    </row>
    <row r="411" spans="1:41" s="618" customFormat="1" ht="13.2">
      <c r="A411" s="848">
        <v>1</v>
      </c>
      <c r="B411" s="849" t="s">
        <v>686</v>
      </c>
      <c r="C411" s="629"/>
      <c r="D411" s="630" t="s">
        <v>554</v>
      </c>
      <c r="E411" s="850">
        <f>IF(AND($A411=0,$A$1="DIF"),0, ROUND(ROUND(($R415*$S$2+($T415*$T$2))/A411,2)*$C$2,2))</f>
        <v>1.04</v>
      </c>
      <c r="F411"/>
      <c r="G411" s="88" t="s">
        <v>135</v>
      </c>
      <c r="H411" s="2"/>
      <c r="I411" s="633"/>
      <c r="J411" s="2"/>
      <c r="K411" s="851" t="s">
        <v>687</v>
      </c>
      <c r="L411" s="846" t="s">
        <v>136</v>
      </c>
      <c r="M411" s="634"/>
      <c r="N411" s="634"/>
      <c r="O411" s="634"/>
      <c r="P411" s="634"/>
      <c r="Q411" s="616"/>
      <c r="T411" s="635" t="str">
        <f>IF(AND($R415=0,$T415=0),"0.00","mu :" &amp; ROUND($A411*$E411/$C$2/($R415+$T415*$D$9),2))</f>
        <v>mu :1</v>
      </c>
      <c r="W411" s="636"/>
      <c r="AG411" s="638">
        <f>IF($E411=0,0,ROUND($R415*$S$2*$C$2/$A411,2))</f>
        <v>0.43</v>
      </c>
      <c r="AH411" s="847"/>
      <c r="AI411" s="638">
        <f>$E411-$AG411</f>
        <v>0.6100000000000001</v>
      </c>
      <c r="AM411" s="640">
        <f>ROUND(R415,2)</f>
        <v>0.43</v>
      </c>
      <c r="AN411" s="641">
        <f>ROUND(T415,2)</f>
        <v>0.02</v>
      </c>
      <c r="AO411" s="642">
        <f>ROUND(AM411+AN411,2)*A411</f>
        <v>0.45</v>
      </c>
    </row>
    <row r="412" spans="1:41" s="618" customFormat="1" ht="13.2">
      <c r="A412" s="629"/>
      <c r="B412"/>
      <c r="C412" s="629"/>
      <c r="D412" s="630" t="s">
        <v>345</v>
      </c>
      <c r="F412" s="2"/>
      <c r="G412" s="3"/>
      <c r="H412" s="2"/>
      <c r="I412" s="633"/>
      <c r="J412" s="2"/>
      <c r="K412" s="2" t="s">
        <v>502</v>
      </c>
      <c r="L412" s="851"/>
      <c r="M412" s="2"/>
      <c r="N412" s="2"/>
      <c r="O412" s="2"/>
      <c r="P412" s="2"/>
      <c r="Q412" s="616"/>
      <c r="R412" s="643"/>
      <c r="S412" s="644"/>
      <c r="T412" s="2"/>
    </row>
    <row r="413" spans="1:41" s="783" customFormat="1" ht="13.2">
      <c r="A413">
        <v>1</v>
      </c>
      <c r="B413" s="783" t="s">
        <v>284</v>
      </c>
      <c r="D413" s="783" t="s">
        <v>625</v>
      </c>
      <c r="G413" s="784" t="s">
        <v>626</v>
      </c>
      <c r="H413" s="853" t="s">
        <v>688</v>
      </c>
      <c r="I413" s="852"/>
      <c r="J413" s="852"/>
      <c r="K413" s="854"/>
      <c r="L413" s="855" t="s">
        <v>688</v>
      </c>
      <c r="O413" s="786">
        <v>2</v>
      </c>
      <c r="P413" s="787"/>
      <c r="Q413" s="788">
        <v>0.43</v>
      </c>
      <c r="R413" s="789">
        <f>$A413*Q413</f>
        <v>0.43</v>
      </c>
      <c r="S413" s="788">
        <f>0.845 *(0.025)</f>
        <v>2.1125000000000001E-2</v>
      </c>
      <c r="T413" s="790">
        <f>$A413*S413*$T$1</f>
        <v>2.1125000000000001E-2</v>
      </c>
    </row>
    <row r="414" spans="1:41" s="618" customFormat="1" ht="12">
      <c r="A414" s="645"/>
      <c r="B414" s="645"/>
      <c r="C414" s="645"/>
      <c r="D414" s="645"/>
      <c r="E414" s="645"/>
      <c r="F414" s="2"/>
      <c r="G414" s="645"/>
      <c r="H414" s="645"/>
      <c r="I414" s="646"/>
      <c r="J414" s="645"/>
      <c r="K414" s="645"/>
      <c r="L414" s="846"/>
      <c r="M414" s="645"/>
      <c r="N414" s="645"/>
      <c r="O414" s="645"/>
      <c r="P414" s="645"/>
      <c r="Q414" s="646"/>
      <c r="R414" s="647">
        <f>$A414*Q414</f>
        <v>0</v>
      </c>
      <c r="S414" s="646"/>
      <c r="T414" s="648">
        <f>$A414*S414*$T$1</f>
        <v>0</v>
      </c>
    </row>
    <row r="415" spans="1:41" s="618" customFormat="1" ht="12.6" thickBot="1">
      <c r="A415" s="649" t="s">
        <v>137</v>
      </c>
      <c r="B415" s="650">
        <f>(R414+T414)</f>
        <v>0</v>
      </c>
      <c r="C415" s="651"/>
      <c r="D415" s="651"/>
      <c r="E415" s="651"/>
      <c r="F415" s="652"/>
      <c r="G415" s="651" t="s">
        <v>503</v>
      </c>
      <c r="H415" s="651"/>
      <c r="I415" s="653"/>
      <c r="J415" s="651"/>
      <c r="K415" s="856"/>
      <c r="L415" s="857" t="s">
        <v>687</v>
      </c>
      <c r="M415" s="654"/>
      <c r="N415" s="654"/>
      <c r="O415" s="654"/>
      <c r="P415" s="654"/>
      <c r="Q415" s="655"/>
      <c r="R415" s="656">
        <f>SUM(R412:R414)</f>
        <v>0.43</v>
      </c>
      <c r="S415" s="651"/>
      <c r="T415" s="656">
        <f>SUM(T412:T414)</f>
        <v>2.1125000000000001E-2</v>
      </c>
      <c r="U415" s="621"/>
      <c r="V415" s="621"/>
      <c r="W415" s="621"/>
      <c r="X415" s="621"/>
      <c r="Y415" s="621"/>
      <c r="Z415" s="621"/>
      <c r="AA415" s="621"/>
      <c r="AB415" s="621"/>
      <c r="AC415" s="621"/>
      <c r="AD415" s="621"/>
      <c r="AE415" s="621"/>
      <c r="AF415" s="621"/>
      <c r="AG415" s="621"/>
      <c r="AH415" s="621"/>
      <c r="AI415" s="621"/>
      <c r="AJ415" s="621"/>
      <c r="AK415" s="621"/>
      <c r="AL415" s="621"/>
      <c r="AM415" s="621"/>
      <c r="AN415" s="621"/>
      <c r="AO415" s="621"/>
    </row>
    <row r="416" spans="1:41" s="618" customFormat="1" thickTop="1">
      <c r="A416" s="616"/>
      <c r="B416" s="616"/>
      <c r="C416" s="3"/>
      <c r="D416" s="3"/>
      <c r="E416" s="616"/>
      <c r="F416" s="616"/>
      <c r="G416" s="616"/>
      <c r="H416" s="616"/>
      <c r="I416" s="616"/>
      <c r="J416" s="616"/>
      <c r="K416" s="616" t="s">
        <v>489</v>
      </c>
      <c r="L416" s="616"/>
      <c r="M416" s="616"/>
      <c r="N416" s="616"/>
      <c r="O416" s="617"/>
      <c r="P416" s="616"/>
      <c r="Q416" s="616"/>
      <c r="R416" s="616"/>
      <c r="S416" s="616"/>
      <c r="T416" s="616"/>
    </row>
    <row r="417" spans="1:41" s="618" customFormat="1" ht="12">
      <c r="A417" s="616"/>
      <c r="B417" s="616"/>
      <c r="C417" s="616" t="s">
        <v>490</v>
      </c>
      <c r="D417" s="619"/>
      <c r="E417" s="616"/>
      <c r="F417" s="616"/>
      <c r="G417" s="616"/>
      <c r="H417" s="616"/>
      <c r="I417" s="616"/>
      <c r="J417" s="616"/>
      <c r="K417" s="616"/>
      <c r="L417" s="616"/>
      <c r="M417" s="616"/>
      <c r="N417" s="616"/>
      <c r="O417" s="617"/>
      <c r="P417" s="616"/>
      <c r="Q417" s="616"/>
      <c r="R417" s="616"/>
      <c r="S417" s="616"/>
      <c r="T417" s="616"/>
    </row>
    <row r="418" spans="1:41" s="618" customFormat="1" ht="12">
      <c r="A418" s="616"/>
      <c r="B418" s="616"/>
      <c r="C418" s="616"/>
      <c r="D418" s="619" t="s">
        <v>328</v>
      </c>
      <c r="E418" s="616"/>
      <c r="F418" s="616"/>
      <c r="G418" s="616"/>
      <c r="H418" s="616"/>
      <c r="I418" s="616"/>
      <c r="J418" s="616"/>
      <c r="K418" s="616"/>
      <c r="L418" s="616"/>
      <c r="M418" s="616"/>
      <c r="N418" s="616"/>
      <c r="O418" s="617"/>
      <c r="P418" s="616"/>
      <c r="Q418" s="616"/>
      <c r="R418" s="616"/>
      <c r="S418" s="620"/>
      <c r="T418" s="620"/>
    </row>
    <row r="419" spans="1:41" s="3" customFormat="1" thickBot="1">
      <c r="A419" s="621"/>
      <c r="O419" s="96"/>
    </row>
    <row r="420" spans="1:41" s="618" customFormat="1" ht="12" thickTop="1">
      <c r="A420" s="616"/>
      <c r="B420" s="622"/>
      <c r="C420" s="616"/>
      <c r="E420" s="37" t="s">
        <v>491</v>
      </c>
      <c r="F420" s="37" t="s">
        <v>492</v>
      </c>
      <c r="G420" s="616"/>
      <c r="H420" s="616"/>
      <c r="I420" s="616"/>
      <c r="J420" s="616"/>
      <c r="K420" s="616" t="s">
        <v>493</v>
      </c>
      <c r="L420" s="616"/>
      <c r="M420" s="616"/>
      <c r="N420" s="616"/>
      <c r="O420" s="617"/>
      <c r="P420" s="616"/>
      <c r="Q420" s="616"/>
      <c r="R420" s="616"/>
      <c r="S420" s="616"/>
      <c r="T420" s="622"/>
      <c r="AG420" s="623" t="s">
        <v>494</v>
      </c>
      <c r="AH420" s="623" t="s">
        <v>495</v>
      </c>
      <c r="AI420" s="623" t="s">
        <v>496</v>
      </c>
      <c r="AJ420" s="623" t="s">
        <v>497</v>
      </c>
      <c r="AK420" s="623" t="s">
        <v>498</v>
      </c>
      <c r="AM420" s="624" t="s">
        <v>499</v>
      </c>
      <c r="AN420" s="625" t="s">
        <v>500</v>
      </c>
      <c r="AO420" s="626" t="s">
        <v>501</v>
      </c>
    </row>
    <row r="421" spans="1:41" s="618" customFormat="1" ht="12" customHeight="1">
      <c r="A421" s="627">
        <v>1</v>
      </c>
      <c r="B421" s="628" t="s">
        <v>330</v>
      </c>
      <c r="C421" s="629"/>
      <c r="D421" s="630" t="s">
        <v>555</v>
      </c>
      <c r="E421" s="631">
        <f>IF(AND($A421=0,$A$1="DIF"),0, ROUND(ROUND(($R426*$S$2+($T426*$T$2))/A421,2)*$C$2,2))</f>
        <v>0</v>
      </c>
      <c r="F421" s="632">
        <f>ROUND($A421*$E421,2)</f>
        <v>0</v>
      </c>
      <c r="G421" s="88" t="s">
        <v>135</v>
      </c>
      <c r="H421" s="2"/>
      <c r="I421" s="633"/>
      <c r="J421" s="2"/>
      <c r="K421" s="2" t="s">
        <v>3</v>
      </c>
      <c r="L421" s="634" t="s">
        <v>136</v>
      </c>
      <c r="M421" s="634"/>
      <c r="N421" s="634"/>
      <c r="O421" s="634"/>
      <c r="P421" s="634"/>
      <c r="Q421" s="616" t="s">
        <v>256</v>
      </c>
      <c r="T421" s="635" t="str">
        <f>IF(AND($R426=0,$T426=0),"0.00","mu :" &amp; ROUND($F421/$C$2/($R426+$T426*$D$9),2))</f>
        <v>0.00</v>
      </c>
      <c r="W421" s="636"/>
      <c r="AG421" s="637">
        <f>IF($E421=0,0,ROUND($R426*$S$2*$C$2/$A421,2))</f>
        <v>0</v>
      </c>
      <c r="AH421" s="637">
        <f>$AG421*$A421</f>
        <v>0</v>
      </c>
      <c r="AI421" s="638">
        <f>$E421-$AG421</f>
        <v>0</v>
      </c>
      <c r="AJ421" s="638">
        <f>$A421*$AI421</f>
        <v>0</v>
      </c>
      <c r="AK421" s="639">
        <f>ROUND(($AG421+$AI421)*$A421,2)</f>
        <v>0</v>
      </c>
      <c r="AM421" s="640">
        <f>ROUND(R426,2)</f>
        <v>0</v>
      </c>
      <c r="AN421" s="641">
        <f>ROUND(T426,2)</f>
        <v>0</v>
      </c>
      <c r="AO421" s="642">
        <f>ROUND(AM421+AN421,2)*A421</f>
        <v>0</v>
      </c>
    </row>
    <row r="422" spans="1:41" s="618" customFormat="1" ht="36">
      <c r="A422" s="616"/>
      <c r="B422" s="616"/>
      <c r="C422" s="616"/>
      <c r="D422" s="744" t="s">
        <v>329</v>
      </c>
      <c r="E422" s="744"/>
      <c r="F422" s="744"/>
      <c r="G422" s="744"/>
      <c r="H422" s="744"/>
      <c r="I422" s="744"/>
      <c r="J422" s="744"/>
      <c r="K422" s="744"/>
      <c r="L422" s="744"/>
      <c r="M422" s="744"/>
      <c r="N422" s="744"/>
      <c r="O422" s="744"/>
      <c r="P422" s="744"/>
      <c r="Q422" s="744"/>
      <c r="R422" s="669"/>
      <c r="S422" s="669"/>
      <c r="T422" s="669"/>
    </row>
    <row r="423" spans="1:41" s="618" customFormat="1" ht="12">
      <c r="A423" s="616"/>
      <c r="B423" s="645"/>
      <c r="C423" s="645"/>
      <c r="D423" s="645"/>
      <c r="E423" s="645"/>
      <c r="F423" s="2"/>
      <c r="G423" s="645"/>
      <c r="H423" s="645"/>
      <c r="I423" s="646"/>
      <c r="J423" s="645"/>
      <c r="K423" s="645"/>
      <c r="L423" s="645"/>
      <c r="M423" s="645"/>
      <c r="N423" s="645"/>
      <c r="O423" s="645"/>
      <c r="P423" s="645"/>
      <c r="Q423" s="646"/>
      <c r="R423" s="647">
        <f t="shared" ref="R423:R425" si="102">$A423*Q423</f>
        <v>0</v>
      </c>
      <c r="S423" s="646"/>
      <c r="T423" s="648">
        <f t="shared" ref="T423:T425" si="103">$A423*S423*$T$1</f>
        <v>0</v>
      </c>
    </row>
    <row r="424" spans="1:41" s="618" customFormat="1" ht="12">
      <c r="A424" s="616"/>
      <c r="B424" s="645"/>
      <c r="C424" s="645"/>
      <c r="D424" s="616" t="s">
        <v>256</v>
      </c>
      <c r="E424" s="645"/>
      <c r="F424" s="2"/>
      <c r="G424" s="645"/>
      <c r="H424" s="645"/>
      <c r="I424" s="646"/>
      <c r="J424" s="645"/>
      <c r="K424" s="645"/>
      <c r="L424" s="645"/>
      <c r="M424" s="645"/>
      <c r="N424" s="645"/>
      <c r="O424" s="645"/>
      <c r="P424" s="645"/>
      <c r="Q424" s="646"/>
      <c r="R424" s="647">
        <f t="shared" si="102"/>
        <v>0</v>
      </c>
      <c r="S424" s="646"/>
      <c r="T424" s="648">
        <f t="shared" si="103"/>
        <v>0</v>
      </c>
    </row>
    <row r="425" spans="1:41" s="618" customFormat="1" ht="12">
      <c r="A425" s="645"/>
      <c r="B425" s="645"/>
      <c r="C425" s="645"/>
      <c r="D425" s="645"/>
      <c r="E425" s="645"/>
      <c r="F425" s="2"/>
      <c r="G425" s="645"/>
      <c r="H425" s="645"/>
      <c r="I425" s="646"/>
      <c r="J425" s="645"/>
      <c r="K425" s="645"/>
      <c r="L425" s="645"/>
      <c r="M425" s="645"/>
      <c r="N425" s="645"/>
      <c r="O425" s="645"/>
      <c r="P425" s="645"/>
      <c r="Q425" s="646"/>
      <c r="R425" s="647">
        <f t="shared" si="102"/>
        <v>0</v>
      </c>
      <c r="S425" s="646"/>
      <c r="T425" s="648">
        <f t="shared" si="103"/>
        <v>0</v>
      </c>
    </row>
    <row r="426" spans="1:41" s="618" customFormat="1" ht="12.6" thickBot="1">
      <c r="A426" s="649" t="s">
        <v>137</v>
      </c>
      <c r="B426" s="650">
        <f>(R425+T425)</f>
        <v>0</v>
      </c>
      <c r="C426" s="651"/>
      <c r="D426" s="651"/>
      <c r="E426" s="651"/>
      <c r="F426" s="652"/>
      <c r="G426" s="651" t="s">
        <v>503</v>
      </c>
      <c r="H426" s="651"/>
      <c r="I426" s="653"/>
      <c r="J426" s="651"/>
      <c r="K426" s="651" t="s">
        <v>3</v>
      </c>
      <c r="L426" s="654" t="s">
        <v>136</v>
      </c>
      <c r="M426" s="654"/>
      <c r="N426" s="654"/>
      <c r="O426" s="654"/>
      <c r="P426" s="654"/>
      <c r="Q426" s="655"/>
      <c r="R426" s="656">
        <f>SUM(R422:R425)</f>
        <v>0</v>
      </c>
      <c r="S426" s="651"/>
      <c r="T426" s="656">
        <f>SUM(T422:T425)</f>
        <v>0</v>
      </c>
      <c r="U426" s="621"/>
      <c r="V426" s="621"/>
      <c r="W426" s="621"/>
      <c r="X426" s="621"/>
      <c r="Y426" s="621"/>
      <c r="Z426" s="621"/>
      <c r="AA426" s="621"/>
      <c r="AB426" s="621"/>
      <c r="AC426" s="621"/>
      <c r="AD426" s="621"/>
      <c r="AE426" s="621"/>
      <c r="AF426" s="621"/>
      <c r="AG426" s="621"/>
      <c r="AH426" s="621"/>
      <c r="AI426" s="621"/>
      <c r="AJ426" s="621"/>
      <c r="AK426" s="621"/>
      <c r="AL426" s="621"/>
      <c r="AM426" s="621"/>
      <c r="AN426" s="621"/>
      <c r="AO426" s="621"/>
    </row>
    <row r="427" spans="1:41" s="618" customFormat="1" ht="12" thickTop="1">
      <c r="A427" s="616"/>
      <c r="B427" s="622"/>
      <c r="C427" s="616"/>
      <c r="E427" s="37" t="s">
        <v>491</v>
      </c>
      <c r="F427" s="37" t="s">
        <v>492</v>
      </c>
      <c r="G427" s="616"/>
      <c r="H427" s="616"/>
      <c r="I427" s="616"/>
      <c r="J427" s="616"/>
      <c r="K427" s="616" t="s">
        <v>493</v>
      </c>
      <c r="L427" s="616"/>
      <c r="M427" s="616"/>
      <c r="N427" s="616"/>
      <c r="O427" s="617"/>
      <c r="P427" s="616"/>
      <c r="Q427" s="616"/>
      <c r="R427" s="616"/>
      <c r="S427" s="616"/>
      <c r="T427" s="622"/>
      <c r="AG427" s="623" t="s">
        <v>494</v>
      </c>
      <c r="AH427" s="623" t="s">
        <v>495</v>
      </c>
      <c r="AI427" s="623" t="s">
        <v>496</v>
      </c>
      <c r="AJ427" s="623" t="s">
        <v>497</v>
      </c>
      <c r="AK427" s="623" t="s">
        <v>498</v>
      </c>
      <c r="AM427" s="624" t="s">
        <v>499</v>
      </c>
      <c r="AN427" s="625" t="s">
        <v>500</v>
      </c>
      <c r="AO427" s="626" t="s">
        <v>501</v>
      </c>
    </row>
    <row r="428" spans="1:41" s="618" customFormat="1" ht="12" customHeight="1">
      <c r="A428" s="627">
        <v>1</v>
      </c>
      <c r="B428" s="628" t="s">
        <v>330</v>
      </c>
      <c r="C428" s="629"/>
      <c r="D428" s="630" t="s">
        <v>556</v>
      </c>
      <c r="E428" s="631">
        <f>IF(AND($A428=0,$A$1="DIF"),0, ROUND(ROUND(($R433*$S$2+($T433*$T$2))/A428,2)*$C$2,2))</f>
        <v>0</v>
      </c>
      <c r="F428" s="632">
        <f>ROUND($A428*$E428,2)</f>
        <v>0</v>
      </c>
      <c r="G428" s="88" t="s">
        <v>135</v>
      </c>
      <c r="H428" s="2"/>
      <c r="I428" s="633"/>
      <c r="J428" s="2"/>
      <c r="K428" s="2" t="s">
        <v>3</v>
      </c>
      <c r="L428" s="634" t="s">
        <v>136</v>
      </c>
      <c r="M428" s="634"/>
      <c r="N428" s="634"/>
      <c r="O428" s="634"/>
      <c r="P428" s="634"/>
      <c r="Q428" s="616" t="s">
        <v>256</v>
      </c>
      <c r="T428" s="635" t="str">
        <f>IF(AND($R433=0,$T433=0),"0.00","mu :" &amp; ROUND($F428/$C$2/($R433+$T433*$D$9),2))</f>
        <v>0.00</v>
      </c>
      <c r="W428" s="636"/>
      <c r="AG428" s="637">
        <f>IF($E428=0,0,ROUND($R433*$S$2*$C$2/$A428,2))</f>
        <v>0</v>
      </c>
      <c r="AH428" s="637">
        <f>$AG428*$A428</f>
        <v>0</v>
      </c>
      <c r="AI428" s="638">
        <f>$E428-$AG428</f>
        <v>0</v>
      </c>
      <c r="AJ428" s="638">
        <f>$A428*$AI428</f>
        <v>0</v>
      </c>
      <c r="AK428" s="639">
        <f>ROUND(($AG428+$AI428)*$A428,2)</f>
        <v>0</v>
      </c>
      <c r="AM428" s="640">
        <f>ROUND(R433,2)</f>
        <v>0</v>
      </c>
      <c r="AN428" s="641">
        <f>ROUND(T433,2)</f>
        <v>0</v>
      </c>
      <c r="AO428" s="642">
        <f>ROUND(AM428+AN428,2)*A428</f>
        <v>0</v>
      </c>
    </row>
    <row r="429" spans="1:41" s="618" customFormat="1" ht="72">
      <c r="A429" s="616"/>
      <c r="B429" s="616"/>
      <c r="C429" s="616"/>
      <c r="D429" s="744" t="s">
        <v>331</v>
      </c>
      <c r="E429" s="744"/>
      <c r="F429" s="744"/>
      <c r="G429" s="744"/>
      <c r="H429" s="744"/>
      <c r="I429" s="744"/>
      <c r="J429" s="744"/>
      <c r="K429" s="744"/>
      <c r="L429" s="744"/>
      <c r="M429" s="744"/>
      <c r="N429" s="744"/>
      <c r="O429" s="744"/>
      <c r="P429" s="744"/>
      <c r="Q429" s="744"/>
      <c r="R429" s="669"/>
      <c r="S429" s="669"/>
      <c r="T429" s="669"/>
    </row>
    <row r="430" spans="1:41" s="618" customFormat="1" ht="12">
      <c r="A430" s="616"/>
      <c r="B430" s="645"/>
      <c r="C430" s="645"/>
      <c r="D430" s="645"/>
      <c r="E430" s="645"/>
      <c r="F430" s="2"/>
      <c r="G430" s="645"/>
      <c r="H430" s="645"/>
      <c r="I430" s="646"/>
      <c r="J430" s="645"/>
      <c r="K430" s="645"/>
      <c r="L430" s="645"/>
      <c r="M430" s="645"/>
      <c r="N430" s="645"/>
      <c r="O430" s="645"/>
      <c r="P430" s="645"/>
      <c r="Q430" s="646"/>
      <c r="R430" s="647">
        <f t="shared" ref="R430:R431" si="104">$A430*Q430</f>
        <v>0</v>
      </c>
      <c r="S430" s="646"/>
      <c r="T430" s="648">
        <f t="shared" ref="T430:T431" si="105">$A430*S430*$T$1</f>
        <v>0</v>
      </c>
    </row>
    <row r="431" spans="1:41" s="618" customFormat="1" ht="12">
      <c r="A431" s="616"/>
      <c r="B431" s="645"/>
      <c r="C431" s="645"/>
      <c r="D431" s="616" t="s">
        <v>256</v>
      </c>
      <c r="E431" s="645"/>
      <c r="F431" s="2"/>
      <c r="G431" s="645"/>
      <c r="H431" s="645"/>
      <c r="I431" s="646"/>
      <c r="J431" s="645"/>
      <c r="K431" s="645"/>
      <c r="L431" s="645"/>
      <c r="M431" s="645"/>
      <c r="N431" s="645"/>
      <c r="O431" s="645"/>
      <c r="P431" s="645"/>
      <c r="Q431" s="646"/>
      <c r="R431" s="647">
        <f t="shared" si="104"/>
        <v>0</v>
      </c>
      <c r="S431" s="646"/>
      <c r="T431" s="648">
        <f t="shared" si="105"/>
        <v>0</v>
      </c>
    </row>
    <row r="432" spans="1:41" s="618" customFormat="1" ht="12">
      <c r="A432" s="645"/>
      <c r="B432" s="645"/>
      <c r="C432" s="645"/>
      <c r="D432" s="645"/>
      <c r="E432" s="645"/>
      <c r="F432" s="2"/>
      <c r="G432" s="645"/>
      <c r="H432" s="645"/>
      <c r="I432" s="646"/>
      <c r="J432" s="645"/>
      <c r="K432" s="645"/>
      <c r="L432" s="645"/>
      <c r="M432" s="645"/>
      <c r="N432" s="645"/>
      <c r="O432" s="645"/>
      <c r="P432" s="645"/>
      <c r="Q432" s="646"/>
      <c r="R432" s="647">
        <f t="shared" ref="R432" si="106">$A432*Q432</f>
        <v>0</v>
      </c>
      <c r="S432" s="646"/>
      <c r="T432" s="648">
        <f t="shared" ref="T432" si="107">$A432*S432*$T$1</f>
        <v>0</v>
      </c>
    </row>
    <row r="433" spans="1:41" s="618" customFormat="1" ht="12.6" thickBot="1">
      <c r="A433" s="649" t="s">
        <v>137</v>
      </c>
      <c r="B433" s="650">
        <f>(R432+T432)</f>
        <v>0</v>
      </c>
      <c r="C433" s="651"/>
      <c r="D433" s="651"/>
      <c r="E433" s="651"/>
      <c r="F433" s="652"/>
      <c r="G433" s="651" t="s">
        <v>503</v>
      </c>
      <c r="H433" s="651"/>
      <c r="I433" s="653"/>
      <c r="J433" s="651"/>
      <c r="K433" s="651" t="s">
        <v>3</v>
      </c>
      <c r="L433" s="654" t="s">
        <v>136</v>
      </c>
      <c r="M433" s="654"/>
      <c r="N433" s="654"/>
      <c r="O433" s="654"/>
      <c r="P433" s="654"/>
      <c r="Q433" s="655"/>
      <c r="R433" s="656">
        <f>SUM(R429:R432)</f>
        <v>0</v>
      </c>
      <c r="S433" s="651"/>
      <c r="T433" s="656">
        <f>SUM(T429:T432)</f>
        <v>0</v>
      </c>
      <c r="U433" s="621"/>
      <c r="V433" s="621"/>
      <c r="W433" s="621"/>
      <c r="X433" s="621"/>
      <c r="Y433" s="621"/>
      <c r="Z433" s="621"/>
      <c r="AA433" s="621"/>
      <c r="AB433" s="621"/>
      <c r="AC433" s="621"/>
      <c r="AD433" s="621"/>
      <c r="AE433" s="621"/>
      <c r="AF433" s="621"/>
      <c r="AG433" s="621"/>
      <c r="AH433" s="621"/>
      <c r="AI433" s="621"/>
      <c r="AJ433" s="621"/>
      <c r="AK433" s="621"/>
      <c r="AL433" s="621"/>
      <c r="AM433" s="621"/>
      <c r="AN433" s="621"/>
      <c r="AO433" s="621"/>
    </row>
    <row r="434" spans="1:41" s="618" customFormat="1" thickTop="1">
      <c r="A434" s="616"/>
      <c r="B434" s="616"/>
      <c r="C434" s="3"/>
      <c r="D434" s="3"/>
      <c r="E434" s="616"/>
      <c r="F434" s="616"/>
      <c r="G434" s="616"/>
      <c r="H434" s="616"/>
      <c r="I434" s="616"/>
      <c r="J434" s="616"/>
      <c r="K434" s="616" t="s">
        <v>489</v>
      </c>
      <c r="L434" s="616"/>
      <c r="M434" s="616"/>
      <c r="N434" s="616"/>
      <c r="O434" s="617"/>
      <c r="P434" s="616"/>
      <c r="Q434" s="616"/>
      <c r="R434" s="616"/>
      <c r="S434" s="616"/>
      <c r="T434" s="616"/>
    </row>
    <row r="435" spans="1:41" s="618" customFormat="1" ht="12">
      <c r="A435" s="616"/>
      <c r="B435" s="616"/>
      <c r="C435" s="616" t="s">
        <v>490</v>
      </c>
      <c r="D435" s="619"/>
      <c r="E435" s="616"/>
      <c r="F435" s="616"/>
      <c r="G435" s="616"/>
      <c r="H435" s="616"/>
      <c r="I435" s="616"/>
      <c r="J435" s="616"/>
      <c r="K435" s="616"/>
      <c r="L435" s="616"/>
      <c r="M435" s="616"/>
      <c r="N435" s="616"/>
      <c r="O435" s="617"/>
      <c r="P435" s="616"/>
      <c r="Q435" s="616"/>
      <c r="R435" s="616"/>
      <c r="S435" s="616"/>
      <c r="T435" s="616"/>
    </row>
    <row r="436" spans="1:41" s="618" customFormat="1" ht="12">
      <c r="A436" s="616"/>
      <c r="B436" s="616"/>
      <c r="C436" s="616"/>
      <c r="D436" s="619" t="s">
        <v>332</v>
      </c>
      <c r="E436" s="616"/>
      <c r="F436" s="616"/>
      <c r="G436" s="616"/>
      <c r="H436" s="616"/>
      <c r="I436" s="616"/>
      <c r="J436" s="616"/>
      <c r="K436" s="616"/>
      <c r="L436" s="616"/>
      <c r="M436" s="616"/>
      <c r="N436" s="616"/>
      <c r="O436" s="617"/>
      <c r="P436" s="616"/>
      <c r="Q436" s="616"/>
      <c r="R436" s="616"/>
      <c r="S436" s="620"/>
      <c r="T436" s="620"/>
    </row>
    <row r="437" spans="1:41" s="3" customFormat="1" thickBot="1">
      <c r="A437" s="621"/>
      <c r="O437" s="96"/>
    </row>
    <row r="438" spans="1:41" s="618" customFormat="1" ht="12" thickTop="1">
      <c r="A438" s="616"/>
      <c r="B438" s="622"/>
      <c r="C438" s="616"/>
      <c r="E438" s="37" t="s">
        <v>491</v>
      </c>
      <c r="F438" s="37" t="s">
        <v>492</v>
      </c>
      <c r="G438" s="616"/>
      <c r="H438" s="616"/>
      <c r="I438" s="616"/>
      <c r="J438" s="616"/>
      <c r="K438" s="616" t="s">
        <v>493</v>
      </c>
      <c r="L438" s="616"/>
      <c r="M438" s="616"/>
      <c r="N438" s="616"/>
      <c r="O438" s="617"/>
      <c r="P438" s="616"/>
      <c r="Q438" s="616"/>
      <c r="R438" s="616"/>
      <c r="S438" s="616"/>
      <c r="T438" s="622"/>
      <c r="AG438" s="623" t="s">
        <v>494</v>
      </c>
      <c r="AH438" s="623" t="s">
        <v>495</v>
      </c>
      <c r="AI438" s="623" t="s">
        <v>496</v>
      </c>
      <c r="AJ438" s="623" t="s">
        <v>497</v>
      </c>
      <c r="AK438" s="623" t="s">
        <v>498</v>
      </c>
      <c r="AM438" s="624" t="s">
        <v>499</v>
      </c>
      <c r="AN438" s="625" t="s">
        <v>500</v>
      </c>
      <c r="AO438" s="626" t="s">
        <v>501</v>
      </c>
    </row>
    <row r="439" spans="1:41" s="618" customFormat="1" ht="12" customHeight="1">
      <c r="A439" s="627">
        <v>1</v>
      </c>
      <c r="B439" s="628" t="s">
        <v>330</v>
      </c>
      <c r="C439" s="629"/>
      <c r="D439" s="630" t="s">
        <v>557</v>
      </c>
      <c r="E439" s="631">
        <f>IF(AND($A439=0,$A$1="DIF"),0, ROUND(ROUND(($R444*$S$2+($T444*$T$2))/A439,2)*$C$2,2))</f>
        <v>0</v>
      </c>
      <c r="F439" s="632">
        <f>ROUND($A439*$E439,2)</f>
        <v>0</v>
      </c>
      <c r="G439" s="88" t="s">
        <v>135</v>
      </c>
      <c r="H439" s="2"/>
      <c r="I439" s="633"/>
      <c r="J439" s="2"/>
      <c r="K439" s="2" t="s">
        <v>3</v>
      </c>
      <c r="L439" s="634" t="s">
        <v>136</v>
      </c>
      <c r="M439" s="634"/>
      <c r="N439" s="634"/>
      <c r="O439" s="634"/>
      <c r="P439" s="634"/>
      <c r="Q439" s="616" t="s">
        <v>256</v>
      </c>
      <c r="T439" s="635" t="str">
        <f>IF(AND($R444=0,$T444=0),"0.00","mu :" &amp; ROUND($F439/$C$2/($R444+$T444*$D$9),2))</f>
        <v>0.00</v>
      </c>
      <c r="W439" s="636"/>
      <c r="AG439" s="637">
        <f>IF($E439=0,0,ROUND($R444*$S$2*$C$2/$A439,2))</f>
        <v>0</v>
      </c>
      <c r="AH439" s="637">
        <f>$AG439*$A439</f>
        <v>0</v>
      </c>
      <c r="AI439" s="638">
        <f>$E439-$AG439</f>
        <v>0</v>
      </c>
      <c r="AJ439" s="638">
        <f>$A439*$AI439</f>
        <v>0</v>
      </c>
      <c r="AK439" s="639">
        <f>ROUND(($AG439+$AI439)*$A439,2)</f>
        <v>0</v>
      </c>
      <c r="AM439" s="640">
        <f>ROUND(R444,2)</f>
        <v>0</v>
      </c>
      <c r="AN439" s="641">
        <f>ROUND(T444,2)</f>
        <v>0</v>
      </c>
      <c r="AO439" s="642">
        <f>ROUND(AM439+AN439,2)*A439</f>
        <v>0</v>
      </c>
    </row>
    <row r="440" spans="1:41" s="618" customFormat="1" ht="24">
      <c r="A440" s="616"/>
      <c r="B440" s="616"/>
      <c r="C440" s="616"/>
      <c r="D440" s="744" t="s">
        <v>333</v>
      </c>
      <c r="E440" s="744"/>
      <c r="F440" s="744"/>
      <c r="G440" s="744"/>
      <c r="H440" s="744"/>
      <c r="I440" s="744"/>
      <c r="J440" s="744"/>
      <c r="K440" s="744"/>
      <c r="L440" s="744"/>
      <c r="M440" s="744"/>
      <c r="N440" s="744"/>
      <c r="O440" s="744"/>
      <c r="P440" s="744"/>
      <c r="Q440" s="744"/>
      <c r="R440" s="669"/>
      <c r="S440" s="669"/>
      <c r="T440" s="669"/>
    </row>
    <row r="441" spans="1:41" s="618" customFormat="1" ht="12">
      <c r="A441" s="616"/>
      <c r="B441" s="645"/>
      <c r="C441" s="645"/>
      <c r="D441" s="645"/>
      <c r="E441" s="645"/>
      <c r="F441" s="2"/>
      <c r="G441" s="645"/>
      <c r="H441" s="645"/>
      <c r="I441" s="646"/>
      <c r="J441" s="645"/>
      <c r="K441" s="645"/>
      <c r="L441" s="645"/>
      <c r="M441" s="645"/>
      <c r="N441" s="645"/>
      <c r="O441" s="645"/>
      <c r="P441" s="645"/>
      <c r="Q441" s="646"/>
      <c r="R441" s="647">
        <f t="shared" ref="R441:R443" si="108">$A441*Q441</f>
        <v>0</v>
      </c>
      <c r="S441" s="646"/>
      <c r="T441" s="648">
        <f t="shared" ref="T441:T443" si="109">$A441*S441*$T$1</f>
        <v>0</v>
      </c>
    </row>
    <row r="442" spans="1:41" s="618" customFormat="1" ht="12">
      <c r="A442" s="616"/>
      <c r="B442" s="645"/>
      <c r="C442" s="645"/>
      <c r="D442" s="616" t="s">
        <v>256</v>
      </c>
      <c r="E442" s="645"/>
      <c r="F442" s="2"/>
      <c r="G442" s="645"/>
      <c r="H442" s="645"/>
      <c r="I442" s="646"/>
      <c r="J442" s="645"/>
      <c r="K442" s="645"/>
      <c r="L442" s="645"/>
      <c r="M442" s="645"/>
      <c r="N442" s="645"/>
      <c r="O442" s="645"/>
      <c r="P442" s="645"/>
      <c r="Q442" s="646"/>
      <c r="R442" s="647">
        <f t="shared" si="108"/>
        <v>0</v>
      </c>
      <c r="S442" s="646"/>
      <c r="T442" s="648">
        <f t="shared" si="109"/>
        <v>0</v>
      </c>
    </row>
    <row r="443" spans="1:41" s="618" customFormat="1" ht="12">
      <c r="A443" s="645"/>
      <c r="B443" s="645"/>
      <c r="C443" s="645"/>
      <c r="D443" s="645"/>
      <c r="E443" s="645"/>
      <c r="F443" s="2"/>
      <c r="G443" s="645"/>
      <c r="H443" s="645"/>
      <c r="I443" s="646"/>
      <c r="J443" s="645"/>
      <c r="K443" s="645"/>
      <c r="L443" s="645"/>
      <c r="M443" s="645"/>
      <c r="N443" s="645"/>
      <c r="O443" s="645"/>
      <c r="P443" s="645"/>
      <c r="Q443" s="646"/>
      <c r="R443" s="647">
        <f t="shared" si="108"/>
        <v>0</v>
      </c>
      <c r="S443" s="646"/>
      <c r="T443" s="648">
        <f t="shared" si="109"/>
        <v>0</v>
      </c>
    </row>
    <row r="444" spans="1:41" s="618" customFormat="1" ht="12.6" thickBot="1">
      <c r="A444" s="649" t="s">
        <v>137</v>
      </c>
      <c r="B444" s="650">
        <f>(R443+T443)</f>
        <v>0</v>
      </c>
      <c r="C444" s="651"/>
      <c r="D444" s="651"/>
      <c r="E444" s="651"/>
      <c r="F444" s="652"/>
      <c r="G444" s="651" t="s">
        <v>503</v>
      </c>
      <c r="H444" s="651"/>
      <c r="I444" s="653"/>
      <c r="J444" s="651"/>
      <c r="K444" s="651" t="s">
        <v>3</v>
      </c>
      <c r="L444" s="654" t="s">
        <v>136</v>
      </c>
      <c r="M444" s="654"/>
      <c r="N444" s="654"/>
      <c r="O444" s="654"/>
      <c r="P444" s="654"/>
      <c r="Q444" s="655"/>
      <c r="R444" s="656">
        <f>SUM(R440:R443)</f>
        <v>0</v>
      </c>
      <c r="S444" s="651"/>
      <c r="T444" s="656">
        <f>SUM(T440:T443)</f>
        <v>0</v>
      </c>
      <c r="U444" s="621"/>
      <c r="V444" s="621"/>
      <c r="W444" s="621"/>
      <c r="X444" s="621"/>
      <c r="Y444" s="621"/>
      <c r="Z444" s="621"/>
      <c r="AA444" s="621"/>
      <c r="AB444" s="621"/>
      <c r="AC444" s="621"/>
      <c r="AD444" s="621"/>
      <c r="AE444" s="621"/>
      <c r="AF444" s="621"/>
      <c r="AG444" s="621"/>
      <c r="AH444" s="621"/>
      <c r="AI444" s="621"/>
      <c r="AJ444" s="621"/>
      <c r="AK444" s="621"/>
      <c r="AL444" s="621"/>
      <c r="AM444" s="621"/>
      <c r="AN444" s="621"/>
      <c r="AO444" s="621"/>
    </row>
    <row r="445" spans="1:41" s="618" customFormat="1" thickTop="1">
      <c r="A445" s="616"/>
      <c r="B445" s="616"/>
      <c r="C445" s="3"/>
      <c r="D445" s="3"/>
      <c r="E445" s="616"/>
      <c r="F445" s="616"/>
      <c r="G445" s="616"/>
      <c r="H445" s="616"/>
      <c r="I445" s="616"/>
      <c r="J445" s="616"/>
      <c r="K445" s="616" t="s">
        <v>489</v>
      </c>
      <c r="L445" s="616"/>
      <c r="M445" s="616"/>
      <c r="N445" s="616"/>
      <c r="O445" s="617"/>
      <c r="P445" s="616"/>
      <c r="Q445" s="616"/>
      <c r="R445" s="616"/>
      <c r="S445" s="616"/>
      <c r="T445" s="616"/>
    </row>
    <row r="446" spans="1:41" s="618" customFormat="1" ht="12">
      <c r="A446" s="616"/>
      <c r="B446" s="616"/>
      <c r="C446" s="616" t="s">
        <v>490</v>
      </c>
      <c r="D446" s="619"/>
      <c r="E446" s="616"/>
      <c r="F446" s="616"/>
      <c r="G446" s="616"/>
      <c r="H446" s="616"/>
      <c r="I446" s="616"/>
      <c r="J446" s="616"/>
      <c r="K446" s="616"/>
      <c r="L446" s="616"/>
      <c r="M446" s="616"/>
      <c r="N446" s="616"/>
      <c r="O446" s="617"/>
      <c r="P446" s="616"/>
      <c r="Q446" s="616"/>
      <c r="R446" s="616"/>
      <c r="S446" s="616"/>
      <c r="T446" s="616"/>
    </row>
    <row r="447" spans="1:41" s="618" customFormat="1" ht="12">
      <c r="A447" s="616"/>
      <c r="B447" s="616"/>
      <c r="C447" s="616"/>
      <c r="D447" s="619" t="s">
        <v>334</v>
      </c>
      <c r="E447" s="616"/>
      <c r="F447" s="616"/>
      <c r="G447" s="616"/>
      <c r="H447" s="616"/>
      <c r="I447" s="616"/>
      <c r="J447" s="616"/>
      <c r="K447" s="616"/>
      <c r="L447" s="616"/>
      <c r="M447" s="616"/>
      <c r="N447" s="616"/>
      <c r="O447" s="617"/>
      <c r="P447" s="616"/>
      <c r="Q447" s="616"/>
      <c r="R447" s="616"/>
      <c r="S447" s="620"/>
      <c r="T447" s="620"/>
    </row>
    <row r="448" spans="1:41" s="3" customFormat="1" thickBot="1">
      <c r="A448" s="621"/>
      <c r="O448" s="96"/>
    </row>
    <row r="449" spans="1:41" s="618" customFormat="1" ht="12" thickTop="1">
      <c r="A449" s="616"/>
      <c r="B449" s="622"/>
      <c r="C449" s="616"/>
      <c r="E449" s="37" t="s">
        <v>491</v>
      </c>
      <c r="F449" s="37" t="s">
        <v>492</v>
      </c>
      <c r="G449" s="616"/>
      <c r="H449" s="616"/>
      <c r="I449" s="616"/>
      <c r="J449" s="616"/>
      <c r="K449" s="616" t="s">
        <v>493</v>
      </c>
      <c r="L449" s="616"/>
      <c r="M449" s="616"/>
      <c r="N449" s="616"/>
      <c r="O449" s="617"/>
      <c r="P449" s="616"/>
      <c r="Q449" s="616"/>
      <c r="R449" s="616"/>
      <c r="S449" s="616"/>
      <c r="T449" s="622"/>
      <c r="AG449" s="623" t="s">
        <v>494</v>
      </c>
      <c r="AH449" s="623" t="s">
        <v>495</v>
      </c>
      <c r="AI449" s="623" t="s">
        <v>496</v>
      </c>
      <c r="AJ449" s="623" t="s">
        <v>497</v>
      </c>
      <c r="AK449" s="623" t="s">
        <v>498</v>
      </c>
      <c r="AM449" s="624" t="s">
        <v>499</v>
      </c>
      <c r="AN449" s="625" t="s">
        <v>500</v>
      </c>
      <c r="AO449" s="626" t="s">
        <v>501</v>
      </c>
    </row>
    <row r="450" spans="1:41" s="618" customFormat="1" ht="12" customHeight="1">
      <c r="A450" s="627">
        <v>1</v>
      </c>
      <c r="B450" s="628" t="s">
        <v>330</v>
      </c>
      <c r="C450" s="629"/>
      <c r="D450" s="630" t="s">
        <v>558</v>
      </c>
      <c r="E450" s="631">
        <f>IF(AND($A450=0,$A$1="DIF"),0, ROUND(ROUND(($R455*$S$2+($T455*$T$2))/A450,2)*$C$2,2))</f>
        <v>0</v>
      </c>
      <c r="F450" s="632">
        <f>ROUND($A450*$E450,2)</f>
        <v>0</v>
      </c>
      <c r="G450" s="88" t="s">
        <v>135</v>
      </c>
      <c r="H450" s="2"/>
      <c r="I450" s="633"/>
      <c r="J450" s="2"/>
      <c r="K450" s="2" t="s">
        <v>3</v>
      </c>
      <c r="L450" s="634" t="s">
        <v>136</v>
      </c>
      <c r="M450" s="634"/>
      <c r="N450" s="634"/>
      <c r="O450" s="634"/>
      <c r="P450" s="634"/>
      <c r="Q450" s="616" t="s">
        <v>256</v>
      </c>
      <c r="T450" s="635" t="str">
        <f>IF(AND($R455=0,$T455=0),"0.00","mu :" &amp; ROUND($F450/$C$2/($R455+$T455*$D$9),2))</f>
        <v>0.00</v>
      </c>
      <c r="W450" s="636"/>
      <c r="AG450" s="637">
        <f>IF($E450=0,0,ROUND($R455*$S$2*$C$2/$A450,2))</f>
        <v>0</v>
      </c>
      <c r="AH450" s="637">
        <f>$AG450*$A450</f>
        <v>0</v>
      </c>
      <c r="AI450" s="638">
        <f>$E450-$AG450</f>
        <v>0</v>
      </c>
      <c r="AJ450" s="638">
        <f>$A450*$AI450</f>
        <v>0</v>
      </c>
      <c r="AK450" s="639">
        <f>ROUND(($AG450+$AI450)*$A450,2)</f>
        <v>0</v>
      </c>
      <c r="AM450" s="640">
        <f>ROUND(R455,2)</f>
        <v>0</v>
      </c>
      <c r="AN450" s="641">
        <f>ROUND(T455,2)</f>
        <v>0</v>
      </c>
      <c r="AO450" s="642">
        <f>ROUND(AM450+AN450,2)*A450</f>
        <v>0</v>
      </c>
    </row>
    <row r="451" spans="1:41" s="618" customFormat="1" ht="24">
      <c r="A451" s="616"/>
      <c r="B451" s="616"/>
      <c r="C451" s="616"/>
      <c r="D451" s="744" t="s">
        <v>335</v>
      </c>
      <c r="E451" s="744"/>
      <c r="F451" s="744"/>
      <c r="G451" s="744"/>
      <c r="H451" s="744"/>
      <c r="I451" s="744"/>
      <c r="J451" s="744"/>
      <c r="K451" s="744" t="s">
        <v>502</v>
      </c>
      <c r="L451" s="744"/>
      <c r="M451" s="744"/>
      <c r="N451" s="744"/>
      <c r="O451" s="744"/>
      <c r="P451" s="744"/>
      <c r="Q451" s="744"/>
      <c r="R451" s="669"/>
      <c r="S451" s="669"/>
      <c r="T451" s="669"/>
    </row>
    <row r="452" spans="1:41" s="618" customFormat="1" ht="12">
      <c r="A452" s="616"/>
      <c r="B452" s="645"/>
      <c r="C452" s="645"/>
      <c r="D452" s="645"/>
      <c r="E452" s="645"/>
      <c r="F452" s="2"/>
      <c r="G452" s="645"/>
      <c r="H452" s="645"/>
      <c r="I452" s="646"/>
      <c r="J452" s="645"/>
      <c r="K452" s="645"/>
      <c r="L452" s="645"/>
      <c r="M452" s="645"/>
      <c r="N452" s="645"/>
      <c r="O452" s="645"/>
      <c r="P452" s="645"/>
      <c r="Q452" s="646"/>
      <c r="R452" s="647">
        <f t="shared" ref="R452:R454" si="110">$A452*Q452</f>
        <v>0</v>
      </c>
      <c r="S452" s="646"/>
      <c r="T452" s="648">
        <f t="shared" ref="T452:T454" si="111">$A452*S452*$T$1</f>
        <v>0</v>
      </c>
    </row>
    <row r="453" spans="1:41" s="618" customFormat="1" ht="12">
      <c r="A453" s="616"/>
      <c r="B453" s="645"/>
      <c r="C453" s="645"/>
      <c r="D453" s="616" t="s">
        <v>256</v>
      </c>
      <c r="E453" s="645"/>
      <c r="F453" s="2"/>
      <c r="G453" s="645"/>
      <c r="H453" s="645"/>
      <c r="I453" s="646"/>
      <c r="J453" s="645"/>
      <c r="K453" s="645"/>
      <c r="L453" s="645"/>
      <c r="M453" s="645"/>
      <c r="N453" s="645"/>
      <c r="O453" s="645"/>
      <c r="P453" s="645"/>
      <c r="Q453" s="646"/>
      <c r="R453" s="647">
        <f t="shared" si="110"/>
        <v>0</v>
      </c>
      <c r="S453" s="646"/>
      <c r="T453" s="648">
        <f t="shared" si="111"/>
        <v>0</v>
      </c>
    </row>
    <row r="454" spans="1:41" s="618" customFormat="1" ht="12">
      <c r="A454" s="645"/>
      <c r="B454" s="645"/>
      <c r="C454" s="645"/>
      <c r="D454" s="645"/>
      <c r="E454" s="645"/>
      <c r="F454" s="2"/>
      <c r="G454" s="645"/>
      <c r="H454" s="645"/>
      <c r="I454" s="646"/>
      <c r="J454" s="645"/>
      <c r="K454" s="645"/>
      <c r="L454" s="645"/>
      <c r="M454" s="645"/>
      <c r="N454" s="645"/>
      <c r="O454" s="645"/>
      <c r="P454" s="645"/>
      <c r="Q454" s="646"/>
      <c r="R454" s="647">
        <f t="shared" si="110"/>
        <v>0</v>
      </c>
      <c r="S454" s="646"/>
      <c r="T454" s="648">
        <f t="shared" si="111"/>
        <v>0</v>
      </c>
    </row>
    <row r="455" spans="1:41" s="618" customFormat="1" ht="12.6" thickBot="1">
      <c r="A455" s="649" t="s">
        <v>137</v>
      </c>
      <c r="B455" s="650">
        <f>(R454+T454)</f>
        <v>0</v>
      </c>
      <c r="C455" s="651"/>
      <c r="D455" s="651"/>
      <c r="E455" s="651"/>
      <c r="F455" s="652"/>
      <c r="G455" s="651" t="s">
        <v>503</v>
      </c>
      <c r="H455" s="651"/>
      <c r="I455" s="653"/>
      <c r="J455" s="651"/>
      <c r="K455" s="651" t="s">
        <v>3</v>
      </c>
      <c r="L455" s="654" t="s">
        <v>136</v>
      </c>
      <c r="M455" s="654"/>
      <c r="N455" s="654"/>
      <c r="O455" s="654"/>
      <c r="P455" s="654"/>
      <c r="Q455" s="655"/>
      <c r="R455" s="656">
        <f>SUM(R451:R454)</f>
        <v>0</v>
      </c>
      <c r="S455" s="651"/>
      <c r="T455" s="656">
        <f>SUM(T451:T454)</f>
        <v>0</v>
      </c>
      <c r="U455" s="621"/>
      <c r="V455" s="621"/>
      <c r="W455" s="621"/>
      <c r="X455" s="621"/>
      <c r="Y455" s="621"/>
      <c r="Z455" s="621"/>
      <c r="AA455" s="621"/>
      <c r="AB455" s="621"/>
      <c r="AC455" s="621"/>
      <c r="AD455" s="621"/>
      <c r="AE455" s="621"/>
      <c r="AF455" s="621"/>
      <c r="AG455" s="621"/>
      <c r="AH455" s="621"/>
      <c r="AI455" s="621"/>
      <c r="AJ455" s="621"/>
      <c r="AK455" s="621"/>
      <c r="AL455" s="621"/>
      <c r="AM455" s="621"/>
      <c r="AN455" s="621"/>
      <c r="AO455" s="621"/>
    </row>
    <row r="456" spans="1:41" s="618" customFormat="1" ht="12" thickTop="1">
      <c r="A456" s="616"/>
      <c r="B456" s="622"/>
      <c r="C456" s="616"/>
      <c r="E456" s="37" t="s">
        <v>491</v>
      </c>
      <c r="F456" s="37" t="s">
        <v>492</v>
      </c>
      <c r="G456" s="616"/>
      <c r="H456" s="616"/>
      <c r="I456" s="616"/>
      <c r="J456" s="616"/>
      <c r="K456" s="616" t="s">
        <v>493</v>
      </c>
      <c r="L456" s="616"/>
      <c r="M456" s="616"/>
      <c r="N456" s="616"/>
      <c r="O456" s="617"/>
      <c r="P456" s="616"/>
      <c r="Q456" s="616"/>
      <c r="R456" s="616"/>
      <c r="S456" s="616"/>
      <c r="T456" s="622"/>
      <c r="AG456" s="623" t="s">
        <v>494</v>
      </c>
      <c r="AH456" s="623" t="s">
        <v>495</v>
      </c>
      <c r="AI456" s="623" t="s">
        <v>496</v>
      </c>
      <c r="AJ456" s="623" t="s">
        <v>497</v>
      </c>
      <c r="AK456" s="623" t="s">
        <v>498</v>
      </c>
      <c r="AM456" s="624" t="s">
        <v>499</v>
      </c>
      <c r="AN456" s="625" t="s">
        <v>500</v>
      </c>
      <c r="AO456" s="626" t="s">
        <v>501</v>
      </c>
    </row>
    <row r="457" spans="1:41" s="618" customFormat="1" ht="12" customHeight="1">
      <c r="A457" s="627">
        <v>1</v>
      </c>
      <c r="B457" s="628" t="s">
        <v>330</v>
      </c>
      <c r="C457" s="629"/>
      <c r="D457" s="630" t="s">
        <v>598</v>
      </c>
      <c r="E457" s="631">
        <f>IF(AND($A457=0,$A$1="DIF"),0, ROUND(ROUND(($R462*$S$2+($T462*$T$2))/A457,2)*$C$2,2))</f>
        <v>0</v>
      </c>
      <c r="F457" s="632">
        <f>ROUND($A457*$E457,2)</f>
        <v>0</v>
      </c>
      <c r="G457" s="88" t="s">
        <v>135</v>
      </c>
      <c r="H457" s="2"/>
      <c r="I457" s="633"/>
      <c r="J457" s="2"/>
      <c r="K457" s="2" t="s">
        <v>3</v>
      </c>
      <c r="L457" s="634" t="s">
        <v>136</v>
      </c>
      <c r="M457" s="634"/>
      <c r="N457" s="634"/>
      <c r="O457" s="634"/>
      <c r="P457" s="634"/>
      <c r="Q457" s="616" t="s">
        <v>256</v>
      </c>
      <c r="T457" s="635" t="str">
        <f>IF(AND($R462=0,$T462=0),"0.00","mu :" &amp; ROUND($F457/$C$2/($R462+$T462*$D$9),2))</f>
        <v>0.00</v>
      </c>
      <c r="W457" s="636"/>
      <c r="AG457" s="637">
        <f>IF($E457=0,0,ROUND($R462*$S$2*$C$2/$A457,2))</f>
        <v>0</v>
      </c>
      <c r="AH457" s="637">
        <f>$AG457*$A457</f>
        <v>0</v>
      </c>
      <c r="AI457" s="638">
        <f>$E457-$AG457</f>
        <v>0</v>
      </c>
      <c r="AJ457" s="638">
        <f>$A457*$AI457</f>
        <v>0</v>
      </c>
      <c r="AK457" s="639">
        <f>ROUND(($AG457+$AI457)*$A457,2)</f>
        <v>0</v>
      </c>
      <c r="AM457" s="640">
        <f>ROUND(R462,2)</f>
        <v>0</v>
      </c>
      <c r="AN457" s="641">
        <f>ROUND(T462,2)</f>
        <v>0</v>
      </c>
      <c r="AO457" s="642">
        <f>ROUND(AM457+AN457,2)*A457</f>
        <v>0</v>
      </c>
    </row>
    <row r="458" spans="1:41" s="618" customFormat="1" ht="24">
      <c r="A458" s="616"/>
      <c r="B458" s="616"/>
      <c r="C458" s="616"/>
      <c r="D458" s="744" t="s">
        <v>346</v>
      </c>
      <c r="E458" s="744"/>
      <c r="F458" s="744"/>
      <c r="G458" s="744"/>
      <c r="H458" s="744"/>
      <c r="I458" s="744"/>
      <c r="J458" s="744"/>
      <c r="K458" s="744"/>
      <c r="L458" s="744"/>
      <c r="M458" s="744"/>
      <c r="N458" s="744"/>
      <c r="O458" s="744"/>
      <c r="P458" s="744"/>
      <c r="Q458" s="744"/>
      <c r="R458" s="669"/>
      <c r="S458" s="669"/>
      <c r="T458" s="669"/>
    </row>
    <row r="459" spans="1:41" s="618" customFormat="1" ht="12">
      <c r="A459" s="616"/>
      <c r="B459" s="645"/>
      <c r="C459" s="645"/>
      <c r="D459" s="645"/>
      <c r="E459" s="645"/>
      <c r="F459" s="2"/>
      <c r="G459" s="645"/>
      <c r="H459" s="645"/>
      <c r="I459" s="646"/>
      <c r="J459" s="645"/>
      <c r="K459" s="645"/>
      <c r="L459" s="645"/>
      <c r="M459" s="645"/>
      <c r="N459" s="645"/>
      <c r="O459" s="645"/>
      <c r="P459" s="645"/>
      <c r="Q459" s="646"/>
      <c r="R459" s="647">
        <f t="shared" ref="R459:R461" si="112">$A459*Q459</f>
        <v>0</v>
      </c>
      <c r="S459" s="646"/>
      <c r="T459" s="648">
        <f t="shared" ref="T459:T461" si="113">$A459*S459*$T$1</f>
        <v>0</v>
      </c>
    </row>
    <row r="460" spans="1:41" s="618" customFormat="1" ht="12">
      <c r="A460" s="616"/>
      <c r="B460" s="645"/>
      <c r="C460" s="645"/>
      <c r="D460" s="616" t="s">
        <v>256</v>
      </c>
      <c r="E460" s="645"/>
      <c r="F460" s="2"/>
      <c r="G460" s="645"/>
      <c r="H460" s="645"/>
      <c r="I460" s="646"/>
      <c r="J460" s="645"/>
      <c r="K460" s="645"/>
      <c r="L460" s="645"/>
      <c r="M460" s="645"/>
      <c r="N460" s="645"/>
      <c r="O460" s="645"/>
      <c r="P460" s="645"/>
      <c r="Q460" s="646"/>
      <c r="R460" s="647">
        <f t="shared" si="112"/>
        <v>0</v>
      </c>
      <c r="S460" s="646"/>
      <c r="T460" s="648">
        <f t="shared" si="113"/>
        <v>0</v>
      </c>
    </row>
    <row r="461" spans="1:41" s="618" customFormat="1" ht="12">
      <c r="A461" s="645"/>
      <c r="B461" s="645"/>
      <c r="C461" s="645"/>
      <c r="D461" s="645"/>
      <c r="E461" s="645"/>
      <c r="F461" s="2"/>
      <c r="G461" s="645"/>
      <c r="H461" s="645"/>
      <c r="I461" s="646"/>
      <c r="J461" s="645"/>
      <c r="K461" s="645"/>
      <c r="L461" s="645"/>
      <c r="M461" s="645"/>
      <c r="N461" s="645"/>
      <c r="O461" s="645"/>
      <c r="P461" s="645"/>
      <c r="Q461" s="646"/>
      <c r="R461" s="647">
        <f t="shared" si="112"/>
        <v>0</v>
      </c>
      <c r="S461" s="646"/>
      <c r="T461" s="648">
        <f t="shared" si="113"/>
        <v>0</v>
      </c>
    </row>
    <row r="462" spans="1:41" s="618" customFormat="1" ht="12.6" thickBot="1">
      <c r="A462" s="649" t="s">
        <v>137</v>
      </c>
      <c r="B462" s="650">
        <f>(R461+T461)</f>
        <v>0</v>
      </c>
      <c r="C462" s="651"/>
      <c r="D462" s="651"/>
      <c r="E462" s="651"/>
      <c r="F462" s="652"/>
      <c r="G462" s="651" t="s">
        <v>503</v>
      </c>
      <c r="H462" s="651"/>
      <c r="I462" s="653"/>
      <c r="J462" s="651"/>
      <c r="K462" s="651" t="s">
        <v>3</v>
      </c>
      <c r="L462" s="654" t="s">
        <v>136</v>
      </c>
      <c r="M462" s="654"/>
      <c r="N462" s="654"/>
      <c r="O462" s="654"/>
      <c r="P462" s="654"/>
      <c r="Q462" s="655"/>
      <c r="R462" s="656">
        <f>SUM(R458:R461)</f>
        <v>0</v>
      </c>
      <c r="S462" s="651"/>
      <c r="T462" s="656">
        <f>SUM(T458:T461)</f>
        <v>0</v>
      </c>
      <c r="U462" s="621"/>
      <c r="V462" s="621"/>
      <c r="W462" s="621"/>
      <c r="X462" s="621"/>
      <c r="Y462" s="621"/>
      <c r="Z462" s="621"/>
      <c r="AA462" s="621"/>
      <c r="AB462" s="621"/>
      <c r="AC462" s="621"/>
      <c r="AD462" s="621"/>
      <c r="AE462" s="621"/>
      <c r="AF462" s="621"/>
      <c r="AG462" s="621"/>
      <c r="AH462" s="621"/>
      <c r="AI462" s="621"/>
      <c r="AJ462" s="621"/>
      <c r="AK462" s="621"/>
      <c r="AL462" s="621"/>
      <c r="AM462" s="621"/>
      <c r="AN462" s="621"/>
      <c r="AO462" s="621"/>
    </row>
    <row r="463" spans="1:41" s="618" customFormat="1" ht="12" thickTop="1">
      <c r="A463" s="616"/>
      <c r="B463" s="622"/>
      <c r="C463" s="616"/>
      <c r="E463" s="37" t="s">
        <v>491</v>
      </c>
      <c r="F463" s="37" t="s">
        <v>492</v>
      </c>
      <c r="G463" s="616"/>
      <c r="H463" s="616"/>
      <c r="I463" s="616"/>
      <c r="J463" s="616"/>
      <c r="K463" s="616" t="s">
        <v>493</v>
      </c>
      <c r="L463" s="616"/>
      <c r="M463" s="616"/>
      <c r="N463" s="616"/>
      <c r="O463" s="617"/>
      <c r="P463" s="616"/>
      <c r="Q463" s="616"/>
      <c r="R463" s="616"/>
      <c r="S463" s="616"/>
      <c r="T463" s="622"/>
      <c r="AG463" s="623" t="s">
        <v>494</v>
      </c>
      <c r="AH463" s="623" t="s">
        <v>495</v>
      </c>
      <c r="AI463" s="623" t="s">
        <v>496</v>
      </c>
      <c r="AJ463" s="623" t="s">
        <v>497</v>
      </c>
      <c r="AK463" s="623" t="s">
        <v>498</v>
      </c>
      <c r="AM463" s="624" t="s">
        <v>499</v>
      </c>
      <c r="AN463" s="625" t="s">
        <v>500</v>
      </c>
      <c r="AO463" s="626" t="s">
        <v>501</v>
      </c>
    </row>
    <row r="464" spans="1:41" s="618" customFormat="1" ht="12" customHeight="1">
      <c r="A464" s="627">
        <v>1</v>
      </c>
      <c r="B464" s="628" t="s">
        <v>255</v>
      </c>
      <c r="C464" s="629"/>
      <c r="D464" s="630" t="s">
        <v>559</v>
      </c>
      <c r="E464" s="631">
        <f>IF(AND($A464=0,$A$1="DIF"),0, ROUND(ROUND(($R469*$S$2+($T469*$T$2))/A464,2)*$C$2,2))</f>
        <v>0</v>
      </c>
      <c r="F464" s="632">
        <f>ROUND($A464*$E464,2)</f>
        <v>0</v>
      </c>
      <c r="G464" s="88" t="s">
        <v>135</v>
      </c>
      <c r="H464" s="2"/>
      <c r="I464" s="633"/>
      <c r="J464" s="2"/>
      <c r="K464" s="2" t="s">
        <v>3</v>
      </c>
      <c r="L464" s="634" t="s">
        <v>136</v>
      </c>
      <c r="M464" s="634"/>
      <c r="N464" s="634"/>
      <c r="O464" s="634"/>
      <c r="P464" s="634"/>
      <c r="Q464" s="616" t="s">
        <v>256</v>
      </c>
      <c r="T464" s="635" t="str">
        <f>IF(AND($R469=0,$T469=0),"0.00","mu :" &amp; ROUND($F464/$C$2/($R469+$T469*$D$9),2))</f>
        <v>0.00</v>
      </c>
      <c r="W464" s="636"/>
      <c r="AG464" s="637">
        <f>IF($E464=0,0,ROUND($R469*$S$2*$C$2/$A464,2))</f>
        <v>0</v>
      </c>
      <c r="AH464" s="637">
        <f>$AG464*$A464</f>
        <v>0</v>
      </c>
      <c r="AI464" s="638">
        <f>$E464-$AG464</f>
        <v>0</v>
      </c>
      <c r="AJ464" s="638">
        <f>$A464*$AI464</f>
        <v>0</v>
      </c>
      <c r="AK464" s="639">
        <f>ROUND(($AG464+$AI464)*$A464,2)</f>
        <v>0</v>
      </c>
      <c r="AM464" s="640">
        <f>ROUND(R469,2)</f>
        <v>0</v>
      </c>
      <c r="AN464" s="641">
        <f>ROUND(T469,2)</f>
        <v>0</v>
      </c>
      <c r="AO464" s="642">
        <f>ROUND(AM464+AN464,2)*A464</f>
        <v>0</v>
      </c>
    </row>
    <row r="465" spans="1:41" s="618" customFormat="1" ht="13.2">
      <c r="A465" s="629"/>
      <c r="B465"/>
      <c r="C465" s="629"/>
      <c r="D465" s="630" t="s">
        <v>347</v>
      </c>
      <c r="F465" s="2"/>
      <c r="G465" s="3"/>
      <c r="H465" s="2"/>
      <c r="I465" s="633"/>
      <c r="J465" s="2"/>
      <c r="K465" s="2" t="s">
        <v>502</v>
      </c>
      <c r="L465" s="2"/>
      <c r="M465" s="2"/>
      <c r="N465" s="2"/>
      <c r="O465" s="2"/>
      <c r="P465" s="2"/>
      <c r="Q465" s="616"/>
      <c r="R465" s="643"/>
      <c r="S465" s="644"/>
      <c r="T465" s="2"/>
    </row>
    <row r="466" spans="1:41" s="618" customFormat="1" ht="12">
      <c r="A466" s="616"/>
      <c r="B466" s="645"/>
      <c r="C466" s="645"/>
      <c r="D466" s="645"/>
      <c r="E466" s="645"/>
      <c r="F466" s="2"/>
      <c r="G466" s="645"/>
      <c r="H466" s="645"/>
      <c r="I466" s="646"/>
      <c r="J466" s="645"/>
      <c r="K466" s="645"/>
      <c r="L466" s="645"/>
      <c r="M466" s="645"/>
      <c r="N466" s="645"/>
      <c r="O466" s="645"/>
      <c r="P466" s="645"/>
      <c r="Q466" s="646"/>
      <c r="R466" s="647">
        <f t="shared" ref="R466:R468" si="114">$A466*Q466</f>
        <v>0</v>
      </c>
      <c r="S466" s="646"/>
      <c r="T466" s="648">
        <f t="shared" ref="T466:T468" si="115">$A466*S466*$T$1</f>
        <v>0</v>
      </c>
    </row>
    <row r="467" spans="1:41" s="618" customFormat="1" ht="12">
      <c r="A467" s="616"/>
      <c r="B467" s="645"/>
      <c r="C467" s="645"/>
      <c r="D467" s="616" t="s">
        <v>630</v>
      </c>
      <c r="E467" s="645"/>
      <c r="F467" s="2"/>
      <c r="G467" s="645"/>
      <c r="H467" s="645"/>
      <c r="I467" s="646"/>
      <c r="J467" s="645"/>
      <c r="K467" s="645"/>
      <c r="L467" s="645"/>
      <c r="M467" s="645"/>
      <c r="N467" s="645"/>
      <c r="O467" s="645"/>
      <c r="P467" s="645"/>
      <c r="Q467" s="646"/>
      <c r="R467" s="647">
        <f t="shared" si="114"/>
        <v>0</v>
      </c>
      <c r="S467" s="646"/>
      <c r="T467" s="648">
        <f t="shared" si="115"/>
        <v>0</v>
      </c>
    </row>
    <row r="468" spans="1:41" s="618" customFormat="1" ht="12">
      <c r="A468" s="645"/>
      <c r="B468" s="645"/>
      <c r="C468" s="645"/>
      <c r="D468" s="645"/>
      <c r="E468" s="645"/>
      <c r="F468" s="2"/>
      <c r="G468" s="645"/>
      <c r="H468" s="645"/>
      <c r="I468" s="646"/>
      <c r="J468" s="645"/>
      <c r="K468" s="645"/>
      <c r="L468" s="645"/>
      <c r="M468" s="645"/>
      <c r="N468" s="645"/>
      <c r="O468" s="645"/>
      <c r="P468" s="645"/>
      <c r="Q468" s="646"/>
      <c r="R468" s="647">
        <f t="shared" si="114"/>
        <v>0</v>
      </c>
      <c r="S468" s="646"/>
      <c r="T468" s="648">
        <f t="shared" si="115"/>
        <v>0</v>
      </c>
    </row>
    <row r="469" spans="1:41" s="618" customFormat="1" ht="12.6" thickBot="1">
      <c r="A469" s="649" t="s">
        <v>137</v>
      </c>
      <c r="B469" s="650">
        <f>(R468+T468)</f>
        <v>0</v>
      </c>
      <c r="C469" s="651"/>
      <c r="D469" s="651"/>
      <c r="E469" s="651"/>
      <c r="F469" s="652"/>
      <c r="G469" s="651" t="s">
        <v>503</v>
      </c>
      <c r="H469" s="651"/>
      <c r="I469" s="653"/>
      <c r="J469" s="651"/>
      <c r="K469" s="651" t="s">
        <v>3</v>
      </c>
      <c r="L469" s="654" t="s">
        <v>136</v>
      </c>
      <c r="M469" s="654"/>
      <c r="N469" s="654"/>
      <c r="O469" s="654"/>
      <c r="P469" s="654"/>
      <c r="Q469" s="655"/>
      <c r="R469" s="656">
        <f>SUM(R465:R468)</f>
        <v>0</v>
      </c>
      <c r="S469" s="651"/>
      <c r="T469" s="656">
        <f>SUM(T465:T468)</f>
        <v>0</v>
      </c>
      <c r="U469" s="621"/>
      <c r="V469" s="621"/>
      <c r="W469" s="621"/>
      <c r="X469" s="621"/>
      <c r="Y469" s="621"/>
      <c r="Z469" s="621"/>
      <c r="AA469" s="621"/>
      <c r="AB469" s="621"/>
      <c r="AC469" s="621"/>
      <c r="AD469" s="621"/>
      <c r="AE469" s="621"/>
      <c r="AF469" s="621"/>
      <c r="AG469" s="621"/>
      <c r="AH469" s="621"/>
      <c r="AI469" s="621"/>
      <c r="AJ469" s="621"/>
      <c r="AK469" s="621"/>
      <c r="AL469" s="621"/>
      <c r="AM469" s="621"/>
      <c r="AN469" s="621"/>
      <c r="AO469" s="621"/>
    </row>
    <row r="470" spans="1:41" s="618" customFormat="1" ht="12" thickTop="1">
      <c r="A470" s="43" t="s">
        <v>542</v>
      </c>
      <c r="D470" s="13"/>
      <c r="E470" s="37"/>
      <c r="O470" s="657"/>
    </row>
    <row r="471" spans="1:41" s="618" customFormat="1" ht="13.2">
      <c r="B471" s="3"/>
      <c r="O471" s="657"/>
    </row>
    <row r="472" spans="1:41" s="618" customFormat="1" ht="12">
      <c r="B472" s="658">
        <f>$F472/$C$2-($R472*$S$2+$T472*$T$2)</f>
        <v>-5.2590922130661966E-3</v>
      </c>
      <c r="D472" s="659" t="s">
        <v>616</v>
      </c>
      <c r="E472" s="660"/>
      <c r="F472" s="661">
        <f>SUMIF($L366:$L470,"ITEM",F366:F470)</f>
        <v>357.26000000000005</v>
      </c>
      <c r="G472" s="645"/>
      <c r="H472" s="645"/>
      <c r="I472" s="646"/>
      <c r="J472" s="645"/>
      <c r="K472" s="645"/>
      <c r="L472" s="634" t="s">
        <v>543</v>
      </c>
      <c r="M472" s="634"/>
      <c r="N472" s="634"/>
      <c r="O472" s="634"/>
      <c r="P472" s="634"/>
      <c r="R472" s="661">
        <f>SUMIF($L366:$L470,"ITEM",R366:R470)</f>
        <v>161.74508196721311</v>
      </c>
      <c r="S472" s="662"/>
      <c r="T472" s="661">
        <f>SUMIF($L366:$L470,"ITEM",T366:T470)</f>
        <v>6.7811249999999994</v>
      </c>
    </row>
    <row r="473" spans="1:41" s="618" customFormat="1" ht="13.2">
      <c r="A473" s="616"/>
      <c r="B473" s="663" t="s">
        <v>544</v>
      </c>
      <c r="C473" s="616"/>
      <c r="D473" s="3"/>
      <c r="F473" s="664" t="s">
        <v>545</v>
      </c>
      <c r="G473" s="645"/>
      <c r="H473" s="645"/>
      <c r="I473" s="646"/>
      <c r="J473" s="645"/>
      <c r="K473" s="645"/>
      <c r="L473" s="645"/>
      <c r="M473" s="645"/>
      <c r="N473" s="645"/>
      <c r="O473" s="645"/>
      <c r="P473" s="645"/>
      <c r="Q473" s="665"/>
      <c r="R473" s="664" t="s">
        <v>546</v>
      </c>
      <c r="S473" s="620"/>
      <c r="T473" s="664" t="s">
        <v>547</v>
      </c>
    </row>
    <row r="474" spans="1:41" s="618" customFormat="1" ht="13.2">
      <c r="A474" s="645"/>
      <c r="B474" s="3"/>
      <c r="C474" s="645"/>
      <c r="D474" s="3"/>
      <c r="E474" s="3"/>
      <c r="G474" s="3"/>
      <c r="H474" s="3"/>
      <c r="I474" s="3"/>
      <c r="J474" s="3"/>
      <c r="K474" s="3"/>
      <c r="L474" s="3"/>
      <c r="M474" s="3"/>
      <c r="N474" s="3"/>
      <c r="O474" s="96"/>
      <c r="P474" s="3"/>
      <c r="Q474" s="3"/>
      <c r="R474" s="3"/>
      <c r="S474" s="3"/>
      <c r="T474" s="3"/>
    </row>
    <row r="475" spans="1:41" s="618" customFormat="1" ht="12" thickBot="1">
      <c r="A475" s="621"/>
      <c r="B475" s="651"/>
      <c r="C475" s="651"/>
      <c r="D475" s="621"/>
      <c r="E475" s="666"/>
      <c r="F475" s="667"/>
      <c r="G475" s="651"/>
      <c r="H475" s="651"/>
      <c r="I475" s="653"/>
      <c r="J475" s="651"/>
      <c r="K475" s="651"/>
      <c r="L475" s="654"/>
      <c r="M475" s="654"/>
      <c r="N475" s="654"/>
      <c r="O475" s="654"/>
      <c r="P475" s="654"/>
      <c r="Q475" s="655"/>
      <c r="R475" s="667"/>
      <c r="S475" s="668"/>
      <c r="T475" s="667"/>
      <c r="U475" s="621"/>
      <c r="V475" s="621"/>
      <c r="W475" s="621"/>
      <c r="X475" s="621"/>
      <c r="Y475" s="621"/>
      <c r="Z475" s="621"/>
      <c r="AA475" s="621"/>
      <c r="AB475" s="621"/>
      <c r="AC475" s="621"/>
      <c r="AD475" s="621"/>
      <c r="AE475" s="621"/>
      <c r="AF475" s="621"/>
      <c r="AG475" s="621"/>
      <c r="AH475" s="621"/>
      <c r="AI475" s="621"/>
      <c r="AJ475" s="621"/>
      <c r="AK475" s="621"/>
    </row>
    <row r="476" spans="1:41" s="618" customFormat="1" thickTop="1">
      <c r="A476" s="736"/>
      <c r="B476" s="736"/>
      <c r="C476" s="737"/>
      <c r="D476" s="737"/>
      <c r="E476" s="736"/>
      <c r="F476" s="736"/>
      <c r="G476" s="736"/>
      <c r="H476" s="736"/>
      <c r="I476" s="736"/>
      <c r="J476" s="736"/>
      <c r="K476" s="736" t="s">
        <v>489</v>
      </c>
      <c r="L476" s="736"/>
      <c r="M476" s="736"/>
      <c r="N476" s="736"/>
      <c r="O476" s="738"/>
      <c r="P476" s="736"/>
      <c r="Q476" s="736"/>
      <c r="R476" s="736"/>
      <c r="S476" s="736"/>
      <c r="T476" s="736"/>
    </row>
    <row r="477" spans="1:41" s="618" customFormat="1" ht="12">
      <c r="A477" s="736"/>
      <c r="B477" s="736"/>
      <c r="C477" s="736" t="s">
        <v>490</v>
      </c>
      <c r="D477" s="739"/>
      <c r="E477" s="736"/>
      <c r="F477" s="736"/>
      <c r="G477" s="736"/>
      <c r="H477" s="736"/>
      <c r="I477" s="736"/>
      <c r="J477" s="736"/>
      <c r="K477" s="736"/>
      <c r="L477" s="736"/>
      <c r="M477" s="736"/>
      <c r="N477" s="736"/>
      <c r="O477" s="738"/>
      <c r="P477" s="736"/>
      <c r="Q477" s="736"/>
      <c r="R477" s="736"/>
      <c r="S477" s="736"/>
      <c r="T477" s="736"/>
    </row>
    <row r="478" spans="1:41" s="618" customFormat="1" ht="12">
      <c r="A478" s="736"/>
      <c r="B478" s="736"/>
      <c r="C478" s="736"/>
      <c r="D478" s="739" t="s">
        <v>359</v>
      </c>
      <c r="E478" s="736"/>
      <c r="F478" s="736"/>
      <c r="G478" s="736"/>
      <c r="H478" s="736"/>
      <c r="I478" s="736"/>
      <c r="J478" s="736"/>
      <c r="K478" s="736"/>
      <c r="L478" s="736"/>
      <c r="M478" s="736"/>
      <c r="N478" s="736"/>
      <c r="O478" s="738"/>
      <c r="P478" s="736"/>
      <c r="Q478" s="736"/>
      <c r="R478" s="736"/>
      <c r="S478" s="740"/>
      <c r="T478" s="740"/>
    </row>
    <row r="479" spans="1:41" s="3" customFormat="1" thickBot="1">
      <c r="A479" s="741"/>
      <c r="B479" s="737"/>
      <c r="C479" s="737"/>
      <c r="D479" s="737"/>
      <c r="E479" s="737"/>
      <c r="F479" s="737"/>
      <c r="G479" s="737"/>
      <c r="H479" s="737"/>
      <c r="I479" s="737"/>
      <c r="J479" s="737"/>
      <c r="K479" s="737"/>
      <c r="L479" s="737"/>
      <c r="M479" s="737"/>
      <c r="N479" s="737"/>
      <c r="O479" s="742"/>
      <c r="P479" s="737"/>
      <c r="Q479" s="737"/>
      <c r="R479" s="737"/>
      <c r="S479" s="737"/>
      <c r="T479" s="737"/>
    </row>
    <row r="480" spans="1:41" s="618" customFormat="1" ht="12" thickTop="1">
      <c r="A480" s="616"/>
      <c r="B480" s="622"/>
      <c r="C480" s="616"/>
      <c r="E480" s="37" t="s">
        <v>491</v>
      </c>
      <c r="F480" s="37" t="s">
        <v>492</v>
      </c>
      <c r="G480" s="616"/>
      <c r="H480" s="616"/>
      <c r="I480" s="616"/>
      <c r="J480" s="616"/>
      <c r="K480" s="616" t="s">
        <v>493</v>
      </c>
      <c r="L480" s="616"/>
      <c r="M480" s="616"/>
      <c r="N480" s="616"/>
      <c r="O480" s="617"/>
      <c r="P480" s="616"/>
      <c r="Q480" s="616"/>
      <c r="R480" s="616"/>
      <c r="S480" s="616"/>
      <c r="T480" s="622"/>
      <c r="AG480" s="623" t="s">
        <v>494</v>
      </c>
      <c r="AH480" s="623" t="s">
        <v>495</v>
      </c>
      <c r="AI480" s="623" t="s">
        <v>496</v>
      </c>
      <c r="AJ480" s="623" t="s">
        <v>497</v>
      </c>
      <c r="AK480" s="623" t="s">
        <v>498</v>
      </c>
      <c r="AM480" s="624" t="s">
        <v>499</v>
      </c>
      <c r="AN480" s="625" t="s">
        <v>500</v>
      </c>
      <c r="AO480" s="626" t="s">
        <v>501</v>
      </c>
    </row>
    <row r="481" spans="1:41" s="618" customFormat="1" ht="12" customHeight="1">
      <c r="A481" s="627">
        <v>1</v>
      </c>
      <c r="B481" s="628" t="s">
        <v>255</v>
      </c>
      <c r="C481" s="629"/>
      <c r="D481" s="630" t="s">
        <v>560</v>
      </c>
      <c r="E481" s="631">
        <f>IF(AND($A481=0,$A$1="DIF"),0, ROUND(ROUND(($R486*$S$2+($T486*$T$2))/A481,2)*$C$2,2))</f>
        <v>0</v>
      </c>
      <c r="F481" s="632">
        <f>ROUND($A481*$E481,2)</f>
        <v>0</v>
      </c>
      <c r="G481" s="88" t="s">
        <v>135</v>
      </c>
      <c r="H481" s="2"/>
      <c r="I481" s="633"/>
      <c r="J481" s="2"/>
      <c r="K481" s="2" t="s">
        <v>3</v>
      </c>
      <c r="L481" s="634" t="s">
        <v>136</v>
      </c>
      <c r="M481" s="634"/>
      <c r="N481" s="634"/>
      <c r="O481" s="634"/>
      <c r="P481" s="634"/>
      <c r="Q481" s="616" t="s">
        <v>256</v>
      </c>
      <c r="T481" s="635" t="str">
        <f>IF(AND($R486=0,$T486=0),"0.00","mu :" &amp; ROUND($F481/$C$2/($R486+$T486*$D$9),2))</f>
        <v>0.00</v>
      </c>
      <c r="W481" s="636"/>
      <c r="AG481" s="637">
        <f>IF($E481=0,0,ROUND($R486*$S$2*$C$2/$A481,2))</f>
        <v>0</v>
      </c>
      <c r="AH481" s="637">
        <f>$AG481*$A481</f>
        <v>0</v>
      </c>
      <c r="AI481" s="638">
        <f>$E481-$AG481</f>
        <v>0</v>
      </c>
      <c r="AJ481" s="638">
        <f>$A481*$AI481</f>
        <v>0</v>
      </c>
      <c r="AK481" s="639">
        <f>ROUND(($AG481+$AI481)*$A481,2)</f>
        <v>0</v>
      </c>
      <c r="AM481" s="640">
        <f>ROUND(R486,2)</f>
        <v>0</v>
      </c>
      <c r="AN481" s="641">
        <f>ROUND(T486,2)</f>
        <v>0</v>
      </c>
      <c r="AO481" s="642">
        <f>ROUND(AM481+AN481,2)*A481</f>
        <v>0</v>
      </c>
    </row>
    <row r="482" spans="1:41" s="618" customFormat="1" ht="13.2">
      <c r="A482" s="629"/>
      <c r="B482"/>
      <c r="C482" s="629"/>
      <c r="D482" s="630" t="s">
        <v>279</v>
      </c>
      <c r="F482" s="2"/>
      <c r="G482" s="3"/>
      <c r="H482" s="2"/>
      <c r="I482" s="633"/>
      <c r="J482" s="2"/>
      <c r="K482" s="2" t="s">
        <v>502</v>
      </c>
      <c r="L482" s="2"/>
      <c r="M482" s="2"/>
      <c r="N482" s="2"/>
      <c r="O482" s="2"/>
      <c r="P482" s="2"/>
      <c r="Q482" s="616"/>
      <c r="R482" s="643"/>
      <c r="S482" s="644"/>
      <c r="T482" s="2"/>
    </row>
    <row r="483" spans="1:41" s="618" customFormat="1" ht="12">
      <c r="A483" s="616"/>
      <c r="B483" s="645"/>
      <c r="C483" s="645"/>
      <c r="D483" s="645"/>
      <c r="E483" s="645"/>
      <c r="F483" s="2"/>
      <c r="G483" s="645"/>
      <c r="H483" s="645"/>
      <c r="I483" s="646"/>
      <c r="J483" s="645"/>
      <c r="K483" s="645"/>
      <c r="L483" s="645"/>
      <c r="M483" s="645"/>
      <c r="N483" s="645"/>
      <c r="O483" s="645"/>
      <c r="P483" s="645"/>
      <c r="Q483" s="646"/>
      <c r="R483" s="647">
        <f t="shared" ref="R483:R485" si="116">$A483*Q483</f>
        <v>0</v>
      </c>
      <c r="S483" s="646"/>
      <c r="T483" s="648">
        <f t="shared" ref="T483:T485" si="117">$A483*S483*$T$1</f>
        <v>0</v>
      </c>
    </row>
    <row r="484" spans="1:41" s="618" customFormat="1" ht="12">
      <c r="A484" s="616"/>
      <c r="B484" s="645"/>
      <c r="C484" s="645"/>
      <c r="D484" s="645" t="s">
        <v>256</v>
      </c>
      <c r="E484" s="645"/>
      <c r="F484" s="2"/>
      <c r="G484" s="645"/>
      <c r="H484" s="645"/>
      <c r="I484" s="646"/>
      <c r="J484" s="645"/>
      <c r="K484" s="645"/>
      <c r="L484" s="645"/>
      <c r="M484" s="645"/>
      <c r="N484" s="645"/>
      <c r="O484" s="645"/>
      <c r="P484" s="645"/>
      <c r="Q484" s="646"/>
      <c r="R484" s="647">
        <f t="shared" si="116"/>
        <v>0</v>
      </c>
      <c r="S484" s="646"/>
      <c r="T484" s="648">
        <f t="shared" si="117"/>
        <v>0</v>
      </c>
    </row>
    <row r="485" spans="1:41" s="618" customFormat="1" ht="12">
      <c r="A485" s="645"/>
      <c r="B485" s="645"/>
      <c r="C485" s="645"/>
      <c r="D485" s="645"/>
      <c r="E485" s="645"/>
      <c r="F485" s="2"/>
      <c r="G485" s="645"/>
      <c r="H485" s="645"/>
      <c r="I485" s="646"/>
      <c r="J485" s="645"/>
      <c r="K485" s="645"/>
      <c r="L485" s="645"/>
      <c r="M485" s="645"/>
      <c r="N485" s="645"/>
      <c r="O485" s="645"/>
      <c r="P485" s="645"/>
      <c r="Q485" s="646"/>
      <c r="R485" s="647">
        <f t="shared" si="116"/>
        <v>0</v>
      </c>
      <c r="S485" s="646"/>
      <c r="T485" s="648">
        <f t="shared" si="117"/>
        <v>0</v>
      </c>
    </row>
    <row r="486" spans="1:41" s="618" customFormat="1" ht="12.6" thickBot="1">
      <c r="A486" s="649" t="s">
        <v>137</v>
      </c>
      <c r="B486" s="650">
        <f>(R485+T485)</f>
        <v>0</v>
      </c>
      <c r="C486" s="651"/>
      <c r="D486" s="651"/>
      <c r="E486" s="651"/>
      <c r="F486" s="652"/>
      <c r="G486" s="651" t="s">
        <v>503</v>
      </c>
      <c r="H486" s="651"/>
      <c r="I486" s="653"/>
      <c r="J486" s="651"/>
      <c r="K486" s="651" t="s">
        <v>3</v>
      </c>
      <c r="L486" s="654" t="s">
        <v>136</v>
      </c>
      <c r="M486" s="654"/>
      <c r="N486" s="654"/>
      <c r="O486" s="654"/>
      <c r="P486" s="654"/>
      <c r="Q486" s="655"/>
      <c r="R486" s="656">
        <f>SUM(R482:R485)</f>
        <v>0</v>
      </c>
      <c r="S486" s="651"/>
      <c r="T486" s="656">
        <f>SUM(T482:T485)</f>
        <v>0</v>
      </c>
      <c r="U486" s="621"/>
      <c r="V486" s="621"/>
      <c r="W486" s="621"/>
      <c r="X486" s="621"/>
      <c r="Y486" s="621"/>
      <c r="Z486" s="621"/>
      <c r="AA486" s="621"/>
      <c r="AB486" s="621"/>
      <c r="AC486" s="621"/>
      <c r="AD486" s="621"/>
      <c r="AE486" s="621"/>
      <c r="AF486" s="621"/>
      <c r="AG486" s="621"/>
      <c r="AH486" s="621"/>
      <c r="AI486" s="621"/>
      <c r="AJ486" s="621"/>
      <c r="AK486" s="621"/>
      <c r="AL486" s="621"/>
      <c r="AM486" s="621"/>
      <c r="AN486" s="621"/>
      <c r="AO486" s="621"/>
    </row>
    <row r="487" spans="1:41" s="618" customFormat="1" thickTop="1">
      <c r="A487" s="616"/>
      <c r="B487" s="616"/>
      <c r="C487" s="3"/>
      <c r="D487" s="3"/>
      <c r="E487" s="616"/>
      <c r="F487" s="616"/>
      <c r="G487" s="616"/>
      <c r="H487" s="616"/>
      <c r="I487" s="616"/>
      <c r="J487" s="616"/>
      <c r="K487" s="616" t="s">
        <v>489</v>
      </c>
      <c r="L487" s="616"/>
      <c r="M487" s="616"/>
      <c r="N487" s="616"/>
      <c r="O487" s="617"/>
      <c r="P487" s="616"/>
      <c r="Q487" s="616"/>
      <c r="R487" s="616"/>
      <c r="S487" s="616"/>
      <c r="T487" s="616"/>
    </row>
    <row r="488" spans="1:41" s="618" customFormat="1" ht="12">
      <c r="A488" s="616"/>
      <c r="B488" s="616"/>
      <c r="C488" s="616" t="s">
        <v>490</v>
      </c>
      <c r="D488" s="619"/>
      <c r="E488" s="616"/>
      <c r="F488" s="616"/>
      <c r="G488" s="616"/>
      <c r="H488" s="616"/>
      <c r="I488" s="616"/>
      <c r="J488" s="616"/>
      <c r="K488" s="616"/>
      <c r="L488" s="616"/>
      <c r="M488" s="616"/>
      <c r="N488" s="616"/>
      <c r="O488" s="617"/>
      <c r="P488" s="616"/>
      <c r="Q488" s="616"/>
      <c r="R488" s="616"/>
      <c r="S488" s="616"/>
      <c r="T488" s="616"/>
    </row>
    <row r="489" spans="1:41" s="618" customFormat="1" ht="36">
      <c r="A489" s="616"/>
      <c r="B489" s="616"/>
      <c r="C489" s="616"/>
      <c r="D489" s="744" t="s">
        <v>360</v>
      </c>
      <c r="E489" s="744"/>
      <c r="F489" s="744"/>
      <c r="G489" s="744"/>
      <c r="H489" s="744"/>
      <c r="I489" s="744"/>
      <c r="J489" s="744"/>
      <c r="K489" s="744"/>
      <c r="L489" s="744"/>
      <c r="M489" s="744"/>
      <c r="N489" s="744"/>
      <c r="O489" s="744"/>
      <c r="P489" s="744"/>
      <c r="Q489" s="744"/>
      <c r="R489" s="669"/>
      <c r="S489" s="669"/>
      <c r="T489" s="669"/>
    </row>
    <row r="490" spans="1:41" s="3" customFormat="1" thickBot="1">
      <c r="A490" s="621"/>
      <c r="O490" s="96"/>
    </row>
    <row r="491" spans="1:41" s="618" customFormat="1" ht="12" thickTop="1">
      <c r="A491" s="616"/>
      <c r="B491" s="622"/>
      <c r="C491" s="616"/>
      <c r="E491" s="37" t="s">
        <v>491</v>
      </c>
      <c r="F491" s="37" t="s">
        <v>492</v>
      </c>
      <c r="G491" s="616"/>
      <c r="H491" s="616"/>
      <c r="I491" s="616"/>
      <c r="J491" s="616"/>
      <c r="K491" s="616" t="s">
        <v>493</v>
      </c>
      <c r="L491" s="616"/>
      <c r="M491" s="616"/>
      <c r="N491" s="616"/>
      <c r="O491" s="617"/>
      <c r="P491" s="616"/>
      <c r="Q491" s="616"/>
      <c r="R491" s="616"/>
      <c r="S491" s="616"/>
      <c r="T491" s="622"/>
      <c r="AG491" s="623" t="s">
        <v>494</v>
      </c>
      <c r="AH491" s="623" t="s">
        <v>495</v>
      </c>
      <c r="AI491" s="623" t="s">
        <v>496</v>
      </c>
      <c r="AJ491" s="623" t="s">
        <v>497</v>
      </c>
      <c r="AK491" s="623" t="s">
        <v>498</v>
      </c>
      <c r="AM491" s="624" t="s">
        <v>499</v>
      </c>
      <c r="AN491" s="625" t="s">
        <v>500</v>
      </c>
      <c r="AO491" s="626" t="s">
        <v>501</v>
      </c>
    </row>
    <row r="492" spans="1:41" s="618" customFormat="1" ht="12" customHeight="1">
      <c r="A492" s="627">
        <v>1</v>
      </c>
      <c r="B492" s="628" t="s">
        <v>294</v>
      </c>
      <c r="C492" s="629"/>
      <c r="D492" s="630" t="s">
        <v>561</v>
      </c>
      <c r="E492" s="631">
        <f ca="1">IF(AND($A492=0,$A$1="DIF"),0, ROUND(ROUND(($R497*$S$2+($T497*$T$2))/A492,2)*$C$2,2))</f>
        <v>18</v>
      </c>
      <c r="F492" s="632">
        <f ca="1">ROUND($A492*$E492,2)</f>
        <v>18</v>
      </c>
      <c r="G492" s="88" t="s">
        <v>135</v>
      </c>
      <c r="H492" s="2"/>
      <c r="I492" s="633"/>
      <c r="J492" s="2"/>
      <c r="K492" s="2" t="s">
        <v>3</v>
      </c>
      <c r="L492" s="634" t="s">
        <v>136</v>
      </c>
      <c r="M492" s="634"/>
      <c r="N492" s="634"/>
      <c r="O492" s="634"/>
      <c r="P492" s="634"/>
      <c r="Q492" s="616"/>
      <c r="T492" s="635" t="str">
        <f ca="1">IF(AND($R497=0,$T497=0),"0.00","mu :" &amp; ROUND($F492/$C$2/($R497+$T497*$D$9),2))</f>
        <v>mu :1</v>
      </c>
      <c r="W492" s="636"/>
      <c r="AG492" s="637">
        <f ca="1">IF($E492=0,0,ROUND($R497*$S$2*$C$2/$A492,2))</f>
        <v>3.58</v>
      </c>
      <c r="AH492" s="637">
        <f ca="1">$AG492*$A492</f>
        <v>3.58</v>
      </c>
      <c r="AI492" s="638">
        <f ca="1">$E492-$AG492</f>
        <v>14.42</v>
      </c>
      <c r="AJ492" s="638">
        <f ca="1">$A492*$AI492</f>
        <v>14.42</v>
      </c>
      <c r="AK492" s="639">
        <f ca="1">ROUND(($AG492+$AI492)*$A492,2)</f>
        <v>18</v>
      </c>
      <c r="AM492" s="640">
        <f ca="1">ROUND(R497,2)</f>
        <v>3.58</v>
      </c>
      <c r="AN492" s="641">
        <f ca="1">ROUND(T497,2)</f>
        <v>0.5</v>
      </c>
      <c r="AO492" s="642">
        <f ca="1">ROUND(AM492+AN492,2)*A492</f>
        <v>4.08</v>
      </c>
    </row>
    <row r="493" spans="1:41" s="618" customFormat="1" ht="13.2">
      <c r="A493" s="629"/>
      <c r="B493"/>
      <c r="C493" s="629"/>
      <c r="D493" s="630" t="s">
        <v>361</v>
      </c>
      <c r="F493" s="2"/>
      <c r="G493" s="3"/>
      <c r="H493" s="2"/>
      <c r="I493" s="633"/>
      <c r="J493" s="2"/>
      <c r="K493" s="2" t="s">
        <v>502</v>
      </c>
      <c r="L493" s="2"/>
      <c r="M493" s="2"/>
      <c r="N493" s="2"/>
      <c r="O493" s="2"/>
      <c r="P493" s="2"/>
      <c r="Q493" s="616"/>
      <c r="R493" s="643"/>
      <c r="S493" s="644"/>
      <c r="T493" s="2"/>
    </row>
    <row r="494" spans="1:41" s="753" customFormat="1" ht="13.2">
      <c r="A494"/>
      <c r="B494" s="824"/>
      <c r="C494" s="824" t="s">
        <v>677</v>
      </c>
      <c r="D494" s="824" t="str">
        <f ca="1">CELL("Address",Elec_Rates!D$15)</f>
        <v>[EL25_0700_Mock_Up_Room_Elec_Estim.xlsx]Elec_Rates!$D$15</v>
      </c>
      <c r="E494" s="825"/>
      <c r="F494" s="825"/>
      <c r="G494" s="826" t="s">
        <v>678</v>
      </c>
      <c r="H494" s="826"/>
      <c r="I494" s="826"/>
      <c r="J494" s="826"/>
      <c r="K494" s="827"/>
      <c r="L494" s="825"/>
      <c r="M494" s="825"/>
      <c r="N494" s="825"/>
      <c r="O494" s="828"/>
      <c r="P494" s="825"/>
      <c r="Q494" s="829"/>
      <c r="R494" s="830"/>
      <c r="S494" s="829"/>
      <c r="T494" s="831"/>
      <c r="U494" s="832"/>
    </row>
    <row r="495" spans="1:41" s="753" customFormat="1" ht="11.4">
      <c r="A495" s="833">
        <v>1</v>
      </c>
      <c r="B495" s="834">
        <v>1</v>
      </c>
      <c r="C495" s="834">
        <f>$A495*$B495</f>
        <v>1</v>
      </c>
      <c r="D495" s="835" t="str">
        <f>Elec_Rates!$D$15</f>
        <v>001# REMS LSZH Conduit</v>
      </c>
      <c r="E495" s="835"/>
      <c r="F495" s="835"/>
      <c r="G495" s="836" t="s">
        <v>679</v>
      </c>
      <c r="H495" s="836"/>
      <c r="I495" s="836"/>
      <c r="J495" s="836"/>
      <c r="K495" s="837"/>
      <c r="L495" s="832"/>
      <c r="M495" s="832"/>
      <c r="N495" s="832"/>
      <c r="O495" s="838"/>
      <c r="P495" s="835"/>
      <c r="Q495" s="839">
        <f ca="1">$B495*Elec_Rates!$R$15</f>
        <v>3.58</v>
      </c>
      <c r="R495" s="830">
        <f ca="1">$A495*Q495</f>
        <v>3.58</v>
      </c>
      <c r="S495" s="839">
        <f ca="1">$B495*Elec_Rates!$T$15</f>
        <v>0.5</v>
      </c>
      <c r="T495" s="831">
        <f ca="1">$A495*S495</f>
        <v>0.5</v>
      </c>
      <c r="U495" s="840"/>
    </row>
    <row r="496" spans="1:41" s="618" customFormat="1" ht="12">
      <c r="A496" s="645"/>
      <c r="B496" s="645"/>
      <c r="C496" s="645"/>
      <c r="D496" s="645"/>
      <c r="E496" s="645"/>
      <c r="F496" s="2"/>
      <c r="G496" s="645"/>
      <c r="H496" s="645"/>
      <c r="I496" s="646"/>
      <c r="J496" s="645"/>
      <c r="K496" s="645"/>
      <c r="L496" s="645"/>
      <c r="M496" s="645"/>
      <c r="N496" s="645"/>
      <c r="O496" s="645"/>
      <c r="P496" s="645"/>
      <c r="Q496" s="646"/>
      <c r="R496" s="647">
        <f t="shared" ref="R496" si="118">$A496*Q496</f>
        <v>0</v>
      </c>
      <c r="S496" s="646"/>
      <c r="T496" s="648">
        <f t="shared" ref="T496" si="119">$A496*S496*$T$1</f>
        <v>0</v>
      </c>
    </row>
    <row r="497" spans="1:41" s="618" customFormat="1" ht="12.6" thickBot="1">
      <c r="A497" s="649" t="s">
        <v>137</v>
      </c>
      <c r="B497" s="650">
        <f>(R496+T496)</f>
        <v>0</v>
      </c>
      <c r="C497" s="651"/>
      <c r="D497" s="651"/>
      <c r="E497" s="651"/>
      <c r="F497" s="652"/>
      <c r="G497" s="651" t="s">
        <v>503</v>
      </c>
      <c r="H497" s="651"/>
      <c r="I497" s="653"/>
      <c r="J497" s="651"/>
      <c r="K497" s="651" t="s">
        <v>3</v>
      </c>
      <c r="L497" s="654" t="s">
        <v>136</v>
      </c>
      <c r="M497" s="654"/>
      <c r="N497" s="654"/>
      <c r="O497" s="654"/>
      <c r="P497" s="654"/>
      <c r="Q497" s="655"/>
      <c r="R497" s="656">
        <f ca="1">SUM(R493:R496)</f>
        <v>3.58</v>
      </c>
      <c r="S497" s="651"/>
      <c r="T497" s="656">
        <f ca="1">SUM(T493:T496)</f>
        <v>0.5</v>
      </c>
      <c r="U497" s="621"/>
      <c r="V497" s="621"/>
      <c r="W497" s="621"/>
      <c r="X497" s="621"/>
      <c r="Y497" s="621"/>
      <c r="Z497" s="621"/>
      <c r="AA497" s="621"/>
      <c r="AB497" s="621"/>
      <c r="AC497" s="621"/>
      <c r="AD497" s="621"/>
      <c r="AE497" s="621"/>
      <c r="AF497" s="621"/>
      <c r="AG497" s="621"/>
      <c r="AH497" s="621"/>
      <c r="AI497" s="621"/>
      <c r="AJ497" s="621"/>
      <c r="AK497" s="621"/>
      <c r="AL497" s="621"/>
      <c r="AM497" s="621"/>
      <c r="AN497" s="621"/>
      <c r="AO497" s="621"/>
    </row>
    <row r="498" spans="1:41" s="618" customFormat="1" ht="12" thickTop="1">
      <c r="A498" s="616"/>
      <c r="B498" s="622"/>
      <c r="C498" s="616"/>
      <c r="E498" s="37" t="s">
        <v>491</v>
      </c>
      <c r="F498" s="37" t="s">
        <v>492</v>
      </c>
      <c r="G498" s="616"/>
      <c r="H498" s="616"/>
      <c r="I498" s="616"/>
      <c r="J498" s="616"/>
      <c r="K498" s="616" t="s">
        <v>493</v>
      </c>
      <c r="L498" s="616"/>
      <c r="M498" s="616"/>
      <c r="N498" s="616"/>
      <c r="O498" s="617"/>
      <c r="P498" s="616"/>
      <c r="Q498" s="616"/>
      <c r="R498" s="616"/>
      <c r="S498" s="616"/>
      <c r="T498" s="622"/>
      <c r="AG498" s="623" t="s">
        <v>494</v>
      </c>
      <c r="AH498" s="623" t="s">
        <v>495</v>
      </c>
      <c r="AI498" s="623" t="s">
        <v>496</v>
      </c>
      <c r="AJ498" s="623" t="s">
        <v>497</v>
      </c>
      <c r="AK498" s="623" t="s">
        <v>498</v>
      </c>
      <c r="AM498" s="624" t="s">
        <v>499</v>
      </c>
      <c r="AN498" s="625" t="s">
        <v>500</v>
      </c>
      <c r="AO498" s="626" t="s">
        <v>501</v>
      </c>
    </row>
    <row r="499" spans="1:41" s="618" customFormat="1" ht="12" customHeight="1">
      <c r="A499" s="627">
        <v>1</v>
      </c>
      <c r="B499" s="628" t="s">
        <v>294</v>
      </c>
      <c r="C499" s="629"/>
      <c r="D499" s="630" t="s">
        <v>562</v>
      </c>
      <c r="E499" s="631">
        <f ca="1">IF(AND($A499=0,$A$1="DIF"),0, ROUND(ROUND(($R504*$S$2+($T504*$T$2))/A499,2)*$C$2,2))</f>
        <v>18</v>
      </c>
      <c r="F499" s="632">
        <f ca="1">ROUND($A499*$E499,2)</f>
        <v>18</v>
      </c>
      <c r="G499" s="88" t="s">
        <v>135</v>
      </c>
      <c r="H499" s="2"/>
      <c r="I499" s="633"/>
      <c r="J499" s="2"/>
      <c r="K499" s="2" t="s">
        <v>3</v>
      </c>
      <c r="L499" s="634" t="s">
        <v>136</v>
      </c>
      <c r="M499" s="634"/>
      <c r="N499" s="634"/>
      <c r="O499" s="634"/>
      <c r="P499" s="634"/>
      <c r="Q499" s="616"/>
      <c r="T499" s="635" t="str">
        <f ca="1">IF(AND($R504=0,$T504=0),"0.00","mu :" &amp; ROUND($F499/$C$2/($R504+$T504*$D$9),2))</f>
        <v>mu :1</v>
      </c>
      <c r="W499" s="636"/>
      <c r="AG499" s="637">
        <f ca="1">IF($E499=0,0,ROUND($R504*$S$2*$C$2/$A499,2))</f>
        <v>3.58</v>
      </c>
      <c r="AH499" s="637">
        <f ca="1">$AG499*$A499</f>
        <v>3.58</v>
      </c>
      <c r="AI499" s="638">
        <f ca="1">$E499-$AG499</f>
        <v>14.42</v>
      </c>
      <c r="AJ499" s="638">
        <f ca="1">$A499*$AI499</f>
        <v>14.42</v>
      </c>
      <c r="AK499" s="639">
        <f ca="1">ROUND(($AG499+$AI499)*$A499,2)</f>
        <v>18</v>
      </c>
      <c r="AM499" s="640">
        <f ca="1">ROUND(R504,2)</f>
        <v>3.58</v>
      </c>
      <c r="AN499" s="641">
        <f ca="1">ROUND(T504,2)</f>
        <v>0.5</v>
      </c>
      <c r="AO499" s="642">
        <f ca="1">ROUND(AM499+AN499,2)*A499</f>
        <v>4.08</v>
      </c>
    </row>
    <row r="500" spans="1:41" s="618" customFormat="1" ht="13.2">
      <c r="A500" s="629"/>
      <c r="B500"/>
      <c r="C500" s="629"/>
      <c r="D500" s="630" t="s">
        <v>362</v>
      </c>
      <c r="F500" s="2"/>
      <c r="G500" s="3"/>
      <c r="H500" s="2"/>
      <c r="I500" s="633"/>
      <c r="J500" s="2"/>
      <c r="K500" s="2" t="s">
        <v>502</v>
      </c>
      <c r="L500" s="2"/>
      <c r="M500" s="2"/>
      <c r="N500" s="2"/>
      <c r="O500" s="2"/>
      <c r="P500" s="2"/>
      <c r="Q500" s="616"/>
      <c r="R500" s="643"/>
      <c r="S500" s="644"/>
      <c r="T500" s="2"/>
    </row>
    <row r="501" spans="1:41" s="753" customFormat="1" ht="13.2">
      <c r="A501"/>
      <c r="B501" s="824"/>
      <c r="C501" s="824" t="s">
        <v>677</v>
      </c>
      <c r="D501" s="824" t="str">
        <f ca="1">CELL("Address",Elec_Rates!D$15)</f>
        <v>[EL25_0700_Mock_Up_Room_Elec_Estim.xlsx]Elec_Rates!$D$15</v>
      </c>
      <c r="E501" s="825"/>
      <c r="F501" s="825"/>
      <c r="G501" s="826" t="s">
        <v>678</v>
      </c>
      <c r="H501" s="826"/>
      <c r="I501" s="826"/>
      <c r="J501" s="826"/>
      <c r="K501" s="827"/>
      <c r="L501" s="825"/>
      <c r="M501" s="825"/>
      <c r="N501" s="825"/>
      <c r="O501" s="828"/>
      <c r="P501" s="825"/>
      <c r="Q501" s="829"/>
      <c r="R501" s="830"/>
      <c r="S501" s="829"/>
      <c r="T501" s="831"/>
      <c r="U501" s="832"/>
    </row>
    <row r="502" spans="1:41" s="753" customFormat="1" ht="11.4">
      <c r="A502" s="833">
        <v>1</v>
      </c>
      <c r="B502" s="834">
        <v>1</v>
      </c>
      <c r="C502" s="834">
        <f>$A502*$B502</f>
        <v>1</v>
      </c>
      <c r="D502" s="835" t="str">
        <f>Elec_Rates!$D$15</f>
        <v>001# REMS LSZH Conduit</v>
      </c>
      <c r="E502" s="835"/>
      <c r="F502" s="835"/>
      <c r="G502" s="836" t="s">
        <v>679</v>
      </c>
      <c r="H502" s="836"/>
      <c r="I502" s="836"/>
      <c r="J502" s="836"/>
      <c r="K502" s="837"/>
      <c r="L502" s="832"/>
      <c r="M502" s="832"/>
      <c r="N502" s="832"/>
      <c r="O502" s="838"/>
      <c r="P502" s="835"/>
      <c r="Q502" s="839">
        <f ca="1">$B502*Elec_Rates!$R$15</f>
        <v>3.58</v>
      </c>
      <c r="R502" s="830">
        <f ca="1">$A502*Q502</f>
        <v>3.58</v>
      </c>
      <c r="S502" s="839">
        <f ca="1">$B502*Elec_Rates!$T$15</f>
        <v>0.5</v>
      </c>
      <c r="T502" s="831">
        <f ca="1">$A502*S502</f>
        <v>0.5</v>
      </c>
      <c r="U502" s="840"/>
    </row>
    <row r="503" spans="1:41" s="618" customFormat="1" ht="12">
      <c r="A503" s="645"/>
      <c r="B503" s="645"/>
      <c r="C503" s="645"/>
      <c r="D503" s="645"/>
      <c r="E503" s="645"/>
      <c r="F503" s="2"/>
      <c r="G503" s="645"/>
      <c r="H503" s="645"/>
      <c r="I503" s="646"/>
      <c r="J503" s="645"/>
      <c r="K503" s="645"/>
      <c r="L503" s="645"/>
      <c r="M503" s="645"/>
      <c r="N503" s="645"/>
      <c r="O503" s="645"/>
      <c r="P503" s="645"/>
      <c r="Q503" s="646"/>
      <c r="R503" s="647">
        <f t="shared" ref="R503" si="120">$A503*Q503</f>
        <v>0</v>
      </c>
      <c r="S503" s="646"/>
      <c r="T503" s="648">
        <f t="shared" ref="T503" si="121">$A503*S503*$T$1</f>
        <v>0</v>
      </c>
    </row>
    <row r="504" spans="1:41" s="618" customFormat="1" ht="12.6" thickBot="1">
      <c r="A504" s="649" t="s">
        <v>137</v>
      </c>
      <c r="B504" s="650">
        <f>(R503+T503)</f>
        <v>0</v>
      </c>
      <c r="C504" s="651"/>
      <c r="D504" s="651"/>
      <c r="E504" s="651"/>
      <c r="F504" s="652"/>
      <c r="G504" s="651" t="s">
        <v>503</v>
      </c>
      <c r="H504" s="651"/>
      <c r="I504" s="653"/>
      <c r="J504" s="651"/>
      <c r="K504" s="651" t="s">
        <v>3</v>
      </c>
      <c r="L504" s="654" t="s">
        <v>136</v>
      </c>
      <c r="M504" s="654"/>
      <c r="N504" s="654"/>
      <c r="O504" s="654"/>
      <c r="P504" s="654"/>
      <c r="Q504" s="655"/>
      <c r="R504" s="656">
        <f ca="1">SUM(R500:R503)</f>
        <v>3.58</v>
      </c>
      <c r="S504" s="651"/>
      <c r="T504" s="656">
        <f ca="1">SUM(T500:T503)</f>
        <v>0.5</v>
      </c>
      <c r="U504" s="621"/>
      <c r="V504" s="621"/>
      <c r="W504" s="621"/>
      <c r="X504" s="621"/>
      <c r="Y504" s="621"/>
      <c r="Z504" s="621"/>
      <c r="AA504" s="621"/>
      <c r="AB504" s="621"/>
      <c r="AC504" s="621"/>
      <c r="AD504" s="621"/>
      <c r="AE504" s="621"/>
      <c r="AF504" s="621"/>
      <c r="AG504" s="621"/>
      <c r="AH504" s="621"/>
      <c r="AI504" s="621"/>
      <c r="AJ504" s="621"/>
      <c r="AK504" s="621"/>
      <c r="AL504" s="621"/>
      <c r="AM504" s="621"/>
      <c r="AN504" s="621"/>
      <c r="AO504" s="621"/>
    </row>
    <row r="505" spans="1:41" s="618" customFormat="1" ht="12" thickTop="1">
      <c r="A505" s="616"/>
      <c r="B505" s="622"/>
      <c r="C505" s="616"/>
      <c r="E505" s="37" t="s">
        <v>491</v>
      </c>
      <c r="F505" s="37" t="s">
        <v>492</v>
      </c>
      <c r="G505" s="616"/>
      <c r="H505" s="616"/>
      <c r="I505" s="616"/>
      <c r="J505" s="616"/>
      <c r="K505" s="616" t="s">
        <v>493</v>
      </c>
      <c r="L505" s="616"/>
      <c r="M505" s="616"/>
      <c r="N505" s="616"/>
      <c r="O505" s="617"/>
      <c r="P505" s="616"/>
      <c r="Q505" s="616"/>
      <c r="R505" s="616"/>
      <c r="S505" s="616"/>
      <c r="T505" s="622"/>
      <c r="AG505" s="623" t="s">
        <v>494</v>
      </c>
      <c r="AH505" s="623" t="s">
        <v>495</v>
      </c>
      <c r="AI505" s="623" t="s">
        <v>496</v>
      </c>
      <c r="AJ505" s="623" t="s">
        <v>497</v>
      </c>
      <c r="AK505" s="623" t="s">
        <v>498</v>
      </c>
      <c r="AM505" s="624" t="s">
        <v>499</v>
      </c>
      <c r="AN505" s="625" t="s">
        <v>500</v>
      </c>
      <c r="AO505" s="626" t="s">
        <v>501</v>
      </c>
    </row>
    <row r="506" spans="1:41" s="618" customFormat="1" ht="12" customHeight="1">
      <c r="A506" s="627">
        <v>1</v>
      </c>
      <c r="B506" s="628" t="s">
        <v>294</v>
      </c>
      <c r="C506" s="629"/>
      <c r="D506" s="630" t="s">
        <v>563</v>
      </c>
      <c r="E506" s="631">
        <f ca="1">IF(AND($A506=0,$A$1="DIF"),0, ROUND(ROUND(($R511*$S$2+($T511*$T$2))/A506,2)*$C$2,2))</f>
        <v>18</v>
      </c>
      <c r="F506" s="632">
        <f ca="1">ROUND($A506*$E506,2)</f>
        <v>18</v>
      </c>
      <c r="G506" s="88" t="s">
        <v>135</v>
      </c>
      <c r="H506" s="2"/>
      <c r="I506" s="633"/>
      <c r="J506" s="2"/>
      <c r="K506" s="2" t="s">
        <v>3</v>
      </c>
      <c r="L506" s="634" t="s">
        <v>136</v>
      </c>
      <c r="M506" s="634"/>
      <c r="N506" s="634"/>
      <c r="O506" s="634"/>
      <c r="P506" s="634"/>
      <c r="Q506" s="616"/>
      <c r="T506" s="635" t="str">
        <f ca="1">IF(AND($R511=0,$T511=0),"0.00","mu :" &amp; ROUND($F506/$C$2/($R511+$T511*$D$9),2))</f>
        <v>mu :1</v>
      </c>
      <c r="W506" s="636"/>
      <c r="AG506" s="637">
        <f ca="1">IF($E506=0,0,ROUND($R511*$S$2*$C$2/$A506,2))</f>
        <v>3.58</v>
      </c>
      <c r="AH506" s="637">
        <f ca="1">$AG506*$A506</f>
        <v>3.58</v>
      </c>
      <c r="AI506" s="638">
        <f ca="1">$E506-$AG506</f>
        <v>14.42</v>
      </c>
      <c r="AJ506" s="638">
        <f ca="1">$A506*$AI506</f>
        <v>14.42</v>
      </c>
      <c r="AK506" s="639">
        <f ca="1">ROUND(($AG506+$AI506)*$A506,2)</f>
        <v>18</v>
      </c>
      <c r="AM506" s="640">
        <f ca="1">ROUND(R511,2)</f>
        <v>3.58</v>
      </c>
      <c r="AN506" s="641">
        <f ca="1">ROUND(T511,2)</f>
        <v>0.5</v>
      </c>
      <c r="AO506" s="642">
        <f ca="1">ROUND(AM506+AN506,2)*A506</f>
        <v>4.08</v>
      </c>
    </row>
    <row r="507" spans="1:41" s="618" customFormat="1" ht="13.2">
      <c r="A507" s="629"/>
      <c r="B507"/>
      <c r="C507" s="629"/>
      <c r="D507" s="630" t="s">
        <v>363</v>
      </c>
      <c r="F507" s="2"/>
      <c r="G507" s="3"/>
      <c r="H507" s="2"/>
      <c r="I507" s="633"/>
      <c r="J507" s="2"/>
      <c r="K507" s="2" t="s">
        <v>502</v>
      </c>
      <c r="L507" s="2"/>
      <c r="M507" s="2"/>
      <c r="N507" s="2"/>
      <c r="O507" s="2"/>
      <c r="P507" s="2"/>
      <c r="Q507" s="616"/>
      <c r="R507" s="643"/>
      <c r="S507" s="644"/>
      <c r="T507" s="2"/>
    </row>
    <row r="508" spans="1:41" s="753" customFormat="1" ht="13.2">
      <c r="A508"/>
      <c r="B508" s="824"/>
      <c r="C508" s="824" t="s">
        <v>677</v>
      </c>
      <c r="D508" s="824" t="str">
        <f ca="1">CELL("Address",Elec_Rates!D$15)</f>
        <v>[EL25_0700_Mock_Up_Room_Elec_Estim.xlsx]Elec_Rates!$D$15</v>
      </c>
      <c r="E508" s="825"/>
      <c r="F508" s="825"/>
      <c r="G508" s="826" t="s">
        <v>678</v>
      </c>
      <c r="H508" s="826"/>
      <c r="I508" s="826"/>
      <c r="J508" s="826"/>
      <c r="K508" s="827"/>
      <c r="L508" s="825"/>
      <c r="M508" s="825"/>
      <c r="N508" s="825"/>
      <c r="O508" s="828"/>
      <c r="P508" s="825"/>
      <c r="Q508" s="829"/>
      <c r="R508" s="830"/>
      <c r="S508" s="829"/>
      <c r="T508" s="831"/>
      <c r="U508" s="832"/>
    </row>
    <row r="509" spans="1:41" s="753" customFormat="1" ht="11.4">
      <c r="A509" s="833">
        <v>1</v>
      </c>
      <c r="B509" s="834">
        <v>1</v>
      </c>
      <c r="C509" s="834">
        <f>$A509*$B509</f>
        <v>1</v>
      </c>
      <c r="D509" s="835" t="str">
        <f>Elec_Rates!$D$15</f>
        <v>001# REMS LSZH Conduit</v>
      </c>
      <c r="E509" s="835"/>
      <c r="F509" s="835"/>
      <c r="G509" s="836" t="s">
        <v>679</v>
      </c>
      <c r="H509" s="836"/>
      <c r="I509" s="836"/>
      <c r="J509" s="836"/>
      <c r="K509" s="837"/>
      <c r="L509" s="832"/>
      <c r="M509" s="832"/>
      <c r="N509" s="832"/>
      <c r="O509" s="838"/>
      <c r="P509" s="835"/>
      <c r="Q509" s="839">
        <f ca="1">$B509*Elec_Rates!$R$15</f>
        <v>3.58</v>
      </c>
      <c r="R509" s="830">
        <f ca="1">$A509*Q509</f>
        <v>3.58</v>
      </c>
      <c r="S509" s="839">
        <f ca="1">$B509*Elec_Rates!$T$15</f>
        <v>0.5</v>
      </c>
      <c r="T509" s="831">
        <f ca="1">$A509*S509</f>
        <v>0.5</v>
      </c>
      <c r="U509" s="840"/>
    </row>
    <row r="510" spans="1:41" s="618" customFormat="1" ht="12">
      <c r="A510" s="645"/>
      <c r="B510" s="645"/>
      <c r="C510" s="645"/>
      <c r="D510" s="645"/>
      <c r="E510" s="645"/>
      <c r="F510" s="2"/>
      <c r="G510" s="645"/>
      <c r="H510" s="645"/>
      <c r="I510" s="646"/>
      <c r="J510" s="645"/>
      <c r="K510" s="645"/>
      <c r="L510" s="645"/>
      <c r="M510" s="645"/>
      <c r="N510" s="645"/>
      <c r="O510" s="645"/>
      <c r="P510" s="645"/>
      <c r="Q510" s="646"/>
      <c r="R510" s="647">
        <f t="shared" ref="R510" si="122">$A510*Q510</f>
        <v>0</v>
      </c>
      <c r="S510" s="646"/>
      <c r="T510" s="648">
        <f t="shared" ref="T510" si="123">$A510*S510*$T$1</f>
        <v>0</v>
      </c>
    </row>
    <row r="511" spans="1:41" s="618" customFormat="1" ht="12.6" thickBot="1">
      <c r="A511" s="649" t="s">
        <v>137</v>
      </c>
      <c r="B511" s="650">
        <f>(R510+T510)</f>
        <v>0</v>
      </c>
      <c r="C511" s="651"/>
      <c r="D511" s="651"/>
      <c r="E511" s="651"/>
      <c r="F511" s="652"/>
      <c r="G511" s="651" t="s">
        <v>503</v>
      </c>
      <c r="H511" s="651"/>
      <c r="I511" s="653"/>
      <c r="J511" s="651"/>
      <c r="K511" s="651" t="s">
        <v>3</v>
      </c>
      <c r="L511" s="654" t="s">
        <v>136</v>
      </c>
      <c r="M511" s="654"/>
      <c r="N511" s="654"/>
      <c r="O511" s="654"/>
      <c r="P511" s="654"/>
      <c r="Q511" s="655"/>
      <c r="R511" s="656">
        <f ca="1">SUM(R507:R510)</f>
        <v>3.58</v>
      </c>
      <c r="S511" s="651"/>
      <c r="T511" s="656">
        <f ca="1">SUM(T507:T510)</f>
        <v>0.5</v>
      </c>
      <c r="U511" s="621"/>
      <c r="V511" s="621"/>
      <c r="W511" s="621"/>
      <c r="X511" s="621"/>
      <c r="Y511" s="621"/>
      <c r="Z511" s="621"/>
      <c r="AA511" s="621"/>
      <c r="AB511" s="621"/>
      <c r="AC511" s="621"/>
      <c r="AD511" s="621"/>
      <c r="AE511" s="621"/>
      <c r="AF511" s="621"/>
      <c r="AG511" s="621"/>
      <c r="AH511" s="621"/>
      <c r="AI511" s="621"/>
      <c r="AJ511" s="621"/>
      <c r="AK511" s="621"/>
      <c r="AL511" s="621"/>
      <c r="AM511" s="621"/>
      <c r="AN511" s="621"/>
      <c r="AO511" s="621"/>
    </row>
    <row r="512" spans="1:41" s="618" customFormat="1" ht="12" thickTop="1">
      <c r="A512" s="616"/>
      <c r="B512" s="622"/>
      <c r="C512" s="616"/>
      <c r="E512" s="37" t="s">
        <v>491</v>
      </c>
      <c r="F512" s="37" t="s">
        <v>492</v>
      </c>
      <c r="G512" s="616"/>
      <c r="H512" s="616"/>
      <c r="I512" s="616"/>
      <c r="J512" s="616"/>
      <c r="K512" s="616" t="s">
        <v>493</v>
      </c>
      <c r="L512" s="616"/>
      <c r="M512" s="616"/>
      <c r="N512" s="616"/>
      <c r="O512" s="617"/>
      <c r="P512" s="616"/>
      <c r="Q512" s="616"/>
      <c r="R512" s="616"/>
      <c r="S512" s="616"/>
      <c r="T512" s="622"/>
      <c r="AG512" s="623" t="s">
        <v>494</v>
      </c>
      <c r="AH512" s="623" t="s">
        <v>495</v>
      </c>
      <c r="AI512" s="623" t="s">
        <v>496</v>
      </c>
      <c r="AJ512" s="623" t="s">
        <v>497</v>
      </c>
      <c r="AK512" s="623" t="s">
        <v>498</v>
      </c>
      <c r="AM512" s="624" t="s">
        <v>499</v>
      </c>
      <c r="AN512" s="625" t="s">
        <v>500</v>
      </c>
      <c r="AO512" s="626" t="s">
        <v>501</v>
      </c>
    </row>
    <row r="513" spans="1:41" s="618" customFormat="1" ht="12" customHeight="1">
      <c r="A513" s="627">
        <v>5</v>
      </c>
      <c r="B513" s="628" t="s">
        <v>294</v>
      </c>
      <c r="C513" s="629"/>
      <c r="D513" s="630" t="s">
        <v>564</v>
      </c>
      <c r="E513" s="631">
        <f ca="1">IF(AND($A513=0,$A$1="DIF"),0, ROUND(ROUND(($R518*$S$2+($T518*$T$2))/A513,2)*$C$2,2))</f>
        <v>18</v>
      </c>
      <c r="F513" s="632">
        <f ca="1">ROUND($A513*$E513,2)</f>
        <v>90</v>
      </c>
      <c r="G513" s="88" t="s">
        <v>135</v>
      </c>
      <c r="H513" s="2"/>
      <c r="I513" s="633"/>
      <c r="J513" s="2"/>
      <c r="K513" s="2" t="s">
        <v>3</v>
      </c>
      <c r="L513" s="634" t="s">
        <v>136</v>
      </c>
      <c r="M513" s="634"/>
      <c r="N513" s="634"/>
      <c r="O513" s="634"/>
      <c r="P513" s="634"/>
      <c r="Q513" s="616"/>
      <c r="T513" s="635" t="str">
        <f ca="1">IF(AND($R518=0,$T518=0),"0.00","mu :" &amp; ROUND($F513/$C$2/($R518+$T518*$D$9),2))</f>
        <v>mu :1</v>
      </c>
      <c r="W513" s="636"/>
      <c r="AG513" s="637">
        <f ca="1">IF($E513=0,0,ROUND($R518*$S$2*$C$2/$A513,2))</f>
        <v>3.58</v>
      </c>
      <c r="AH513" s="637">
        <f ca="1">$AG513*$A513</f>
        <v>17.899999999999999</v>
      </c>
      <c r="AI513" s="638">
        <f ca="1">$E513-$AG513</f>
        <v>14.42</v>
      </c>
      <c r="AJ513" s="638">
        <f ca="1">$A513*$AI513</f>
        <v>72.099999999999994</v>
      </c>
      <c r="AK513" s="639">
        <f ca="1">ROUND(($AG513+$AI513)*$A513,2)</f>
        <v>90</v>
      </c>
      <c r="AM513" s="640">
        <f ca="1">ROUND(R518,2)</f>
        <v>17.899999999999999</v>
      </c>
      <c r="AN513" s="641">
        <f ca="1">ROUND(T518,2)</f>
        <v>2.5</v>
      </c>
      <c r="AO513" s="642">
        <f ca="1">ROUND(AM513+AN513,2)*A513</f>
        <v>102</v>
      </c>
    </row>
    <row r="514" spans="1:41" s="618" customFormat="1" ht="13.2">
      <c r="A514" s="629"/>
      <c r="B514"/>
      <c r="C514" s="629"/>
      <c r="D514" s="630" t="s">
        <v>364</v>
      </c>
      <c r="F514" s="2"/>
      <c r="G514" s="3"/>
      <c r="H514" s="2"/>
      <c r="I514" s="633"/>
      <c r="J514" s="2"/>
      <c r="K514" s="2" t="s">
        <v>502</v>
      </c>
      <c r="L514" s="2"/>
      <c r="M514" s="2"/>
      <c r="N514" s="2"/>
      <c r="O514" s="2"/>
      <c r="P514" s="2"/>
      <c r="Q514" s="616"/>
      <c r="R514" s="643"/>
      <c r="S514" s="644"/>
      <c r="T514" s="2"/>
    </row>
    <row r="515" spans="1:41" s="753" customFormat="1" ht="13.2">
      <c r="A515"/>
      <c r="B515" s="824"/>
      <c r="C515" s="824" t="s">
        <v>677</v>
      </c>
      <c r="D515" s="824" t="str">
        <f ca="1">CELL("Address",Elec_Rates!D$15)</f>
        <v>[EL25_0700_Mock_Up_Room_Elec_Estim.xlsx]Elec_Rates!$D$15</v>
      </c>
      <c r="E515" s="825"/>
      <c r="F515" s="825"/>
      <c r="G515" s="826" t="s">
        <v>678</v>
      </c>
      <c r="H515" s="826"/>
      <c r="I515" s="826"/>
      <c r="J515" s="826"/>
      <c r="K515" s="827"/>
      <c r="L515" s="825"/>
      <c r="M515" s="825"/>
      <c r="N515" s="825"/>
      <c r="O515" s="828"/>
      <c r="P515" s="825"/>
      <c r="Q515" s="829"/>
      <c r="R515" s="830"/>
      <c r="S515" s="829"/>
      <c r="T515" s="831"/>
      <c r="U515" s="832"/>
    </row>
    <row r="516" spans="1:41" s="753" customFormat="1" ht="11.4">
      <c r="A516" s="833">
        <v>5</v>
      </c>
      <c r="B516" s="834">
        <v>1</v>
      </c>
      <c r="C516" s="834">
        <f>$A516*$B516</f>
        <v>5</v>
      </c>
      <c r="D516" s="835" t="str">
        <f>Elec_Rates!$D$15</f>
        <v>001# REMS LSZH Conduit</v>
      </c>
      <c r="E516" s="835"/>
      <c r="F516" s="835"/>
      <c r="G516" s="836" t="s">
        <v>679</v>
      </c>
      <c r="H516" s="836"/>
      <c r="I516" s="836"/>
      <c r="J516" s="836"/>
      <c r="K516" s="837"/>
      <c r="L516" s="832"/>
      <c r="M516" s="832"/>
      <c r="N516" s="832"/>
      <c r="O516" s="838"/>
      <c r="P516" s="835"/>
      <c r="Q516" s="839">
        <f ca="1">$B516*Elec_Rates!$R$15</f>
        <v>3.58</v>
      </c>
      <c r="R516" s="830">
        <f ca="1">$A516*Q516</f>
        <v>17.899999999999999</v>
      </c>
      <c r="S516" s="839">
        <f ca="1">$B516*Elec_Rates!$T$15</f>
        <v>0.5</v>
      </c>
      <c r="T516" s="831">
        <f ca="1">$A516*S516</f>
        <v>2.5</v>
      </c>
      <c r="U516" s="840"/>
    </row>
    <row r="517" spans="1:41" s="618" customFormat="1" ht="12">
      <c r="A517" s="645"/>
      <c r="B517" s="645"/>
      <c r="C517" s="645"/>
      <c r="D517" s="645"/>
      <c r="E517" s="645"/>
      <c r="F517" s="2"/>
      <c r="G517" s="645"/>
      <c r="H517" s="645"/>
      <c r="I517" s="646"/>
      <c r="J517" s="645"/>
      <c r="K517" s="645"/>
      <c r="L517" s="645"/>
      <c r="M517" s="645"/>
      <c r="N517" s="645"/>
      <c r="O517" s="645"/>
      <c r="P517" s="645"/>
      <c r="Q517" s="646"/>
      <c r="R517" s="647">
        <f t="shared" ref="R517" si="124">$A517*Q517</f>
        <v>0</v>
      </c>
      <c r="S517" s="646"/>
      <c r="T517" s="648">
        <f t="shared" ref="T517" si="125">$A517*S517*$T$1</f>
        <v>0</v>
      </c>
    </row>
    <row r="518" spans="1:41" s="618" customFormat="1" ht="12.6" thickBot="1">
      <c r="A518" s="649" t="s">
        <v>137</v>
      </c>
      <c r="B518" s="650">
        <f>(R517+T517)</f>
        <v>0</v>
      </c>
      <c r="C518" s="651"/>
      <c r="D518" s="651"/>
      <c r="E518" s="651"/>
      <c r="F518" s="652"/>
      <c r="G518" s="651" t="s">
        <v>503</v>
      </c>
      <c r="H518" s="651"/>
      <c r="I518" s="653"/>
      <c r="J518" s="651"/>
      <c r="K518" s="651" t="s">
        <v>3</v>
      </c>
      <c r="L518" s="654" t="s">
        <v>136</v>
      </c>
      <c r="M518" s="654"/>
      <c r="N518" s="654"/>
      <c r="O518" s="654"/>
      <c r="P518" s="654"/>
      <c r="Q518" s="655"/>
      <c r="R518" s="656">
        <f ca="1">SUM(R514:R517)</f>
        <v>17.899999999999999</v>
      </c>
      <c r="S518" s="651"/>
      <c r="T518" s="656">
        <f ca="1">SUM(T514:T517)</f>
        <v>2.5</v>
      </c>
      <c r="U518" s="621"/>
      <c r="V518" s="621"/>
      <c r="W518" s="621"/>
      <c r="X518" s="621"/>
      <c r="Y518" s="621"/>
      <c r="Z518" s="621"/>
      <c r="AA518" s="621"/>
      <c r="AB518" s="621"/>
      <c r="AC518" s="621"/>
      <c r="AD518" s="621"/>
      <c r="AE518" s="621"/>
      <c r="AF518" s="621"/>
      <c r="AG518" s="621"/>
      <c r="AH518" s="621"/>
      <c r="AI518" s="621"/>
      <c r="AJ518" s="621"/>
      <c r="AK518" s="621"/>
      <c r="AL518" s="621"/>
      <c r="AM518" s="621"/>
      <c r="AN518" s="621"/>
      <c r="AO518" s="621"/>
    </row>
    <row r="519" spans="1:41" s="618" customFormat="1" ht="12" thickTop="1">
      <c r="A519" s="616"/>
      <c r="B519" s="622"/>
      <c r="C519" s="616"/>
      <c r="E519" s="37" t="s">
        <v>491</v>
      </c>
      <c r="F519" s="37" t="s">
        <v>492</v>
      </c>
      <c r="G519" s="616"/>
      <c r="H519" s="616"/>
      <c r="I519" s="616"/>
      <c r="J519" s="616"/>
      <c r="K519" s="616" t="s">
        <v>493</v>
      </c>
      <c r="L519" s="616"/>
      <c r="M519" s="616"/>
      <c r="N519" s="616"/>
      <c r="O519" s="617"/>
      <c r="P519" s="616"/>
      <c r="Q519" s="616"/>
      <c r="R519" s="616"/>
      <c r="S519" s="616"/>
      <c r="T519" s="622"/>
      <c r="AG519" s="623" t="s">
        <v>494</v>
      </c>
      <c r="AH519" s="623" t="s">
        <v>495</v>
      </c>
      <c r="AI519" s="623" t="s">
        <v>496</v>
      </c>
      <c r="AJ519" s="623" t="s">
        <v>497</v>
      </c>
      <c r="AK519" s="623" t="s">
        <v>498</v>
      </c>
      <c r="AM519" s="624" t="s">
        <v>499</v>
      </c>
      <c r="AN519" s="625" t="s">
        <v>500</v>
      </c>
      <c r="AO519" s="626" t="s">
        <v>501</v>
      </c>
    </row>
    <row r="520" spans="1:41" s="618" customFormat="1" ht="12" customHeight="1">
      <c r="A520" s="627">
        <v>1</v>
      </c>
      <c r="B520" s="628" t="s">
        <v>294</v>
      </c>
      <c r="C520" s="629"/>
      <c r="D520" s="630" t="s">
        <v>565</v>
      </c>
      <c r="E520" s="631">
        <f ca="1">IF(AND($A520=0,$A$1="DIF"),0, ROUND(ROUND(($R525*$S$2+($T525*$T$2))/A520,2)*$C$2,2))</f>
        <v>18</v>
      </c>
      <c r="F520" s="632">
        <f ca="1">ROUND($A520*$E520,2)</f>
        <v>18</v>
      </c>
      <c r="G520" s="88" t="s">
        <v>135</v>
      </c>
      <c r="H520" s="2"/>
      <c r="I520" s="633"/>
      <c r="J520" s="2"/>
      <c r="K520" s="2" t="s">
        <v>3</v>
      </c>
      <c r="L520" s="634" t="s">
        <v>136</v>
      </c>
      <c r="M520" s="634"/>
      <c r="N520" s="634"/>
      <c r="O520" s="634"/>
      <c r="P520" s="634"/>
      <c r="Q520" s="616"/>
      <c r="T520" s="635" t="str">
        <f ca="1">IF(AND($R525=0,$T525=0),"0.00","mu :" &amp; ROUND($F520/$C$2/($R525+$T525*$D$9),2))</f>
        <v>mu :1</v>
      </c>
      <c r="W520" s="636"/>
      <c r="AG520" s="637">
        <f ca="1">IF($E520=0,0,ROUND($R525*$S$2*$C$2/$A520,2))</f>
        <v>3.58</v>
      </c>
      <c r="AH520" s="637">
        <f ca="1">$AG520*$A520</f>
        <v>3.58</v>
      </c>
      <c r="AI520" s="638">
        <f ca="1">$E520-$AG520</f>
        <v>14.42</v>
      </c>
      <c r="AJ520" s="638">
        <f ca="1">$A520*$AI520</f>
        <v>14.42</v>
      </c>
      <c r="AK520" s="639">
        <f ca="1">ROUND(($AG520+$AI520)*$A520,2)</f>
        <v>18</v>
      </c>
      <c r="AM520" s="640">
        <f ca="1">ROUND(R525,2)</f>
        <v>3.58</v>
      </c>
      <c r="AN520" s="641">
        <f ca="1">ROUND(T525,2)</f>
        <v>0.5</v>
      </c>
      <c r="AO520" s="642">
        <f ca="1">ROUND(AM520+AN520,2)*A520</f>
        <v>4.08</v>
      </c>
    </row>
    <row r="521" spans="1:41" s="618" customFormat="1" ht="13.2">
      <c r="A521" s="629"/>
      <c r="B521"/>
      <c r="C521" s="629"/>
      <c r="D521" s="630" t="s">
        <v>365</v>
      </c>
      <c r="F521" s="2"/>
      <c r="G521" s="3"/>
      <c r="H521" s="2"/>
      <c r="I521" s="633"/>
      <c r="J521" s="2"/>
      <c r="K521" s="2" t="s">
        <v>502</v>
      </c>
      <c r="L521" s="2"/>
      <c r="M521" s="2"/>
      <c r="N521" s="2"/>
      <c r="O521" s="2"/>
      <c r="P521" s="2"/>
      <c r="Q521" s="616"/>
      <c r="R521" s="643"/>
      <c r="S521" s="644"/>
      <c r="T521" s="2"/>
    </row>
    <row r="522" spans="1:41" s="753" customFormat="1" ht="13.2">
      <c r="A522"/>
      <c r="B522" s="824"/>
      <c r="C522" s="824" t="s">
        <v>677</v>
      </c>
      <c r="D522" s="824" t="str">
        <f ca="1">CELL("Address",Elec_Rates!D$15)</f>
        <v>[EL25_0700_Mock_Up_Room_Elec_Estim.xlsx]Elec_Rates!$D$15</v>
      </c>
      <c r="E522" s="825"/>
      <c r="F522" s="825"/>
      <c r="G522" s="826" t="s">
        <v>678</v>
      </c>
      <c r="H522" s="826"/>
      <c r="I522" s="826"/>
      <c r="J522" s="826"/>
      <c r="K522" s="827"/>
      <c r="L522" s="825"/>
      <c r="M522" s="825"/>
      <c r="N522" s="825"/>
      <c r="O522" s="828"/>
      <c r="P522" s="825"/>
      <c r="Q522" s="829"/>
      <c r="R522" s="830"/>
      <c r="S522" s="829"/>
      <c r="T522" s="831"/>
      <c r="U522" s="832"/>
    </row>
    <row r="523" spans="1:41" s="753" customFormat="1" ht="11.4">
      <c r="A523" s="833">
        <v>1</v>
      </c>
      <c r="B523" s="834">
        <v>1</v>
      </c>
      <c r="C523" s="834">
        <f>$A523*$B523</f>
        <v>1</v>
      </c>
      <c r="D523" s="835" t="str">
        <f>Elec_Rates!$D$15</f>
        <v>001# REMS LSZH Conduit</v>
      </c>
      <c r="E523" s="835"/>
      <c r="F523" s="835"/>
      <c r="G523" s="836" t="s">
        <v>679</v>
      </c>
      <c r="H523" s="836"/>
      <c r="I523" s="836"/>
      <c r="J523" s="836"/>
      <c r="K523" s="837"/>
      <c r="L523" s="832"/>
      <c r="M523" s="832"/>
      <c r="N523" s="832"/>
      <c r="O523" s="838"/>
      <c r="P523" s="835"/>
      <c r="Q523" s="839">
        <f ca="1">$B523*Elec_Rates!$R$15</f>
        <v>3.58</v>
      </c>
      <c r="R523" s="830">
        <f ca="1">$A523*Q523</f>
        <v>3.58</v>
      </c>
      <c r="S523" s="839">
        <f ca="1">$B523*Elec_Rates!$T$15</f>
        <v>0.5</v>
      </c>
      <c r="T523" s="831">
        <f ca="1">$A523*S523</f>
        <v>0.5</v>
      </c>
      <c r="U523" s="840"/>
    </row>
    <row r="524" spans="1:41" s="618" customFormat="1" ht="12">
      <c r="A524" s="645"/>
      <c r="B524" s="645"/>
      <c r="C524" s="645"/>
      <c r="D524" s="645"/>
      <c r="E524" s="645"/>
      <c r="F524" s="2"/>
      <c r="G524" s="645"/>
      <c r="H524" s="645"/>
      <c r="I524" s="646"/>
      <c r="J524" s="645"/>
      <c r="K524" s="645"/>
      <c r="L524" s="645"/>
      <c r="M524" s="645"/>
      <c r="N524" s="645"/>
      <c r="O524" s="645"/>
      <c r="P524" s="645"/>
      <c r="Q524" s="646"/>
      <c r="R524" s="647">
        <f t="shared" ref="R524" si="126">$A524*Q524</f>
        <v>0</v>
      </c>
      <c r="S524" s="646"/>
      <c r="T524" s="648">
        <f t="shared" ref="T524" si="127">$A524*S524*$T$1</f>
        <v>0</v>
      </c>
    </row>
    <row r="525" spans="1:41" s="618" customFormat="1" ht="12.6" thickBot="1">
      <c r="A525" s="649" t="s">
        <v>137</v>
      </c>
      <c r="B525" s="650">
        <f>(R524+T524)</f>
        <v>0</v>
      </c>
      <c r="C525" s="651"/>
      <c r="D525" s="651"/>
      <c r="E525" s="651"/>
      <c r="F525" s="652"/>
      <c r="G525" s="651" t="s">
        <v>503</v>
      </c>
      <c r="H525" s="651"/>
      <c r="I525" s="653"/>
      <c r="J525" s="651"/>
      <c r="K525" s="651" t="s">
        <v>3</v>
      </c>
      <c r="L525" s="654" t="s">
        <v>136</v>
      </c>
      <c r="M525" s="654"/>
      <c r="N525" s="654"/>
      <c r="O525" s="654"/>
      <c r="P525" s="654"/>
      <c r="Q525" s="655"/>
      <c r="R525" s="656">
        <f ca="1">SUM(R521:R524)</f>
        <v>3.58</v>
      </c>
      <c r="S525" s="651"/>
      <c r="T525" s="656">
        <f ca="1">SUM(T521:T524)</f>
        <v>0.5</v>
      </c>
      <c r="U525" s="621"/>
      <c r="V525" s="621"/>
      <c r="W525" s="621"/>
      <c r="X525" s="621"/>
      <c r="Y525" s="621"/>
      <c r="Z525" s="621"/>
      <c r="AA525" s="621"/>
      <c r="AB525" s="621"/>
      <c r="AC525" s="621"/>
      <c r="AD525" s="621"/>
      <c r="AE525" s="621"/>
      <c r="AF525" s="621"/>
      <c r="AG525" s="621"/>
      <c r="AH525" s="621"/>
      <c r="AI525" s="621"/>
      <c r="AJ525" s="621"/>
      <c r="AK525" s="621"/>
      <c r="AL525" s="621"/>
      <c r="AM525" s="621"/>
      <c r="AN525" s="621"/>
      <c r="AO525" s="621"/>
    </row>
    <row r="526" spans="1:41" s="618" customFormat="1" ht="12" thickTop="1">
      <c r="A526" s="616"/>
      <c r="B526" s="622"/>
      <c r="C526" s="616"/>
      <c r="E526" s="37" t="s">
        <v>491</v>
      </c>
      <c r="F526" s="37" t="s">
        <v>492</v>
      </c>
      <c r="G526" s="616"/>
      <c r="H526" s="616"/>
      <c r="I526" s="616"/>
      <c r="J526" s="616"/>
      <c r="K526" s="616" t="s">
        <v>493</v>
      </c>
      <c r="L526" s="616"/>
      <c r="M526" s="616"/>
      <c r="N526" s="616"/>
      <c r="O526" s="617"/>
      <c r="P526" s="616"/>
      <c r="Q526" s="616"/>
      <c r="R526" s="616"/>
      <c r="S526" s="616"/>
      <c r="T526" s="622"/>
      <c r="AG526" s="623" t="s">
        <v>494</v>
      </c>
      <c r="AH526" s="623" t="s">
        <v>495</v>
      </c>
      <c r="AI526" s="623" t="s">
        <v>496</v>
      </c>
      <c r="AJ526" s="623" t="s">
        <v>497</v>
      </c>
      <c r="AK526" s="623" t="s">
        <v>498</v>
      </c>
      <c r="AM526" s="624" t="s">
        <v>499</v>
      </c>
      <c r="AN526" s="625" t="s">
        <v>500</v>
      </c>
      <c r="AO526" s="626" t="s">
        <v>501</v>
      </c>
    </row>
    <row r="527" spans="1:41" s="618" customFormat="1" ht="12" customHeight="1">
      <c r="A527" s="627">
        <v>1</v>
      </c>
      <c r="B527" s="628" t="s">
        <v>294</v>
      </c>
      <c r="C527" s="629"/>
      <c r="D527" s="630" t="s">
        <v>566</v>
      </c>
      <c r="E527" s="631">
        <f ca="1">IF(AND($A527=0,$A$1="DIF"),0, ROUND(ROUND(($R532*$S$2+($T532*$T$2))/A527,2)*$C$2,2))</f>
        <v>18</v>
      </c>
      <c r="F527" s="632">
        <f ca="1">ROUND($A527*$E527,2)</f>
        <v>18</v>
      </c>
      <c r="G527" s="88" t="s">
        <v>135</v>
      </c>
      <c r="H527" s="2"/>
      <c r="I527" s="633"/>
      <c r="J527" s="2"/>
      <c r="K527" s="2" t="s">
        <v>3</v>
      </c>
      <c r="L527" s="634" t="s">
        <v>136</v>
      </c>
      <c r="M527" s="634"/>
      <c r="N527" s="634"/>
      <c r="O527" s="634"/>
      <c r="P527" s="634"/>
      <c r="Q527" s="616"/>
      <c r="T527" s="635" t="str">
        <f ca="1">IF(AND($R532=0,$T532=0),"0.00","mu :" &amp; ROUND($F527/$C$2/($R532+$T532*$D$9),2))</f>
        <v>mu :1</v>
      </c>
      <c r="W527" s="636"/>
      <c r="AG527" s="637">
        <f ca="1">IF($E527=0,0,ROUND($R532*$S$2*$C$2/$A527,2))</f>
        <v>3.58</v>
      </c>
      <c r="AH527" s="637">
        <f ca="1">$AG527*$A527</f>
        <v>3.58</v>
      </c>
      <c r="AI527" s="638">
        <f ca="1">$E527-$AG527</f>
        <v>14.42</v>
      </c>
      <c r="AJ527" s="638">
        <f ca="1">$A527*$AI527</f>
        <v>14.42</v>
      </c>
      <c r="AK527" s="639">
        <f ca="1">ROUND(($AG527+$AI527)*$A527,2)</f>
        <v>18</v>
      </c>
      <c r="AM527" s="640">
        <f ca="1">ROUND(R532,2)</f>
        <v>3.58</v>
      </c>
      <c r="AN527" s="641">
        <f ca="1">ROUND(T532,2)</f>
        <v>0.5</v>
      </c>
      <c r="AO527" s="642">
        <f ca="1">ROUND(AM527+AN527,2)*A527</f>
        <v>4.08</v>
      </c>
    </row>
    <row r="528" spans="1:41" s="618" customFormat="1" ht="13.2">
      <c r="A528" s="629"/>
      <c r="B528"/>
      <c r="C528" s="629"/>
      <c r="D528" s="630" t="s">
        <v>366</v>
      </c>
      <c r="F528" s="2"/>
      <c r="G528" s="3"/>
      <c r="H528" s="2"/>
      <c r="I528" s="633"/>
      <c r="J528" s="2"/>
      <c r="K528" s="2" t="s">
        <v>502</v>
      </c>
      <c r="L528" s="2"/>
      <c r="M528" s="2"/>
      <c r="N528" s="2"/>
      <c r="O528" s="2"/>
      <c r="P528" s="2"/>
      <c r="Q528" s="616"/>
      <c r="R528" s="643"/>
      <c r="S528" s="644"/>
      <c r="T528" s="2"/>
    </row>
    <row r="529" spans="1:41" s="753" customFormat="1" ht="13.2">
      <c r="A529"/>
      <c r="B529" s="824"/>
      <c r="C529" s="824" t="s">
        <v>677</v>
      </c>
      <c r="D529" s="824" t="str">
        <f ca="1">CELL("Address",Elec_Rates!D$15)</f>
        <v>[EL25_0700_Mock_Up_Room_Elec_Estim.xlsx]Elec_Rates!$D$15</v>
      </c>
      <c r="E529" s="825"/>
      <c r="F529" s="825"/>
      <c r="G529" s="826" t="s">
        <v>678</v>
      </c>
      <c r="H529" s="826"/>
      <c r="I529" s="826"/>
      <c r="J529" s="826"/>
      <c r="K529" s="827"/>
      <c r="L529" s="825"/>
      <c r="M529" s="825"/>
      <c r="N529" s="825"/>
      <c r="O529" s="828"/>
      <c r="P529" s="825"/>
      <c r="Q529" s="829"/>
      <c r="R529" s="830"/>
      <c r="S529" s="829"/>
      <c r="T529" s="831"/>
      <c r="U529" s="832"/>
    </row>
    <row r="530" spans="1:41" s="753" customFormat="1" ht="11.4">
      <c r="A530" s="833">
        <v>1</v>
      </c>
      <c r="B530" s="834">
        <v>1</v>
      </c>
      <c r="C530" s="834">
        <f>$A530*$B530</f>
        <v>1</v>
      </c>
      <c r="D530" s="835" t="str">
        <f>Elec_Rates!$D$15</f>
        <v>001# REMS LSZH Conduit</v>
      </c>
      <c r="E530" s="835"/>
      <c r="F530" s="835"/>
      <c r="G530" s="836" t="s">
        <v>679</v>
      </c>
      <c r="H530" s="836"/>
      <c r="I530" s="836"/>
      <c r="J530" s="836"/>
      <c r="K530" s="837"/>
      <c r="L530" s="832"/>
      <c r="M530" s="832"/>
      <c r="N530" s="832"/>
      <c r="O530" s="838"/>
      <c r="P530" s="835"/>
      <c r="Q530" s="839">
        <f ca="1">$B530*Elec_Rates!$R$15</f>
        <v>3.58</v>
      </c>
      <c r="R530" s="830">
        <f ca="1">$A530*Q530</f>
        <v>3.58</v>
      </c>
      <c r="S530" s="839">
        <f ca="1">$B530*Elec_Rates!$T$15</f>
        <v>0.5</v>
      </c>
      <c r="T530" s="831">
        <f ca="1">$A530*S530</f>
        <v>0.5</v>
      </c>
      <c r="U530" s="840"/>
    </row>
    <row r="531" spans="1:41" s="618" customFormat="1" ht="12">
      <c r="A531" s="645"/>
      <c r="B531" s="645"/>
      <c r="C531" s="645"/>
      <c r="D531" s="645"/>
      <c r="E531" s="645"/>
      <c r="F531" s="2"/>
      <c r="G531" s="645"/>
      <c r="H531" s="645"/>
      <c r="I531" s="646"/>
      <c r="J531" s="645"/>
      <c r="K531" s="645"/>
      <c r="L531" s="645"/>
      <c r="M531" s="645"/>
      <c r="N531" s="645"/>
      <c r="O531" s="645"/>
      <c r="P531" s="645"/>
      <c r="Q531" s="646"/>
      <c r="R531" s="647">
        <f t="shared" ref="R531" si="128">$A531*Q531</f>
        <v>0</v>
      </c>
      <c r="S531" s="646"/>
      <c r="T531" s="648">
        <f t="shared" ref="T531" si="129">$A531*S531*$T$1</f>
        <v>0</v>
      </c>
    </row>
    <row r="532" spans="1:41" s="618" customFormat="1" ht="12.6" thickBot="1">
      <c r="A532" s="649" t="s">
        <v>137</v>
      </c>
      <c r="B532" s="650">
        <f>(R531+T531)</f>
        <v>0</v>
      </c>
      <c r="C532" s="651"/>
      <c r="D532" s="651"/>
      <c r="E532" s="651"/>
      <c r="F532" s="652"/>
      <c r="G532" s="651" t="s">
        <v>503</v>
      </c>
      <c r="H532" s="651"/>
      <c r="I532" s="653"/>
      <c r="J532" s="651"/>
      <c r="K532" s="651" t="s">
        <v>3</v>
      </c>
      <c r="L532" s="654" t="s">
        <v>136</v>
      </c>
      <c r="M532" s="654"/>
      <c r="N532" s="654"/>
      <c r="O532" s="654"/>
      <c r="P532" s="654"/>
      <c r="Q532" s="655"/>
      <c r="R532" s="656">
        <f ca="1">SUM(R528:R531)</f>
        <v>3.58</v>
      </c>
      <c r="S532" s="651"/>
      <c r="T532" s="656">
        <f ca="1">SUM(T528:T531)</f>
        <v>0.5</v>
      </c>
      <c r="U532" s="621"/>
      <c r="V532" s="621"/>
      <c r="W532" s="621"/>
      <c r="X532" s="621"/>
      <c r="Y532" s="621"/>
      <c r="Z532" s="621"/>
      <c r="AA532" s="621"/>
      <c r="AB532" s="621"/>
      <c r="AC532" s="621"/>
      <c r="AD532" s="621"/>
      <c r="AE532" s="621"/>
      <c r="AF532" s="621"/>
      <c r="AG532" s="621"/>
      <c r="AH532" s="621"/>
      <c r="AI532" s="621"/>
      <c r="AJ532" s="621"/>
      <c r="AK532" s="621"/>
      <c r="AL532" s="621"/>
      <c r="AM532" s="621"/>
      <c r="AN532" s="621"/>
      <c r="AO532" s="621"/>
    </row>
    <row r="533" spans="1:41" s="618" customFormat="1" ht="12" thickTop="1">
      <c r="A533" s="616"/>
      <c r="B533" s="622"/>
      <c r="C533" s="616"/>
      <c r="E533" s="37" t="s">
        <v>491</v>
      </c>
      <c r="F533" s="37" t="s">
        <v>492</v>
      </c>
      <c r="G533" s="616"/>
      <c r="H533" s="616"/>
      <c r="I533" s="616"/>
      <c r="J533" s="616"/>
      <c r="K533" s="616" t="s">
        <v>493</v>
      </c>
      <c r="L533" s="616"/>
      <c r="M533" s="616"/>
      <c r="N533" s="616"/>
      <c r="O533" s="617"/>
      <c r="P533" s="616"/>
      <c r="Q533" s="616"/>
      <c r="R533" s="616"/>
      <c r="S533" s="616"/>
      <c r="T533" s="622"/>
      <c r="AG533" s="623" t="s">
        <v>494</v>
      </c>
      <c r="AH533" s="623" t="s">
        <v>495</v>
      </c>
      <c r="AI533" s="623" t="s">
        <v>496</v>
      </c>
      <c r="AJ533" s="623" t="s">
        <v>497</v>
      </c>
      <c r="AK533" s="623" t="s">
        <v>498</v>
      </c>
      <c r="AM533" s="624" t="s">
        <v>499</v>
      </c>
      <c r="AN533" s="625" t="s">
        <v>500</v>
      </c>
      <c r="AO533" s="626" t="s">
        <v>501</v>
      </c>
    </row>
    <row r="534" spans="1:41" s="618" customFormat="1" ht="12" customHeight="1">
      <c r="A534" s="627">
        <v>1</v>
      </c>
      <c r="B534" s="628" t="s">
        <v>294</v>
      </c>
      <c r="C534" s="629"/>
      <c r="D534" s="630" t="s">
        <v>567</v>
      </c>
      <c r="E534" s="631">
        <f ca="1">IF(AND($A534=0,$A$1="DIF"),0, ROUND(ROUND(($R539*$S$2+($T539*$T$2))/A534,2)*$C$2,2))</f>
        <v>18</v>
      </c>
      <c r="F534" s="632">
        <f ca="1">ROUND($A534*$E534,2)</f>
        <v>18</v>
      </c>
      <c r="G534" s="88" t="s">
        <v>135</v>
      </c>
      <c r="H534" s="2"/>
      <c r="I534" s="633"/>
      <c r="J534" s="2"/>
      <c r="K534" s="2" t="s">
        <v>3</v>
      </c>
      <c r="L534" s="634" t="s">
        <v>136</v>
      </c>
      <c r="M534" s="634"/>
      <c r="N534" s="634"/>
      <c r="O534" s="634"/>
      <c r="P534" s="634"/>
      <c r="Q534" s="616"/>
      <c r="T534" s="635" t="str">
        <f ca="1">IF(AND($R539=0,$T539=0),"0.00","mu :" &amp; ROUND($F534/$C$2/($R539+$T539*$D$9),2))</f>
        <v>mu :1</v>
      </c>
      <c r="W534" s="636"/>
      <c r="AG534" s="637">
        <f ca="1">IF($E534=0,0,ROUND($R539*$S$2*$C$2/$A534,2))</f>
        <v>3.58</v>
      </c>
      <c r="AH534" s="637">
        <f ca="1">$AG534*$A534</f>
        <v>3.58</v>
      </c>
      <c r="AI534" s="638">
        <f ca="1">$E534-$AG534</f>
        <v>14.42</v>
      </c>
      <c r="AJ534" s="638">
        <f ca="1">$A534*$AI534</f>
        <v>14.42</v>
      </c>
      <c r="AK534" s="639">
        <f ca="1">ROUND(($AG534+$AI534)*$A534,2)</f>
        <v>18</v>
      </c>
      <c r="AM534" s="640">
        <f ca="1">ROUND(R539,2)</f>
        <v>3.58</v>
      </c>
      <c r="AN534" s="641">
        <f ca="1">ROUND(T539,2)</f>
        <v>0.5</v>
      </c>
      <c r="AO534" s="642">
        <f ca="1">ROUND(AM534+AN534,2)*A534</f>
        <v>4.08</v>
      </c>
    </row>
    <row r="535" spans="1:41" s="618" customFormat="1" ht="13.2">
      <c r="A535" s="629"/>
      <c r="B535"/>
      <c r="C535" s="629"/>
      <c r="D535" s="630" t="s">
        <v>367</v>
      </c>
      <c r="F535" s="2"/>
      <c r="G535" s="3"/>
      <c r="H535" s="2"/>
      <c r="I535" s="633"/>
      <c r="J535" s="2"/>
      <c r="K535" s="2" t="s">
        <v>502</v>
      </c>
      <c r="L535" s="2"/>
      <c r="M535" s="2"/>
      <c r="N535" s="2"/>
      <c r="O535" s="2"/>
      <c r="P535" s="2"/>
      <c r="Q535" s="616"/>
      <c r="R535" s="643"/>
      <c r="S535" s="644"/>
      <c r="T535" s="2"/>
    </row>
    <row r="536" spans="1:41" s="753" customFormat="1" ht="13.2">
      <c r="A536"/>
      <c r="B536" s="824"/>
      <c r="C536" s="824" t="s">
        <v>677</v>
      </c>
      <c r="D536" s="824" t="str">
        <f ca="1">CELL("Address",Elec_Rates!D$15)</f>
        <v>[EL25_0700_Mock_Up_Room_Elec_Estim.xlsx]Elec_Rates!$D$15</v>
      </c>
      <c r="E536" s="825"/>
      <c r="F536" s="825"/>
      <c r="G536" s="826" t="s">
        <v>678</v>
      </c>
      <c r="H536" s="826"/>
      <c r="I536" s="826"/>
      <c r="J536" s="826"/>
      <c r="K536" s="827"/>
      <c r="L536" s="825"/>
      <c r="M536" s="825"/>
      <c r="N536" s="825"/>
      <c r="O536" s="828"/>
      <c r="P536" s="825"/>
      <c r="Q536" s="829"/>
      <c r="R536" s="830"/>
      <c r="S536" s="829"/>
      <c r="T536" s="831"/>
      <c r="U536" s="832"/>
    </row>
    <row r="537" spans="1:41" s="753" customFormat="1" ht="11.4">
      <c r="A537" s="833">
        <v>1</v>
      </c>
      <c r="B537" s="834">
        <v>1</v>
      </c>
      <c r="C537" s="834">
        <f>$A537*$B537</f>
        <v>1</v>
      </c>
      <c r="D537" s="835" t="str">
        <f>Elec_Rates!$D$15</f>
        <v>001# REMS LSZH Conduit</v>
      </c>
      <c r="E537" s="835"/>
      <c r="F537" s="835"/>
      <c r="G537" s="836" t="s">
        <v>679</v>
      </c>
      <c r="H537" s="836"/>
      <c r="I537" s="836"/>
      <c r="J537" s="836"/>
      <c r="K537" s="837"/>
      <c r="L537" s="832"/>
      <c r="M537" s="832"/>
      <c r="N537" s="832"/>
      <c r="O537" s="838"/>
      <c r="P537" s="835"/>
      <c r="Q537" s="839">
        <f ca="1">$B537*Elec_Rates!$R$15</f>
        <v>3.58</v>
      </c>
      <c r="R537" s="830">
        <f ca="1">$A537*Q537</f>
        <v>3.58</v>
      </c>
      <c r="S537" s="839">
        <f ca="1">$B537*Elec_Rates!$T$15</f>
        <v>0.5</v>
      </c>
      <c r="T537" s="831">
        <f ca="1">$A537*S537</f>
        <v>0.5</v>
      </c>
      <c r="U537" s="840"/>
    </row>
    <row r="538" spans="1:41" s="618" customFormat="1" ht="12">
      <c r="A538" s="645"/>
      <c r="B538" s="645"/>
      <c r="C538" s="645"/>
      <c r="D538" s="645"/>
      <c r="E538" s="645"/>
      <c r="F538" s="2"/>
      <c r="G538" s="645"/>
      <c r="H538" s="645"/>
      <c r="I538" s="646"/>
      <c r="J538" s="645"/>
      <c r="K538" s="645"/>
      <c r="L538" s="645"/>
      <c r="M538" s="645"/>
      <c r="N538" s="645"/>
      <c r="O538" s="645"/>
      <c r="P538" s="645"/>
      <c r="Q538" s="646"/>
      <c r="R538" s="647">
        <f t="shared" ref="R538" si="130">$A538*Q538</f>
        <v>0</v>
      </c>
      <c r="S538" s="646"/>
      <c r="T538" s="648">
        <f t="shared" ref="T538" si="131">$A538*S538*$T$1</f>
        <v>0</v>
      </c>
    </row>
    <row r="539" spans="1:41" s="618" customFormat="1" ht="12.6" thickBot="1">
      <c r="A539" s="649" t="s">
        <v>137</v>
      </c>
      <c r="B539" s="650">
        <f>(R538+T538)</f>
        <v>0</v>
      </c>
      <c r="C539" s="651"/>
      <c r="D539" s="651"/>
      <c r="E539" s="651"/>
      <c r="F539" s="652"/>
      <c r="G539" s="651" t="s">
        <v>503</v>
      </c>
      <c r="H539" s="651"/>
      <c r="I539" s="653"/>
      <c r="J539" s="651"/>
      <c r="K539" s="651" t="s">
        <v>3</v>
      </c>
      <c r="L539" s="654" t="s">
        <v>136</v>
      </c>
      <c r="M539" s="654"/>
      <c r="N539" s="654"/>
      <c r="O539" s="654"/>
      <c r="P539" s="654"/>
      <c r="Q539" s="655"/>
      <c r="R539" s="656">
        <f ca="1">SUM(R535:R538)</f>
        <v>3.58</v>
      </c>
      <c r="S539" s="651"/>
      <c r="T539" s="656">
        <f ca="1">SUM(T535:T538)</f>
        <v>0.5</v>
      </c>
      <c r="U539" s="621"/>
      <c r="V539" s="621"/>
      <c r="W539" s="621"/>
      <c r="X539" s="621"/>
      <c r="Y539" s="621"/>
      <c r="Z539" s="621"/>
      <c r="AA539" s="621"/>
      <c r="AB539" s="621"/>
      <c r="AC539" s="621"/>
      <c r="AD539" s="621"/>
      <c r="AE539" s="621"/>
      <c r="AF539" s="621"/>
      <c r="AG539" s="621"/>
      <c r="AH539" s="621"/>
      <c r="AI539" s="621"/>
      <c r="AJ539" s="621"/>
      <c r="AK539" s="621"/>
      <c r="AL539" s="621"/>
      <c r="AM539" s="621"/>
      <c r="AN539" s="621"/>
      <c r="AO539" s="621"/>
    </row>
    <row r="540" spans="1:41" s="618" customFormat="1" ht="12" thickTop="1">
      <c r="A540" s="616"/>
      <c r="B540" s="622"/>
      <c r="C540" s="616"/>
      <c r="E540" s="37" t="s">
        <v>491</v>
      </c>
      <c r="F540" s="37" t="s">
        <v>492</v>
      </c>
      <c r="G540" s="616"/>
      <c r="H540" s="616"/>
      <c r="I540" s="616"/>
      <c r="J540" s="616"/>
      <c r="K540" s="616" t="s">
        <v>493</v>
      </c>
      <c r="L540" s="616"/>
      <c r="M540" s="616"/>
      <c r="N540" s="616"/>
      <c r="O540" s="617"/>
      <c r="P540" s="616"/>
      <c r="Q540" s="616"/>
      <c r="R540" s="616"/>
      <c r="S540" s="616"/>
      <c r="T540" s="622"/>
      <c r="AG540" s="623" t="s">
        <v>494</v>
      </c>
      <c r="AH540" s="623" t="s">
        <v>495</v>
      </c>
      <c r="AI540" s="623" t="s">
        <v>496</v>
      </c>
      <c r="AJ540" s="623" t="s">
        <v>497</v>
      </c>
      <c r="AK540" s="623" t="s">
        <v>498</v>
      </c>
      <c r="AM540" s="624" t="s">
        <v>499</v>
      </c>
      <c r="AN540" s="625" t="s">
        <v>500</v>
      </c>
      <c r="AO540" s="626" t="s">
        <v>501</v>
      </c>
    </row>
    <row r="541" spans="1:41" s="618" customFormat="1" ht="12" customHeight="1">
      <c r="A541" s="627">
        <v>1</v>
      </c>
      <c r="B541" s="628" t="s">
        <v>294</v>
      </c>
      <c r="C541" s="629"/>
      <c r="D541" s="630" t="s">
        <v>568</v>
      </c>
      <c r="E541" s="631">
        <f ca="1">IF(AND($A541=0,$A$1="DIF"),0, ROUND(ROUND(($R546*$S$2+($T546*$T$2))/A541,2)*$C$2,2))</f>
        <v>18</v>
      </c>
      <c r="F541" s="632">
        <f ca="1">ROUND($A541*$E541,2)</f>
        <v>18</v>
      </c>
      <c r="G541" s="88" t="s">
        <v>135</v>
      </c>
      <c r="H541" s="2"/>
      <c r="I541" s="633"/>
      <c r="J541" s="2"/>
      <c r="K541" s="2" t="s">
        <v>3</v>
      </c>
      <c r="L541" s="634" t="s">
        <v>136</v>
      </c>
      <c r="M541" s="634"/>
      <c r="N541" s="634"/>
      <c r="O541" s="634"/>
      <c r="P541" s="634"/>
      <c r="Q541" s="616"/>
      <c r="T541" s="635" t="str">
        <f ca="1">IF(AND($R546=0,$T546=0),"0.00","mu :" &amp; ROUND($F541/$C$2/($R546+$T546*$D$9),2))</f>
        <v>mu :1</v>
      </c>
      <c r="W541" s="636"/>
      <c r="AG541" s="637">
        <f ca="1">IF($E541=0,0,ROUND($R546*$S$2*$C$2/$A541,2))</f>
        <v>3.58</v>
      </c>
      <c r="AH541" s="637">
        <f ca="1">$AG541*$A541</f>
        <v>3.58</v>
      </c>
      <c r="AI541" s="638">
        <f ca="1">$E541-$AG541</f>
        <v>14.42</v>
      </c>
      <c r="AJ541" s="638">
        <f ca="1">$A541*$AI541</f>
        <v>14.42</v>
      </c>
      <c r="AK541" s="639">
        <f ca="1">ROUND(($AG541+$AI541)*$A541,2)</f>
        <v>18</v>
      </c>
      <c r="AM541" s="640">
        <f ca="1">ROUND(R546,2)</f>
        <v>3.58</v>
      </c>
      <c r="AN541" s="641">
        <f ca="1">ROUND(T546,2)</f>
        <v>0.5</v>
      </c>
      <c r="AO541" s="642">
        <f ca="1">ROUND(AM541+AN541,2)*A541</f>
        <v>4.08</v>
      </c>
    </row>
    <row r="542" spans="1:41" s="618" customFormat="1" ht="13.2">
      <c r="A542" s="629"/>
      <c r="B542"/>
      <c r="C542" s="629"/>
      <c r="D542" s="630" t="s">
        <v>368</v>
      </c>
      <c r="F542" s="2"/>
      <c r="G542" s="3"/>
      <c r="H542" s="2"/>
      <c r="I542" s="633"/>
      <c r="J542" s="2"/>
      <c r="K542" s="2" t="s">
        <v>502</v>
      </c>
      <c r="L542" s="2"/>
      <c r="M542" s="2"/>
      <c r="N542" s="2"/>
      <c r="O542" s="2"/>
      <c r="P542" s="2"/>
      <c r="Q542" s="616"/>
      <c r="R542" s="643"/>
      <c r="S542" s="644"/>
      <c r="T542" s="2"/>
    </row>
    <row r="543" spans="1:41" s="753" customFormat="1" ht="13.2">
      <c r="A543"/>
      <c r="B543" s="824"/>
      <c r="C543" s="824" t="s">
        <v>677</v>
      </c>
      <c r="D543" s="824" t="str">
        <f ca="1">CELL("Address",Elec_Rates!D$15)</f>
        <v>[EL25_0700_Mock_Up_Room_Elec_Estim.xlsx]Elec_Rates!$D$15</v>
      </c>
      <c r="E543" s="825"/>
      <c r="F543" s="825"/>
      <c r="G543" s="826" t="s">
        <v>678</v>
      </c>
      <c r="H543" s="826"/>
      <c r="I543" s="826"/>
      <c r="J543" s="826"/>
      <c r="K543" s="827"/>
      <c r="L543" s="825"/>
      <c r="M543" s="825"/>
      <c r="N543" s="825"/>
      <c r="O543" s="828"/>
      <c r="P543" s="825"/>
      <c r="Q543" s="829"/>
      <c r="R543" s="830"/>
      <c r="S543" s="829"/>
      <c r="T543" s="831"/>
      <c r="U543" s="832"/>
    </row>
    <row r="544" spans="1:41" s="753" customFormat="1" ht="11.4">
      <c r="A544" s="833">
        <v>1</v>
      </c>
      <c r="B544" s="834">
        <v>1</v>
      </c>
      <c r="C544" s="834">
        <f>$A544*$B544</f>
        <v>1</v>
      </c>
      <c r="D544" s="835" t="str">
        <f>Elec_Rates!$D$15</f>
        <v>001# REMS LSZH Conduit</v>
      </c>
      <c r="E544" s="835"/>
      <c r="F544" s="835"/>
      <c r="G544" s="836" t="s">
        <v>679</v>
      </c>
      <c r="H544" s="836"/>
      <c r="I544" s="836"/>
      <c r="J544" s="836"/>
      <c r="K544" s="837"/>
      <c r="L544" s="832"/>
      <c r="M544" s="832"/>
      <c r="N544" s="832"/>
      <c r="O544" s="838"/>
      <c r="P544" s="835"/>
      <c r="Q544" s="839">
        <f ca="1">$B544*Elec_Rates!$R$15</f>
        <v>3.58</v>
      </c>
      <c r="R544" s="830">
        <f ca="1">$A544*Q544</f>
        <v>3.58</v>
      </c>
      <c r="S544" s="839">
        <f ca="1">$B544*Elec_Rates!$T$15</f>
        <v>0.5</v>
      </c>
      <c r="T544" s="831">
        <f ca="1">$A544*S544</f>
        <v>0.5</v>
      </c>
      <c r="U544" s="840"/>
    </row>
    <row r="545" spans="1:41" s="618" customFormat="1" ht="12">
      <c r="A545" s="645"/>
      <c r="B545" s="645"/>
      <c r="C545" s="645"/>
      <c r="D545" s="645"/>
      <c r="E545" s="645"/>
      <c r="F545" s="2"/>
      <c r="G545" s="645"/>
      <c r="H545" s="645"/>
      <c r="I545" s="646"/>
      <c r="J545" s="645"/>
      <c r="K545" s="645"/>
      <c r="L545" s="645"/>
      <c r="M545" s="645"/>
      <c r="N545" s="645"/>
      <c r="O545" s="645"/>
      <c r="P545" s="645"/>
      <c r="Q545" s="646"/>
      <c r="R545" s="647">
        <f t="shared" ref="R545" si="132">$A545*Q545</f>
        <v>0</v>
      </c>
      <c r="S545" s="646"/>
      <c r="T545" s="648">
        <f t="shared" ref="T545" si="133">$A545*S545*$T$1</f>
        <v>0</v>
      </c>
    </row>
    <row r="546" spans="1:41" s="618" customFormat="1" ht="12.6" thickBot="1">
      <c r="A546" s="649" t="s">
        <v>137</v>
      </c>
      <c r="B546" s="650">
        <f>(R545+T545)</f>
        <v>0</v>
      </c>
      <c r="C546" s="651"/>
      <c r="D546" s="651"/>
      <c r="E546" s="651"/>
      <c r="F546" s="652"/>
      <c r="G546" s="651" t="s">
        <v>503</v>
      </c>
      <c r="H546" s="651"/>
      <c r="I546" s="653"/>
      <c r="J546" s="651"/>
      <c r="K546" s="651" t="s">
        <v>3</v>
      </c>
      <c r="L546" s="654" t="s">
        <v>136</v>
      </c>
      <c r="M546" s="654"/>
      <c r="N546" s="654"/>
      <c r="O546" s="654"/>
      <c r="P546" s="654"/>
      <c r="Q546" s="655"/>
      <c r="R546" s="656">
        <f ca="1">SUM(R542:R545)</f>
        <v>3.58</v>
      </c>
      <c r="S546" s="651"/>
      <c r="T546" s="656">
        <f ca="1">SUM(T542:T545)</f>
        <v>0.5</v>
      </c>
      <c r="U546" s="621"/>
      <c r="V546" s="621"/>
      <c r="W546" s="621"/>
      <c r="X546" s="621"/>
      <c r="Y546" s="621"/>
      <c r="Z546" s="621"/>
      <c r="AA546" s="621"/>
      <c r="AB546" s="621"/>
      <c r="AC546" s="621"/>
      <c r="AD546" s="621"/>
      <c r="AE546" s="621"/>
      <c r="AF546" s="621"/>
      <c r="AG546" s="621"/>
      <c r="AH546" s="621"/>
      <c r="AI546" s="621"/>
      <c r="AJ546" s="621"/>
      <c r="AK546" s="621"/>
      <c r="AL546" s="621"/>
      <c r="AM546" s="621"/>
      <c r="AN546" s="621"/>
      <c r="AO546" s="621"/>
    </row>
    <row r="547" spans="1:41" s="618" customFormat="1" thickTop="1">
      <c r="A547" s="616"/>
      <c r="B547" s="616"/>
      <c r="C547" s="3"/>
      <c r="D547" s="3"/>
      <c r="E547" s="616"/>
      <c r="F547" s="616"/>
      <c r="G547" s="616"/>
      <c r="H547" s="616"/>
      <c r="I547" s="616"/>
      <c r="J547" s="616"/>
      <c r="K547" s="616" t="s">
        <v>489</v>
      </c>
      <c r="L547" s="616"/>
      <c r="M547" s="616"/>
      <c r="N547" s="616"/>
      <c r="O547" s="617"/>
      <c r="P547" s="616"/>
      <c r="Q547" s="616"/>
      <c r="R547" s="616"/>
      <c r="S547" s="616"/>
      <c r="T547" s="616"/>
    </row>
    <row r="548" spans="1:41" s="618" customFormat="1" ht="12">
      <c r="A548" s="616"/>
      <c r="B548" s="616"/>
      <c r="C548" s="616" t="s">
        <v>490</v>
      </c>
      <c r="D548" s="619"/>
      <c r="E548" s="616"/>
      <c r="F548" s="616"/>
      <c r="G548" s="616"/>
      <c r="H548" s="616"/>
      <c r="I548" s="616"/>
      <c r="J548" s="616"/>
      <c r="K548" s="616"/>
      <c r="L548" s="616"/>
      <c r="M548" s="616"/>
      <c r="N548" s="616"/>
      <c r="O548" s="617"/>
      <c r="P548" s="616"/>
      <c r="Q548" s="616"/>
      <c r="R548" s="616"/>
      <c r="S548" s="616"/>
      <c r="T548" s="616"/>
    </row>
    <row r="549" spans="1:41" s="618" customFormat="1" ht="12">
      <c r="A549" s="616"/>
      <c r="B549" s="616"/>
      <c r="C549" s="616"/>
      <c r="D549" s="619" t="s">
        <v>369</v>
      </c>
      <c r="E549" s="616"/>
      <c r="F549" s="616"/>
      <c r="G549" s="616"/>
      <c r="H549" s="616"/>
      <c r="I549" s="616"/>
      <c r="J549" s="616"/>
      <c r="K549" s="616"/>
      <c r="L549" s="616"/>
      <c r="M549" s="616"/>
      <c r="N549" s="616"/>
      <c r="O549" s="617"/>
      <c r="P549" s="616"/>
      <c r="Q549" s="616"/>
      <c r="R549" s="616"/>
      <c r="S549" s="620"/>
      <c r="T549" s="620"/>
    </row>
    <row r="550" spans="1:41" s="3" customFormat="1" thickBot="1">
      <c r="A550" s="621"/>
      <c r="O550" s="96"/>
    </row>
    <row r="551" spans="1:41" s="618" customFormat="1" ht="12" thickTop="1">
      <c r="A551" s="616"/>
      <c r="B551" s="622"/>
      <c r="C551" s="616"/>
      <c r="E551" s="37" t="s">
        <v>491</v>
      </c>
      <c r="F551" s="37" t="s">
        <v>492</v>
      </c>
      <c r="G551" s="616"/>
      <c r="H551" s="616"/>
      <c r="I551" s="616"/>
      <c r="J551" s="616"/>
      <c r="K551" s="616" t="s">
        <v>493</v>
      </c>
      <c r="L551" s="616"/>
      <c r="M551" s="616"/>
      <c r="N551" s="616"/>
      <c r="O551" s="617"/>
      <c r="P551" s="616"/>
      <c r="Q551" s="616"/>
      <c r="R551" s="616"/>
      <c r="S551" s="616"/>
      <c r="T551" s="622"/>
      <c r="AG551" s="623" t="s">
        <v>494</v>
      </c>
      <c r="AH551" s="623" t="s">
        <v>495</v>
      </c>
      <c r="AI551" s="623" t="s">
        <v>496</v>
      </c>
      <c r="AJ551" s="623" t="s">
        <v>497</v>
      </c>
      <c r="AK551" s="623" t="s">
        <v>498</v>
      </c>
      <c r="AM551" s="624" t="s">
        <v>499</v>
      </c>
      <c r="AN551" s="625" t="s">
        <v>500</v>
      </c>
      <c r="AO551" s="626" t="s">
        <v>501</v>
      </c>
    </row>
    <row r="552" spans="1:41" s="618" customFormat="1" ht="12" customHeight="1">
      <c r="A552" s="627">
        <v>1</v>
      </c>
      <c r="B552" s="628" t="s">
        <v>294</v>
      </c>
      <c r="C552" s="629"/>
      <c r="D552" s="630" t="s">
        <v>569</v>
      </c>
      <c r="E552" s="631">
        <f ca="1">IF(AND($A552=0,$A$1="DIF"),0, ROUND(ROUND(($R557*$S$2+($T557*$T$2))/A552,2)*$C$2,2))</f>
        <v>11.48</v>
      </c>
      <c r="F552" s="632">
        <f ca="1">ROUND($A552*$E552,2)</f>
        <v>11.48</v>
      </c>
      <c r="G552" s="88" t="s">
        <v>135</v>
      </c>
      <c r="H552" s="2"/>
      <c r="I552" s="633"/>
      <c r="J552" s="2"/>
      <c r="K552" s="2" t="s">
        <v>3</v>
      </c>
      <c r="L552" s="634" t="s">
        <v>136</v>
      </c>
      <c r="M552" s="634"/>
      <c r="N552" s="634"/>
      <c r="O552" s="634"/>
      <c r="P552" s="634"/>
      <c r="Q552" s="616"/>
      <c r="T552" s="635" t="str">
        <f ca="1">IF(AND($R557=0,$T557=0),"0.00","mu :" &amp; ROUND($F552/$C$2/($R557+$T557*$D$9),2))</f>
        <v>mu :1</v>
      </c>
      <c r="W552" s="636"/>
      <c r="AG552" s="637">
        <f ca="1">IF($E552=0,0,ROUND($R557*$S$2*$C$2/$A552,2))</f>
        <v>6.29</v>
      </c>
      <c r="AH552" s="637">
        <f ca="1">$AG552*$A552</f>
        <v>6.29</v>
      </c>
      <c r="AI552" s="638">
        <f ca="1">$E552-$AG552</f>
        <v>5.19</v>
      </c>
      <c r="AJ552" s="638">
        <f ca="1">$A552*$AI552</f>
        <v>5.19</v>
      </c>
      <c r="AK552" s="639">
        <f ca="1">ROUND(($AG552+$AI552)*$A552,2)</f>
        <v>11.48</v>
      </c>
      <c r="AM552" s="640">
        <f ca="1">ROUND(R557,2)</f>
        <v>6.29</v>
      </c>
      <c r="AN552" s="641">
        <f ca="1">ROUND(T557,2)</f>
        <v>0.18</v>
      </c>
      <c r="AO552" s="642">
        <f ca="1">ROUND(AM552+AN552,2)*A552</f>
        <v>6.47</v>
      </c>
    </row>
    <row r="553" spans="1:41" s="618" customFormat="1" ht="13.2">
      <c r="A553" s="629"/>
      <c r="B553"/>
      <c r="C553" s="629"/>
      <c r="D553" s="630" t="s">
        <v>370</v>
      </c>
      <c r="F553" s="2"/>
      <c r="G553" s="3"/>
      <c r="H553" s="2"/>
      <c r="I553" s="633"/>
      <c r="J553" s="2"/>
      <c r="K553" s="2" t="s">
        <v>502</v>
      </c>
      <c r="L553" s="2"/>
      <c r="M553" s="2"/>
      <c r="N553" s="2"/>
      <c r="O553" s="2"/>
      <c r="P553" s="2"/>
      <c r="Q553" s="616"/>
      <c r="R553" s="643"/>
      <c r="S553" s="644"/>
      <c r="T553" s="2"/>
    </row>
    <row r="554" spans="1:41" s="753" customFormat="1" ht="13.2">
      <c r="A554"/>
      <c r="B554" s="824"/>
      <c r="C554" s="824" t="s">
        <v>677</v>
      </c>
      <c r="D554" s="824" t="str">
        <f ca="1">CELL("Address",Elec_Rates!D$24)</f>
        <v>[EL25_0700_Mock_Up_Room_Elec_Estim.xlsx]Elec_Rates!$D$24</v>
      </c>
      <c r="E554" s="825"/>
      <c r="F554" s="825"/>
      <c r="G554" s="826" t="s">
        <v>678</v>
      </c>
      <c r="H554" s="826"/>
      <c r="I554" s="826"/>
      <c r="J554" s="826"/>
      <c r="K554" s="827"/>
      <c r="L554" s="825"/>
      <c r="M554" s="825"/>
      <c r="N554" s="825"/>
      <c r="O554" s="828"/>
      <c r="P554" s="825"/>
      <c r="Q554" s="829"/>
      <c r="R554" s="830"/>
      <c r="S554" s="829"/>
      <c r="T554" s="831"/>
      <c r="U554" s="832"/>
    </row>
    <row r="555" spans="1:41" s="753" customFormat="1" ht="11.4">
      <c r="A555" s="833">
        <v>1</v>
      </c>
      <c r="B555" s="834">
        <v>1</v>
      </c>
      <c r="C555" s="834">
        <f>$A555*$B555</f>
        <v>1</v>
      </c>
      <c r="D555" s="835" t="str">
        <f>Elec_Rates!$D$24</f>
        <v>002# REMS LSZH Cable</v>
      </c>
      <c r="E555" s="835"/>
      <c r="F555" s="835"/>
      <c r="G555" s="836" t="s">
        <v>679</v>
      </c>
      <c r="H555" s="836"/>
      <c r="I555" s="836"/>
      <c r="J555" s="836"/>
      <c r="K555" s="837"/>
      <c r="L555" s="832"/>
      <c r="M555" s="832"/>
      <c r="N555" s="832"/>
      <c r="O555" s="838"/>
      <c r="P555" s="835"/>
      <c r="Q555" s="839">
        <f ca="1">$B555*Elec_Rates!$R$24</f>
        <v>6.29</v>
      </c>
      <c r="R555" s="830">
        <f ca="1">$A555*Q555</f>
        <v>6.29</v>
      </c>
      <c r="S555" s="839">
        <f ca="1">$B555*Elec_Rates!$T$24</f>
        <v>0.18</v>
      </c>
      <c r="T555" s="831">
        <f ca="1">$A555*S555</f>
        <v>0.18</v>
      </c>
      <c r="U555" s="840"/>
    </row>
    <row r="556" spans="1:41" s="618" customFormat="1" ht="12">
      <c r="A556" s="645"/>
      <c r="B556" s="645"/>
      <c r="C556" s="645"/>
      <c r="D556" s="645"/>
      <c r="E556" s="645"/>
      <c r="F556" s="2"/>
      <c r="G556" s="645"/>
      <c r="H556" s="645"/>
      <c r="I556" s="646"/>
      <c r="J556" s="645"/>
      <c r="K556" s="645"/>
      <c r="L556" s="645"/>
      <c r="M556" s="645"/>
      <c r="N556" s="645"/>
      <c r="O556" s="645"/>
      <c r="P556" s="645"/>
      <c r="Q556" s="646"/>
      <c r="R556" s="647">
        <f t="shared" ref="R556" si="134">$A556*Q556</f>
        <v>0</v>
      </c>
      <c r="S556" s="646"/>
      <c r="T556" s="648">
        <f t="shared" ref="T556" si="135">$A556*S556*$T$1</f>
        <v>0</v>
      </c>
    </row>
    <row r="557" spans="1:41" s="618" customFormat="1" ht="12.6" thickBot="1">
      <c r="A557" s="649" t="s">
        <v>137</v>
      </c>
      <c r="B557" s="650">
        <f>(R556+T556)</f>
        <v>0</v>
      </c>
      <c r="C557" s="651"/>
      <c r="D557" s="651"/>
      <c r="E557" s="651"/>
      <c r="F557" s="652"/>
      <c r="G557" s="651" t="s">
        <v>503</v>
      </c>
      <c r="H557" s="651"/>
      <c r="I557" s="653"/>
      <c r="J557" s="651"/>
      <c r="K557" s="651" t="s">
        <v>3</v>
      </c>
      <c r="L557" s="654" t="s">
        <v>136</v>
      </c>
      <c r="M557" s="654"/>
      <c r="N557" s="654"/>
      <c r="O557" s="654"/>
      <c r="P557" s="654"/>
      <c r="Q557" s="655"/>
      <c r="R557" s="656">
        <f ca="1">SUM(R553:R556)</f>
        <v>6.29</v>
      </c>
      <c r="S557" s="651"/>
      <c r="T557" s="656">
        <f ca="1">SUM(T553:T556)</f>
        <v>0.18</v>
      </c>
      <c r="U557" s="621"/>
      <c r="V557" s="621"/>
      <c r="W557" s="621"/>
      <c r="X557" s="621"/>
      <c r="Y557" s="621"/>
      <c r="Z557" s="621"/>
      <c r="AA557" s="621"/>
      <c r="AB557" s="621"/>
      <c r="AC557" s="621"/>
      <c r="AD557" s="621"/>
      <c r="AE557" s="621"/>
      <c r="AF557" s="621"/>
      <c r="AG557" s="621"/>
      <c r="AH557" s="621"/>
      <c r="AI557" s="621"/>
      <c r="AJ557" s="621"/>
      <c r="AK557" s="621"/>
      <c r="AL557" s="621"/>
      <c r="AM557" s="621"/>
      <c r="AN557" s="621"/>
      <c r="AO557" s="621"/>
    </row>
    <row r="558" spans="1:41" s="618" customFormat="1" ht="12" thickTop="1">
      <c r="A558" s="616"/>
      <c r="B558" s="622"/>
      <c r="C558" s="616"/>
      <c r="E558" s="37" t="s">
        <v>491</v>
      </c>
      <c r="F558" s="37" t="s">
        <v>492</v>
      </c>
      <c r="G558" s="616"/>
      <c r="H558" s="616"/>
      <c r="I558" s="616"/>
      <c r="J558" s="616"/>
      <c r="K558" s="616" t="s">
        <v>493</v>
      </c>
      <c r="L558" s="616"/>
      <c r="M558" s="616"/>
      <c r="N558" s="616"/>
      <c r="O558" s="617"/>
      <c r="P558" s="616"/>
      <c r="Q558" s="616"/>
      <c r="R558" s="616"/>
      <c r="S558" s="616"/>
      <c r="T558" s="622"/>
      <c r="AG558" s="623" t="s">
        <v>494</v>
      </c>
      <c r="AH558" s="623" t="s">
        <v>495</v>
      </c>
      <c r="AI558" s="623" t="s">
        <v>496</v>
      </c>
      <c r="AJ558" s="623" t="s">
        <v>497</v>
      </c>
      <c r="AK558" s="623" t="s">
        <v>498</v>
      </c>
      <c r="AM558" s="624" t="s">
        <v>499</v>
      </c>
      <c r="AN558" s="625" t="s">
        <v>500</v>
      </c>
      <c r="AO558" s="626" t="s">
        <v>501</v>
      </c>
    </row>
    <row r="559" spans="1:41" s="618" customFormat="1" ht="12" customHeight="1">
      <c r="A559" s="627">
        <v>1</v>
      </c>
      <c r="B559" s="628" t="s">
        <v>294</v>
      </c>
      <c r="C559" s="629"/>
      <c r="D559" s="630" t="s">
        <v>599</v>
      </c>
      <c r="E559" s="631">
        <f ca="1">IF(AND($A559=0,$A$1="DIF"),0, ROUND(ROUND(($R564*$S$2+($T564*$T$2))/A559,2)*$C$2,2))</f>
        <v>11.48</v>
      </c>
      <c r="F559" s="632">
        <f ca="1">ROUND($A559*$E559,2)</f>
        <v>11.48</v>
      </c>
      <c r="G559" s="88" t="s">
        <v>135</v>
      </c>
      <c r="H559" s="2"/>
      <c r="I559" s="633"/>
      <c r="J559" s="2"/>
      <c r="K559" s="2" t="s">
        <v>3</v>
      </c>
      <c r="L559" s="634" t="s">
        <v>136</v>
      </c>
      <c r="M559" s="634"/>
      <c r="N559" s="634"/>
      <c r="O559" s="634"/>
      <c r="P559" s="634"/>
      <c r="Q559" s="616"/>
      <c r="T559" s="635" t="str">
        <f ca="1">IF(AND($R564=0,$T564=0),"0.00","mu :" &amp; ROUND($F559/$C$2/($R564+$T564*$D$9),2))</f>
        <v>mu :1</v>
      </c>
      <c r="W559" s="636"/>
      <c r="AG559" s="637">
        <f ca="1">IF($E559=0,0,ROUND($R564*$S$2*$C$2/$A559,2))</f>
        <v>6.29</v>
      </c>
      <c r="AH559" s="637">
        <f ca="1">$AG559*$A559</f>
        <v>6.29</v>
      </c>
      <c r="AI559" s="638">
        <f ca="1">$E559-$AG559</f>
        <v>5.19</v>
      </c>
      <c r="AJ559" s="638">
        <f ca="1">$A559*$AI559</f>
        <v>5.19</v>
      </c>
      <c r="AK559" s="639">
        <f ca="1">ROUND(($AG559+$AI559)*$A559,2)</f>
        <v>11.48</v>
      </c>
      <c r="AM559" s="640">
        <f ca="1">ROUND(R564,2)</f>
        <v>6.29</v>
      </c>
      <c r="AN559" s="641">
        <f ca="1">ROUND(T564,2)</f>
        <v>0.18</v>
      </c>
      <c r="AO559" s="642">
        <f ca="1">ROUND(AM559+AN559,2)*A559</f>
        <v>6.47</v>
      </c>
    </row>
    <row r="560" spans="1:41" s="618" customFormat="1" ht="13.2">
      <c r="A560" s="629"/>
      <c r="B560"/>
      <c r="C560" s="629"/>
      <c r="D560" s="630" t="s">
        <v>371</v>
      </c>
      <c r="F560" s="2"/>
      <c r="G560" s="3"/>
      <c r="H560" s="2"/>
      <c r="I560" s="633"/>
      <c r="J560" s="2"/>
      <c r="K560" s="2" t="s">
        <v>502</v>
      </c>
      <c r="L560" s="2"/>
      <c r="M560" s="2"/>
      <c r="N560" s="2"/>
      <c r="O560" s="2"/>
      <c r="P560" s="2"/>
      <c r="Q560" s="616"/>
      <c r="R560" s="643"/>
      <c r="S560" s="644"/>
      <c r="T560" s="2"/>
    </row>
    <row r="561" spans="1:41" s="753" customFormat="1" ht="13.2">
      <c r="A561"/>
      <c r="B561" s="824"/>
      <c r="C561" s="824" t="s">
        <v>677</v>
      </c>
      <c r="D561" s="824" t="str">
        <f ca="1">CELL("Address",Elec_Rates!D$24)</f>
        <v>[EL25_0700_Mock_Up_Room_Elec_Estim.xlsx]Elec_Rates!$D$24</v>
      </c>
      <c r="E561" s="825"/>
      <c r="F561" s="825"/>
      <c r="G561" s="826" t="s">
        <v>678</v>
      </c>
      <c r="H561" s="826"/>
      <c r="I561" s="826"/>
      <c r="J561" s="826"/>
      <c r="K561" s="827"/>
      <c r="L561" s="825"/>
      <c r="M561" s="825"/>
      <c r="N561" s="825"/>
      <c r="O561" s="828"/>
      <c r="P561" s="825"/>
      <c r="Q561" s="829"/>
      <c r="R561" s="830"/>
      <c r="S561" s="829"/>
      <c r="T561" s="831"/>
      <c r="U561" s="832"/>
    </row>
    <row r="562" spans="1:41" s="753" customFormat="1" ht="11.4">
      <c r="A562" s="833">
        <v>1</v>
      </c>
      <c r="B562" s="834">
        <v>1</v>
      </c>
      <c r="C562" s="834">
        <f>$A562*$B562</f>
        <v>1</v>
      </c>
      <c r="D562" s="835" t="str">
        <f>Elec_Rates!$D$24</f>
        <v>002# REMS LSZH Cable</v>
      </c>
      <c r="E562" s="835"/>
      <c r="F562" s="835"/>
      <c r="G562" s="836" t="s">
        <v>679</v>
      </c>
      <c r="H562" s="836"/>
      <c r="I562" s="836"/>
      <c r="J562" s="836"/>
      <c r="K562" s="837"/>
      <c r="L562" s="832"/>
      <c r="M562" s="832"/>
      <c r="N562" s="832"/>
      <c r="O562" s="838"/>
      <c r="P562" s="835"/>
      <c r="Q562" s="839">
        <f ca="1">$B562*Elec_Rates!$R$24</f>
        <v>6.29</v>
      </c>
      <c r="R562" s="830">
        <f ca="1">$A562*Q562</f>
        <v>6.29</v>
      </c>
      <c r="S562" s="839">
        <f ca="1">$B562*Elec_Rates!$T$24</f>
        <v>0.18</v>
      </c>
      <c r="T562" s="831">
        <f ca="1">$A562*S562</f>
        <v>0.18</v>
      </c>
      <c r="U562" s="840"/>
    </row>
    <row r="563" spans="1:41" s="618" customFormat="1" ht="12">
      <c r="A563" s="645"/>
      <c r="B563" s="645"/>
      <c r="C563" s="645"/>
      <c r="D563" s="645"/>
      <c r="E563" s="645"/>
      <c r="F563" s="2"/>
      <c r="G563" s="645"/>
      <c r="H563" s="645"/>
      <c r="I563" s="646"/>
      <c r="J563" s="645"/>
      <c r="K563" s="645"/>
      <c r="L563" s="645"/>
      <c r="M563" s="645"/>
      <c r="N563" s="645"/>
      <c r="O563" s="645"/>
      <c r="P563" s="645"/>
      <c r="Q563" s="646"/>
      <c r="R563" s="647">
        <f t="shared" ref="R563" si="136">$A563*Q563</f>
        <v>0</v>
      </c>
      <c r="S563" s="646"/>
      <c r="T563" s="648">
        <f t="shared" ref="T563" si="137">$A563*S563*$T$1</f>
        <v>0</v>
      </c>
    </row>
    <row r="564" spans="1:41" s="618" customFormat="1" ht="12.6" thickBot="1">
      <c r="A564" s="649" t="s">
        <v>137</v>
      </c>
      <c r="B564" s="650">
        <f>(R563+T563)</f>
        <v>0</v>
      </c>
      <c r="C564" s="651"/>
      <c r="D564" s="651"/>
      <c r="E564" s="651"/>
      <c r="F564" s="652"/>
      <c r="G564" s="651" t="s">
        <v>503</v>
      </c>
      <c r="H564" s="651"/>
      <c r="I564" s="653"/>
      <c r="J564" s="651"/>
      <c r="K564" s="651" t="s">
        <v>3</v>
      </c>
      <c r="L564" s="654" t="s">
        <v>136</v>
      </c>
      <c r="M564" s="654"/>
      <c r="N564" s="654"/>
      <c r="O564" s="654"/>
      <c r="P564" s="654"/>
      <c r="Q564" s="655"/>
      <c r="R564" s="656">
        <f ca="1">SUM(R560:R563)</f>
        <v>6.29</v>
      </c>
      <c r="S564" s="651"/>
      <c r="T564" s="656">
        <f ca="1">SUM(T560:T563)</f>
        <v>0.18</v>
      </c>
      <c r="U564" s="621"/>
      <c r="V564" s="621"/>
      <c r="W564" s="621"/>
      <c r="X564" s="621"/>
      <c r="Y564" s="621"/>
      <c r="Z564" s="621"/>
      <c r="AA564" s="621"/>
      <c r="AB564" s="621"/>
      <c r="AC564" s="621"/>
      <c r="AD564" s="621"/>
      <c r="AE564" s="621"/>
      <c r="AF564" s="621"/>
      <c r="AG564" s="621"/>
      <c r="AH564" s="621"/>
      <c r="AI564" s="621"/>
      <c r="AJ564" s="621"/>
      <c r="AK564" s="621"/>
      <c r="AL564" s="621"/>
      <c r="AM564" s="621"/>
      <c r="AN564" s="621"/>
      <c r="AO564" s="621"/>
    </row>
    <row r="565" spans="1:41" s="618" customFormat="1" ht="12" thickTop="1">
      <c r="A565" s="616"/>
      <c r="B565" s="622"/>
      <c r="C565" s="616"/>
      <c r="E565" s="37" t="s">
        <v>491</v>
      </c>
      <c r="F565" s="37" t="s">
        <v>492</v>
      </c>
      <c r="G565" s="616"/>
      <c r="H565" s="616"/>
      <c r="I565" s="616"/>
      <c r="J565" s="616"/>
      <c r="K565" s="616" t="s">
        <v>493</v>
      </c>
      <c r="L565" s="616"/>
      <c r="M565" s="616"/>
      <c r="N565" s="616"/>
      <c r="O565" s="617"/>
      <c r="P565" s="616"/>
      <c r="Q565" s="616"/>
      <c r="R565" s="616"/>
      <c r="S565" s="616"/>
      <c r="T565" s="622"/>
      <c r="AG565" s="623" t="s">
        <v>494</v>
      </c>
      <c r="AH565" s="623" t="s">
        <v>495</v>
      </c>
      <c r="AI565" s="623" t="s">
        <v>496</v>
      </c>
      <c r="AJ565" s="623" t="s">
        <v>497</v>
      </c>
      <c r="AK565" s="623" t="s">
        <v>498</v>
      </c>
      <c r="AM565" s="624" t="s">
        <v>499</v>
      </c>
      <c r="AN565" s="625" t="s">
        <v>500</v>
      </c>
      <c r="AO565" s="626" t="s">
        <v>501</v>
      </c>
    </row>
    <row r="566" spans="1:41" s="618" customFormat="1" ht="12" customHeight="1">
      <c r="A566" s="627">
        <v>1</v>
      </c>
      <c r="B566" s="628" t="s">
        <v>294</v>
      </c>
      <c r="C566" s="629"/>
      <c r="D566" s="630" t="s">
        <v>570</v>
      </c>
      <c r="E566" s="631">
        <f ca="1">IF(AND($A566=0,$A$1="DIF"),0, ROUND(ROUND(($R571*$S$2+($T571*$T$2))/A566,2)*$C$2,2))</f>
        <v>11.48</v>
      </c>
      <c r="F566" s="632">
        <f ca="1">ROUND($A566*$E566,2)</f>
        <v>11.48</v>
      </c>
      <c r="G566" s="88" t="s">
        <v>135</v>
      </c>
      <c r="H566" s="2"/>
      <c r="I566" s="633"/>
      <c r="J566" s="2"/>
      <c r="K566" s="2" t="s">
        <v>3</v>
      </c>
      <c r="L566" s="634" t="s">
        <v>136</v>
      </c>
      <c r="M566" s="634"/>
      <c r="N566" s="634"/>
      <c r="O566" s="634"/>
      <c r="P566" s="634"/>
      <c r="Q566" s="616"/>
      <c r="T566" s="635" t="str">
        <f ca="1">IF(AND($R571=0,$T571=0),"0.00","mu :" &amp; ROUND($F566/$C$2/($R571+$T571*$D$9),2))</f>
        <v>mu :1</v>
      </c>
      <c r="W566" s="636"/>
      <c r="AG566" s="637">
        <f ca="1">IF($E566=0,0,ROUND($R571*$S$2*$C$2/$A566,2))</f>
        <v>6.29</v>
      </c>
      <c r="AH566" s="637">
        <f ca="1">$AG566*$A566</f>
        <v>6.29</v>
      </c>
      <c r="AI566" s="638">
        <f ca="1">$E566-$AG566</f>
        <v>5.19</v>
      </c>
      <c r="AJ566" s="638">
        <f ca="1">$A566*$AI566</f>
        <v>5.19</v>
      </c>
      <c r="AK566" s="639">
        <f ca="1">ROUND(($AG566+$AI566)*$A566,2)</f>
        <v>11.48</v>
      </c>
      <c r="AM566" s="640">
        <f ca="1">ROUND(R571,2)</f>
        <v>6.29</v>
      </c>
      <c r="AN566" s="641">
        <f ca="1">ROUND(T571,2)</f>
        <v>0.18</v>
      </c>
      <c r="AO566" s="642">
        <f ca="1">ROUND(AM566+AN566,2)*A566</f>
        <v>6.47</v>
      </c>
    </row>
    <row r="567" spans="1:41" s="618" customFormat="1" ht="13.2">
      <c r="A567" s="629"/>
      <c r="B567"/>
      <c r="C567" s="629"/>
      <c r="D567" s="630" t="s">
        <v>363</v>
      </c>
      <c r="F567" s="2"/>
      <c r="G567" s="3"/>
      <c r="H567" s="2"/>
      <c r="I567" s="633"/>
      <c r="J567" s="2"/>
      <c r="K567" s="2" t="s">
        <v>502</v>
      </c>
      <c r="L567" s="2"/>
      <c r="M567" s="2"/>
      <c r="N567" s="2"/>
      <c r="O567" s="2"/>
      <c r="P567" s="2"/>
      <c r="Q567" s="616"/>
      <c r="R567" s="643"/>
      <c r="S567" s="644"/>
      <c r="T567" s="2"/>
    </row>
    <row r="568" spans="1:41" s="753" customFormat="1" ht="13.2">
      <c r="A568"/>
      <c r="B568" s="824"/>
      <c r="C568" s="824" t="s">
        <v>677</v>
      </c>
      <c r="D568" s="824" t="str">
        <f ca="1">CELL("Address",Elec_Rates!D$24)</f>
        <v>[EL25_0700_Mock_Up_Room_Elec_Estim.xlsx]Elec_Rates!$D$24</v>
      </c>
      <c r="E568" s="825"/>
      <c r="F568" s="825"/>
      <c r="G568" s="826" t="s">
        <v>678</v>
      </c>
      <c r="H568" s="826"/>
      <c r="I568" s="826"/>
      <c r="J568" s="826"/>
      <c r="K568" s="827"/>
      <c r="L568" s="825"/>
      <c r="M568" s="825"/>
      <c r="N568" s="825"/>
      <c r="O568" s="828"/>
      <c r="P568" s="825"/>
      <c r="Q568" s="829"/>
      <c r="R568" s="830"/>
      <c r="S568" s="829"/>
      <c r="T568" s="831"/>
      <c r="U568" s="832"/>
    </row>
    <row r="569" spans="1:41" s="753" customFormat="1" ht="11.4">
      <c r="A569" s="833">
        <v>1</v>
      </c>
      <c r="B569" s="834">
        <v>1</v>
      </c>
      <c r="C569" s="834">
        <f>$A569*$B569</f>
        <v>1</v>
      </c>
      <c r="D569" s="835" t="str">
        <f>Elec_Rates!$D$24</f>
        <v>002# REMS LSZH Cable</v>
      </c>
      <c r="E569" s="835"/>
      <c r="F569" s="835"/>
      <c r="G569" s="836" t="s">
        <v>679</v>
      </c>
      <c r="H569" s="836"/>
      <c r="I569" s="836"/>
      <c r="J569" s="836"/>
      <c r="K569" s="837"/>
      <c r="L569" s="832"/>
      <c r="M569" s="832"/>
      <c r="N569" s="832"/>
      <c r="O569" s="838"/>
      <c r="P569" s="835"/>
      <c r="Q569" s="839">
        <f ca="1">$B569*Elec_Rates!$R$24</f>
        <v>6.29</v>
      </c>
      <c r="R569" s="830">
        <f ca="1">$A569*Q569</f>
        <v>6.29</v>
      </c>
      <c r="S569" s="839">
        <f ca="1">$B569*Elec_Rates!$T$24</f>
        <v>0.18</v>
      </c>
      <c r="T569" s="831">
        <f ca="1">$A569*S569</f>
        <v>0.18</v>
      </c>
      <c r="U569" s="840"/>
    </row>
    <row r="570" spans="1:41" s="618" customFormat="1" ht="12">
      <c r="A570" s="645"/>
      <c r="B570" s="645"/>
      <c r="C570" s="645"/>
      <c r="D570" s="645"/>
      <c r="E570" s="645"/>
      <c r="F570" s="2"/>
      <c r="G570" s="645"/>
      <c r="H570" s="645"/>
      <c r="I570" s="646"/>
      <c r="J570" s="645"/>
      <c r="K570" s="645"/>
      <c r="L570" s="645"/>
      <c r="M570" s="645"/>
      <c r="N570" s="645"/>
      <c r="O570" s="645"/>
      <c r="P570" s="645"/>
      <c r="Q570" s="646"/>
      <c r="R570" s="647">
        <f t="shared" ref="R570" si="138">$A570*Q570</f>
        <v>0</v>
      </c>
      <c r="S570" s="646"/>
      <c r="T570" s="648">
        <f t="shared" ref="T570" si="139">$A570*S570*$T$1</f>
        <v>0</v>
      </c>
    </row>
    <row r="571" spans="1:41" s="618" customFormat="1" ht="12.6" thickBot="1">
      <c r="A571" s="649" t="s">
        <v>137</v>
      </c>
      <c r="B571" s="650">
        <f>(R570+T570)</f>
        <v>0</v>
      </c>
      <c r="C571" s="651"/>
      <c r="D571" s="651"/>
      <c r="E571" s="651"/>
      <c r="F571" s="652"/>
      <c r="G571" s="651" t="s">
        <v>503</v>
      </c>
      <c r="H571" s="651"/>
      <c r="I571" s="653"/>
      <c r="J571" s="651"/>
      <c r="K571" s="651" t="s">
        <v>3</v>
      </c>
      <c r="L571" s="654" t="s">
        <v>136</v>
      </c>
      <c r="M571" s="654"/>
      <c r="N571" s="654"/>
      <c r="O571" s="654"/>
      <c r="P571" s="654"/>
      <c r="Q571" s="655"/>
      <c r="R571" s="656">
        <f ca="1">SUM(R567:R570)</f>
        <v>6.29</v>
      </c>
      <c r="S571" s="651"/>
      <c r="T571" s="656">
        <f ca="1">SUM(T567:T570)</f>
        <v>0.18</v>
      </c>
      <c r="U571" s="621"/>
      <c r="V571" s="621"/>
      <c r="W571" s="621"/>
      <c r="X571" s="621"/>
      <c r="Y571" s="621"/>
      <c r="Z571" s="621"/>
      <c r="AA571" s="621"/>
      <c r="AB571" s="621"/>
      <c r="AC571" s="621"/>
      <c r="AD571" s="621"/>
      <c r="AE571" s="621"/>
      <c r="AF571" s="621"/>
      <c r="AG571" s="621"/>
      <c r="AH571" s="621"/>
      <c r="AI571" s="621"/>
      <c r="AJ571" s="621"/>
      <c r="AK571" s="621"/>
      <c r="AL571" s="621"/>
      <c r="AM571" s="621"/>
      <c r="AN571" s="621"/>
      <c r="AO571" s="621"/>
    </row>
    <row r="572" spans="1:41" s="618" customFormat="1" ht="12" thickTop="1">
      <c r="A572" s="616"/>
      <c r="B572" s="622"/>
      <c r="C572" s="616"/>
      <c r="E572" s="37" t="s">
        <v>491</v>
      </c>
      <c r="F572" s="37" t="s">
        <v>492</v>
      </c>
      <c r="G572" s="616"/>
      <c r="H572" s="616"/>
      <c r="I572" s="616"/>
      <c r="J572" s="616"/>
      <c r="K572" s="616" t="s">
        <v>493</v>
      </c>
      <c r="L572" s="616"/>
      <c r="M572" s="616"/>
      <c r="N572" s="616"/>
      <c r="O572" s="617"/>
      <c r="P572" s="616"/>
      <c r="Q572" s="616"/>
      <c r="R572" s="616"/>
      <c r="S572" s="616"/>
      <c r="T572" s="622"/>
      <c r="AG572" s="623" t="s">
        <v>494</v>
      </c>
      <c r="AH572" s="623" t="s">
        <v>495</v>
      </c>
      <c r="AI572" s="623" t="s">
        <v>496</v>
      </c>
      <c r="AJ572" s="623" t="s">
        <v>497</v>
      </c>
      <c r="AK572" s="623" t="s">
        <v>498</v>
      </c>
      <c r="AM572" s="624" t="s">
        <v>499</v>
      </c>
      <c r="AN572" s="625" t="s">
        <v>500</v>
      </c>
      <c r="AO572" s="626" t="s">
        <v>501</v>
      </c>
    </row>
    <row r="573" spans="1:41" s="618" customFormat="1" ht="12" customHeight="1">
      <c r="A573" s="627">
        <v>5</v>
      </c>
      <c r="B573" s="628" t="s">
        <v>294</v>
      </c>
      <c r="C573" s="629"/>
      <c r="D573" s="630" t="s">
        <v>571</v>
      </c>
      <c r="E573" s="631">
        <f ca="1">IF(AND($A573=0,$A$1="DIF"),0, ROUND(ROUND(($R580*$S$2+($T580*$T$2))/A573,2)*$C$2,2))</f>
        <v>22.96</v>
      </c>
      <c r="F573" s="632">
        <f ca="1">ROUND($A573*$E573,2)</f>
        <v>114.8</v>
      </c>
      <c r="G573" s="88" t="s">
        <v>135</v>
      </c>
      <c r="H573" s="2"/>
      <c r="I573" s="633"/>
      <c r="J573" s="2"/>
      <c r="K573" s="2" t="s">
        <v>3</v>
      </c>
      <c r="L573" s="634" t="s">
        <v>136</v>
      </c>
      <c r="M573" s="634"/>
      <c r="N573" s="634"/>
      <c r="O573" s="634"/>
      <c r="P573" s="634"/>
      <c r="Q573" s="616"/>
      <c r="T573" s="635" t="str">
        <f ca="1">IF(AND($R580=0,$T580=0),"0.00","mu :" &amp; ROUND($F573/$C$2/($R580+$T580*$D$9),2))</f>
        <v>mu :1</v>
      </c>
      <c r="W573" s="636"/>
      <c r="AG573" s="637">
        <f ca="1">IF($E573=0,0,ROUND($R580*$S$2*$C$2/$A573,2))</f>
        <v>12.58</v>
      </c>
      <c r="AH573" s="637">
        <f ca="1">$AG573*$A573</f>
        <v>62.9</v>
      </c>
      <c r="AI573" s="638">
        <f ca="1">$E573-$AG573</f>
        <v>10.38</v>
      </c>
      <c r="AJ573" s="638">
        <f ca="1">$A573*$AI573</f>
        <v>51.900000000000006</v>
      </c>
      <c r="AK573" s="639">
        <f ca="1">ROUND(($AG573+$AI573)*$A573,2)</f>
        <v>114.8</v>
      </c>
      <c r="AM573" s="640">
        <f ca="1">ROUND(R580,2)</f>
        <v>62.9</v>
      </c>
      <c r="AN573" s="641">
        <f ca="1">ROUND(T580,2)</f>
        <v>1.8</v>
      </c>
      <c r="AO573" s="642">
        <f ca="1">ROUND(AM573+AN573,2)*A573</f>
        <v>323.5</v>
      </c>
    </row>
    <row r="574" spans="1:41" s="618" customFormat="1" ht="13.2">
      <c r="A574" s="629"/>
      <c r="B574"/>
      <c r="C574" s="629"/>
      <c r="D574" s="630" t="s">
        <v>364</v>
      </c>
      <c r="F574" s="2"/>
      <c r="G574" s="3"/>
      <c r="H574" s="2"/>
      <c r="I574" s="633"/>
      <c r="J574" s="2"/>
      <c r="K574" s="2" t="s">
        <v>502</v>
      </c>
      <c r="L574" s="2"/>
      <c r="M574" s="2"/>
      <c r="N574" s="2"/>
      <c r="O574" s="2"/>
      <c r="P574" s="2"/>
      <c r="Q574" s="616"/>
      <c r="R574" s="643"/>
      <c r="S574" s="644"/>
      <c r="T574" s="2"/>
    </row>
    <row r="575" spans="1:41" s="753" customFormat="1" ht="13.2">
      <c r="A575"/>
      <c r="B575" s="824"/>
      <c r="C575" s="824" t="s">
        <v>677</v>
      </c>
      <c r="D575" s="824" t="str">
        <f ca="1">CELL("Address",Elec_Rates!D$24)</f>
        <v>[EL25_0700_Mock_Up_Room_Elec_Estim.xlsx]Elec_Rates!$D$24</v>
      </c>
      <c r="E575" s="825"/>
      <c r="F575" s="825"/>
      <c r="G575" s="826" t="s">
        <v>678</v>
      </c>
      <c r="H575" s="826"/>
      <c r="I575" s="826"/>
      <c r="J575" s="826"/>
      <c r="K575" s="827"/>
      <c r="L575" s="825"/>
      <c r="M575" s="825"/>
      <c r="N575" s="825"/>
      <c r="O575" s="828"/>
      <c r="P575" s="825"/>
      <c r="Q575" s="829"/>
      <c r="R575" s="830"/>
      <c r="S575" s="829"/>
      <c r="T575" s="831"/>
      <c r="U575" s="832"/>
    </row>
    <row r="576" spans="1:41" s="753" customFormat="1" ht="11.4">
      <c r="A576" s="833">
        <v>5</v>
      </c>
      <c r="B576" s="834">
        <v>1</v>
      </c>
      <c r="C576" s="834">
        <f>$A576*$B576</f>
        <v>5</v>
      </c>
      <c r="D576" s="835" t="str">
        <f>Elec_Rates!$D$24</f>
        <v>002# REMS LSZH Cable</v>
      </c>
      <c r="E576" s="835"/>
      <c r="F576" s="835" t="s">
        <v>701</v>
      </c>
      <c r="G576" s="836" t="s">
        <v>679</v>
      </c>
      <c r="H576" s="836"/>
      <c r="I576" s="836"/>
      <c r="J576" s="836"/>
      <c r="K576" s="837"/>
      <c r="L576" s="832"/>
      <c r="M576" s="832"/>
      <c r="N576" s="832"/>
      <c r="O576" s="838"/>
      <c r="P576" s="835"/>
      <c r="Q576" s="839">
        <f ca="1">$B576*Elec_Rates!$R$24</f>
        <v>6.29</v>
      </c>
      <c r="R576" s="830">
        <f ca="1">$A576*Q576</f>
        <v>31.45</v>
      </c>
      <c r="S576" s="839">
        <f ca="1">$B576*Elec_Rates!$T$24</f>
        <v>0.18</v>
      </c>
      <c r="T576" s="831">
        <f ca="1">$A576*S576</f>
        <v>0.89999999999999991</v>
      </c>
      <c r="U576" s="840"/>
    </row>
    <row r="577" spans="1:41" s="753" customFormat="1" ht="13.2">
      <c r="A577"/>
      <c r="B577" s="824"/>
      <c r="C577" s="824" t="s">
        <v>677</v>
      </c>
      <c r="D577" s="824" t="str">
        <f ca="1">CELL("Address",Elec_Rates!D$24)</f>
        <v>[EL25_0700_Mock_Up_Room_Elec_Estim.xlsx]Elec_Rates!$D$24</v>
      </c>
      <c r="E577" s="825"/>
      <c r="F577" s="825"/>
      <c r="G577" s="826" t="s">
        <v>678</v>
      </c>
      <c r="H577" s="826"/>
      <c r="I577" s="826"/>
      <c r="J577" s="826"/>
      <c r="K577" s="827"/>
      <c r="L577" s="825"/>
      <c r="M577" s="825"/>
      <c r="N577" s="825"/>
      <c r="O577" s="828"/>
      <c r="P577" s="825"/>
      <c r="Q577" s="829"/>
      <c r="R577" s="830"/>
      <c r="S577" s="829"/>
      <c r="T577" s="831"/>
      <c r="U577" s="832"/>
    </row>
    <row r="578" spans="1:41" s="753" customFormat="1" ht="11.4">
      <c r="A578" s="833">
        <v>5</v>
      </c>
      <c r="B578" s="834">
        <v>1</v>
      </c>
      <c r="C578" s="834">
        <f>$A578*$B578</f>
        <v>5</v>
      </c>
      <c r="D578" s="835" t="str">
        <f>Elec_Rates!$D$24</f>
        <v>002# REMS LSZH Cable</v>
      </c>
      <c r="E578" s="835"/>
      <c r="F578" s="835" t="s">
        <v>702</v>
      </c>
      <c r="G578" s="836" t="s">
        <v>679</v>
      </c>
      <c r="H578" s="836"/>
      <c r="I578" s="836"/>
      <c r="J578" s="836"/>
      <c r="K578" s="837"/>
      <c r="L578" s="832"/>
      <c r="M578" s="832"/>
      <c r="N578" s="832"/>
      <c r="O578" s="838"/>
      <c r="P578" s="835"/>
      <c r="Q578" s="839">
        <f ca="1">$B578*Elec_Rates!$R$24</f>
        <v>6.29</v>
      </c>
      <c r="R578" s="830">
        <f ca="1">$A578*Q578</f>
        <v>31.45</v>
      </c>
      <c r="S578" s="839">
        <f ca="1">$B578*Elec_Rates!$T$24</f>
        <v>0.18</v>
      </c>
      <c r="T578" s="831">
        <f ca="1">$A578*S578</f>
        <v>0.89999999999999991</v>
      </c>
      <c r="U578" s="840"/>
    </row>
    <row r="579" spans="1:41" s="618" customFormat="1" ht="12">
      <c r="A579" s="645"/>
      <c r="B579" s="645"/>
      <c r="C579" s="645"/>
      <c r="D579" s="645"/>
      <c r="E579" s="645"/>
      <c r="F579" s="2"/>
      <c r="G579" s="645"/>
      <c r="H579" s="645"/>
      <c r="I579" s="646"/>
      <c r="J579" s="645"/>
      <c r="K579" s="645"/>
      <c r="L579" s="645"/>
      <c r="M579" s="645"/>
      <c r="N579" s="645"/>
      <c r="O579" s="645"/>
      <c r="P579" s="645"/>
      <c r="Q579" s="646"/>
      <c r="R579" s="647">
        <f t="shared" ref="R579" si="140">$A579*Q579</f>
        <v>0</v>
      </c>
      <c r="S579" s="646"/>
      <c r="T579" s="648">
        <f t="shared" ref="T579" si="141">$A579*S579*$T$1</f>
        <v>0</v>
      </c>
    </row>
    <row r="580" spans="1:41" s="618" customFormat="1" ht="12.6" thickBot="1">
      <c r="A580" s="649" t="s">
        <v>137</v>
      </c>
      <c r="B580" s="650">
        <f>(R579+T579)</f>
        <v>0</v>
      </c>
      <c r="C580" s="651"/>
      <c r="D580" s="651"/>
      <c r="E580" s="651"/>
      <c r="F580" s="652"/>
      <c r="G580" s="651" t="s">
        <v>503</v>
      </c>
      <c r="H580" s="651"/>
      <c r="I580" s="653"/>
      <c r="J580" s="651"/>
      <c r="K580" s="651" t="s">
        <v>3</v>
      </c>
      <c r="L580" s="654" t="s">
        <v>136</v>
      </c>
      <c r="M580" s="654"/>
      <c r="N580" s="654"/>
      <c r="O580" s="654"/>
      <c r="P580" s="654"/>
      <c r="Q580" s="655"/>
      <c r="R580" s="656">
        <f ca="1">SUM(R574:R579)</f>
        <v>62.9</v>
      </c>
      <c r="S580" s="651"/>
      <c r="T580" s="656">
        <f ca="1">SUM(T574:T579)</f>
        <v>1.7999999999999998</v>
      </c>
      <c r="U580" s="621"/>
      <c r="V580" s="621"/>
      <c r="W580" s="621"/>
      <c r="X580" s="621"/>
      <c r="Y580" s="621"/>
      <c r="Z580" s="621"/>
      <c r="AA580" s="621"/>
      <c r="AB580" s="621"/>
      <c r="AC580" s="621"/>
      <c r="AD580" s="621"/>
      <c r="AE580" s="621"/>
      <c r="AF580" s="621"/>
      <c r="AG580" s="621"/>
      <c r="AH580" s="621"/>
      <c r="AI580" s="621"/>
      <c r="AJ580" s="621"/>
      <c r="AK580" s="621"/>
      <c r="AL580" s="621"/>
      <c r="AM580" s="621"/>
      <c r="AN580" s="621"/>
      <c r="AO580" s="621"/>
    </row>
    <row r="581" spans="1:41" s="618" customFormat="1" ht="12" thickTop="1">
      <c r="A581" s="616"/>
      <c r="B581" s="622"/>
      <c r="C581" s="616"/>
      <c r="E581" s="37" t="s">
        <v>491</v>
      </c>
      <c r="F581" s="37" t="s">
        <v>492</v>
      </c>
      <c r="G581" s="616"/>
      <c r="H581" s="616"/>
      <c r="I581" s="616"/>
      <c r="J581" s="616"/>
      <c r="K581" s="616" t="s">
        <v>493</v>
      </c>
      <c r="L581" s="616"/>
      <c r="M581" s="616"/>
      <c r="N581" s="616"/>
      <c r="O581" s="617"/>
      <c r="P581" s="616"/>
      <c r="Q581" s="616"/>
      <c r="R581" s="616"/>
      <c r="S581" s="616"/>
      <c r="T581" s="622"/>
      <c r="AG581" s="623" t="s">
        <v>494</v>
      </c>
      <c r="AH581" s="623" t="s">
        <v>495</v>
      </c>
      <c r="AI581" s="623" t="s">
        <v>496</v>
      </c>
      <c r="AJ581" s="623" t="s">
        <v>497</v>
      </c>
      <c r="AK581" s="623" t="s">
        <v>498</v>
      </c>
      <c r="AM581" s="624" t="s">
        <v>499</v>
      </c>
      <c r="AN581" s="625" t="s">
        <v>500</v>
      </c>
      <c r="AO581" s="626" t="s">
        <v>501</v>
      </c>
    </row>
    <row r="582" spans="1:41" s="618" customFormat="1" ht="12" customHeight="1">
      <c r="A582" s="627">
        <v>2</v>
      </c>
      <c r="B582" s="628" t="s">
        <v>294</v>
      </c>
      <c r="C582" s="629"/>
      <c r="D582" s="630" t="s">
        <v>572</v>
      </c>
      <c r="E582" s="631">
        <f ca="1">IF(AND($A582=0,$A$1="DIF"),0, ROUND(ROUND(($R587*$S$2+($T587*$T$2))/A582,2)*$C$2,2))</f>
        <v>11.48</v>
      </c>
      <c r="F582" s="632">
        <f ca="1">ROUND($A582*$E582,2)</f>
        <v>22.96</v>
      </c>
      <c r="G582" s="88" t="s">
        <v>135</v>
      </c>
      <c r="H582" s="2"/>
      <c r="I582" s="633"/>
      <c r="J582" s="2"/>
      <c r="K582" s="2" t="s">
        <v>3</v>
      </c>
      <c r="L582" s="634" t="s">
        <v>136</v>
      </c>
      <c r="M582" s="634"/>
      <c r="N582" s="634"/>
      <c r="O582" s="634"/>
      <c r="P582" s="634"/>
      <c r="Q582" s="616"/>
      <c r="T582" s="635" t="str">
        <f ca="1">IF(AND($R587=0,$T587=0),"0.00","mu :" &amp; ROUND($F582/$C$2/($R587+$T587*$D$9),2))</f>
        <v>mu :1</v>
      </c>
      <c r="W582" s="636"/>
      <c r="AG582" s="637">
        <f ca="1">IF($E582=0,0,ROUND($R587*$S$2*$C$2/$A582,2))</f>
        <v>6.29</v>
      </c>
      <c r="AH582" s="637">
        <f ca="1">$AG582*$A582</f>
        <v>12.58</v>
      </c>
      <c r="AI582" s="638">
        <f ca="1">$E582-$AG582</f>
        <v>5.19</v>
      </c>
      <c r="AJ582" s="638">
        <f ca="1">$A582*$AI582</f>
        <v>10.38</v>
      </c>
      <c r="AK582" s="639">
        <f ca="1">ROUND(($AG582+$AI582)*$A582,2)</f>
        <v>22.96</v>
      </c>
      <c r="AM582" s="640">
        <f ca="1">ROUND(R587,2)</f>
        <v>12.58</v>
      </c>
      <c r="AN582" s="641">
        <f ca="1">ROUND(T587,2)</f>
        <v>0.36</v>
      </c>
      <c r="AO582" s="642">
        <f ca="1">ROUND(AM582+AN582,2)*A582</f>
        <v>25.88</v>
      </c>
    </row>
    <row r="583" spans="1:41" s="618" customFormat="1" ht="13.2">
      <c r="A583" s="629"/>
      <c r="B583"/>
      <c r="C583" s="629"/>
      <c r="D583" s="630" t="s">
        <v>573</v>
      </c>
      <c r="F583" s="2"/>
      <c r="G583" s="3"/>
      <c r="H583" s="2"/>
      <c r="I583" s="633"/>
      <c r="J583" s="2"/>
      <c r="K583" s="2" t="s">
        <v>502</v>
      </c>
      <c r="L583" s="2"/>
      <c r="M583" s="2"/>
      <c r="N583" s="2"/>
      <c r="O583" s="2"/>
      <c r="P583" s="2"/>
      <c r="Q583" s="616"/>
      <c r="R583" s="643"/>
      <c r="S583" s="644"/>
      <c r="T583" s="2"/>
    </row>
    <row r="584" spans="1:41" s="753" customFormat="1" ht="13.2">
      <c r="A584"/>
      <c r="B584" s="824"/>
      <c r="C584" s="824" t="s">
        <v>677</v>
      </c>
      <c r="D584" s="824" t="str">
        <f ca="1">CELL("Address",Elec_Rates!D$24)</f>
        <v>[EL25_0700_Mock_Up_Room_Elec_Estim.xlsx]Elec_Rates!$D$24</v>
      </c>
      <c r="E584" s="825"/>
      <c r="F584" s="825"/>
      <c r="G584" s="826" t="s">
        <v>678</v>
      </c>
      <c r="H584" s="826"/>
      <c r="I584" s="826"/>
      <c r="J584" s="826"/>
      <c r="K584" s="827"/>
      <c r="L584" s="825"/>
      <c r="M584" s="825"/>
      <c r="N584" s="825"/>
      <c r="O584" s="828"/>
      <c r="P584" s="825"/>
      <c r="Q584" s="829"/>
      <c r="R584" s="830"/>
      <c r="S584" s="829"/>
      <c r="T584" s="831"/>
      <c r="U584" s="832"/>
    </row>
    <row r="585" spans="1:41" s="753" customFormat="1" ht="11.4">
      <c r="A585" s="833">
        <v>2</v>
      </c>
      <c r="B585" s="834">
        <v>1</v>
      </c>
      <c r="C585" s="834">
        <f>$A585*$B585</f>
        <v>2</v>
      </c>
      <c r="D585" s="835" t="str">
        <f>Elec_Rates!$D$24</f>
        <v>002# REMS LSZH Cable</v>
      </c>
      <c r="E585" s="835"/>
      <c r="F585" s="835"/>
      <c r="G585" s="836" t="s">
        <v>679</v>
      </c>
      <c r="H585" s="836"/>
      <c r="I585" s="836"/>
      <c r="J585" s="836"/>
      <c r="K585" s="837"/>
      <c r="L585" s="832"/>
      <c r="M585" s="832"/>
      <c r="N585" s="832"/>
      <c r="O585" s="838"/>
      <c r="P585" s="835"/>
      <c r="Q585" s="839">
        <f ca="1">$B585*Elec_Rates!$R$24</f>
        <v>6.29</v>
      </c>
      <c r="R585" s="830">
        <f ca="1">$A585*Q585</f>
        <v>12.58</v>
      </c>
      <c r="S585" s="839">
        <f ca="1">$B585*Elec_Rates!$T$24</f>
        <v>0.18</v>
      </c>
      <c r="T585" s="831">
        <f ca="1">$A585*S585</f>
        <v>0.36</v>
      </c>
      <c r="U585" s="840"/>
    </row>
    <row r="586" spans="1:41" s="618" customFormat="1" ht="12">
      <c r="A586" s="645"/>
      <c r="B586" s="645"/>
      <c r="C586" s="645"/>
      <c r="D586" s="645"/>
      <c r="E586" s="645"/>
      <c r="F586" s="2"/>
      <c r="G586" s="645"/>
      <c r="H586" s="645"/>
      <c r="I586" s="646"/>
      <c r="J586" s="645"/>
      <c r="K586" s="645"/>
      <c r="L586" s="645"/>
      <c r="M586" s="645"/>
      <c r="N586" s="645"/>
      <c r="O586" s="645"/>
      <c r="P586" s="645"/>
      <c r="Q586" s="646"/>
      <c r="R586" s="647">
        <f t="shared" ref="R586" si="142">$A586*Q586</f>
        <v>0</v>
      </c>
      <c r="S586" s="646"/>
      <c r="T586" s="648">
        <f t="shared" ref="T586" si="143">$A586*S586*$T$1</f>
        <v>0</v>
      </c>
    </row>
    <row r="587" spans="1:41" s="618" customFormat="1" ht="12.6" thickBot="1">
      <c r="A587" s="649" t="s">
        <v>137</v>
      </c>
      <c r="B587" s="650">
        <f>(R586+T586)</f>
        <v>0</v>
      </c>
      <c r="C587" s="651"/>
      <c r="D587" s="651"/>
      <c r="E587" s="651"/>
      <c r="F587" s="652"/>
      <c r="G587" s="651" t="s">
        <v>503</v>
      </c>
      <c r="H587" s="651"/>
      <c r="I587" s="653"/>
      <c r="J587" s="651"/>
      <c r="K587" s="651" t="s">
        <v>3</v>
      </c>
      <c r="L587" s="654" t="s">
        <v>136</v>
      </c>
      <c r="M587" s="654"/>
      <c r="N587" s="654"/>
      <c r="O587" s="654"/>
      <c r="P587" s="654"/>
      <c r="Q587" s="655"/>
      <c r="R587" s="656">
        <f ca="1">SUM(R583:R586)</f>
        <v>12.58</v>
      </c>
      <c r="S587" s="651"/>
      <c r="T587" s="656">
        <f ca="1">SUM(T583:T586)</f>
        <v>0.36</v>
      </c>
      <c r="U587" s="621"/>
      <c r="V587" s="621"/>
      <c r="W587" s="621"/>
      <c r="X587" s="621"/>
      <c r="Y587" s="621"/>
      <c r="Z587" s="621"/>
      <c r="AA587" s="621"/>
      <c r="AB587" s="621"/>
      <c r="AC587" s="621"/>
      <c r="AD587" s="621"/>
      <c r="AE587" s="621"/>
      <c r="AF587" s="621"/>
      <c r="AG587" s="621"/>
      <c r="AH587" s="621"/>
      <c r="AI587" s="621"/>
      <c r="AJ587" s="621"/>
      <c r="AK587" s="621"/>
      <c r="AL587" s="621"/>
      <c r="AM587" s="621"/>
      <c r="AN587" s="621"/>
      <c r="AO587" s="621"/>
    </row>
    <row r="588" spans="1:41" s="618" customFormat="1" ht="12" thickTop="1">
      <c r="A588" s="616"/>
      <c r="B588" s="622"/>
      <c r="C588" s="616"/>
      <c r="E588" s="37" t="s">
        <v>491</v>
      </c>
      <c r="F588" s="37" t="s">
        <v>492</v>
      </c>
      <c r="G588" s="616"/>
      <c r="H588" s="616"/>
      <c r="I588" s="616"/>
      <c r="J588" s="616"/>
      <c r="K588" s="616" t="s">
        <v>493</v>
      </c>
      <c r="L588" s="616"/>
      <c r="M588" s="616"/>
      <c r="N588" s="616"/>
      <c r="O588" s="617"/>
      <c r="P588" s="616"/>
      <c r="Q588" s="616"/>
      <c r="R588" s="616"/>
      <c r="S588" s="616"/>
      <c r="T588" s="622"/>
      <c r="AG588" s="623" t="s">
        <v>494</v>
      </c>
      <c r="AH588" s="623" t="s">
        <v>495</v>
      </c>
      <c r="AI588" s="623" t="s">
        <v>496</v>
      </c>
      <c r="AJ588" s="623" t="s">
        <v>497</v>
      </c>
      <c r="AK588" s="623" t="s">
        <v>498</v>
      </c>
      <c r="AM588" s="624" t="s">
        <v>499</v>
      </c>
      <c r="AN588" s="625" t="s">
        <v>500</v>
      </c>
      <c r="AO588" s="626" t="s">
        <v>501</v>
      </c>
    </row>
    <row r="589" spans="1:41" s="618" customFormat="1" ht="12" customHeight="1">
      <c r="A589" s="627">
        <v>1</v>
      </c>
      <c r="B589" s="628" t="s">
        <v>294</v>
      </c>
      <c r="C589" s="629"/>
      <c r="D589" s="630" t="s">
        <v>574</v>
      </c>
      <c r="E589" s="631">
        <f ca="1">IF(AND($A589=0,$A$1="DIF"),0, ROUND(ROUND(($R595*$S$2+($T595*$T$2))/A589,2)*$C$2,2))</f>
        <v>20.39</v>
      </c>
      <c r="F589" s="632">
        <f ca="1">ROUND($A589*$E589,2)</f>
        <v>20.39</v>
      </c>
      <c r="G589" s="88" t="s">
        <v>135</v>
      </c>
      <c r="H589" s="2"/>
      <c r="I589" s="633"/>
      <c r="J589" s="2"/>
      <c r="K589" s="2" t="s">
        <v>3</v>
      </c>
      <c r="L589" s="634" t="s">
        <v>136</v>
      </c>
      <c r="M589" s="634"/>
      <c r="N589" s="634"/>
      <c r="O589" s="634"/>
      <c r="P589" s="634"/>
      <c r="Q589" s="616"/>
      <c r="T589" s="635" t="str">
        <f ca="1">IF(AND($R595=0,$T595=0),"0.00","mu :" &amp; ROUND($F589/$C$2/($R595+$T595*$D$9),2))</f>
        <v>mu :1</v>
      </c>
      <c r="W589" s="636"/>
      <c r="AG589" s="637">
        <f ca="1">IF($E589=0,0,ROUND($R595*$S$2*$C$2/$A589,2))</f>
        <v>11.06</v>
      </c>
      <c r="AH589" s="637">
        <f ca="1">$AG589*$A589</f>
        <v>11.06</v>
      </c>
      <c r="AI589" s="638">
        <f ca="1">$E589-$AG589</f>
        <v>9.33</v>
      </c>
      <c r="AJ589" s="638">
        <f ca="1">$A589*$AI589</f>
        <v>9.33</v>
      </c>
      <c r="AK589" s="639">
        <f ca="1">ROUND(($AG589+$AI589)*$A589,2)</f>
        <v>20.39</v>
      </c>
      <c r="AM589" s="640">
        <f ca="1">ROUND(R595,2)</f>
        <v>11.06</v>
      </c>
      <c r="AN589" s="641">
        <f ca="1">ROUND(T595,2)</f>
        <v>0.32</v>
      </c>
      <c r="AO589" s="642">
        <f ca="1">ROUND(AM589+AN589,2)*A589</f>
        <v>11.38</v>
      </c>
    </row>
    <row r="590" spans="1:41" s="618" customFormat="1" ht="13.2">
      <c r="A590" s="629"/>
      <c r="B590"/>
      <c r="C590" s="629"/>
      <c r="D590" s="630" t="s">
        <v>373</v>
      </c>
      <c r="F590" s="2"/>
      <c r="G590" s="3"/>
      <c r="H590" s="2"/>
      <c r="I590" s="633"/>
      <c r="J590" s="2"/>
      <c r="K590" s="2" t="s">
        <v>502</v>
      </c>
      <c r="L590" s="2"/>
      <c r="M590" s="2"/>
      <c r="N590" s="2"/>
      <c r="O590" s="2"/>
      <c r="P590" s="2"/>
      <c r="Q590" s="616"/>
      <c r="R590" s="643"/>
      <c r="S590" s="644"/>
      <c r="T590" s="2"/>
    </row>
    <row r="591" spans="1:41" s="753" customFormat="1" ht="13.2">
      <c r="A591"/>
      <c r="B591" s="824"/>
      <c r="C591" s="824" t="s">
        <v>677</v>
      </c>
      <c r="D591" s="824" t="str">
        <f ca="1">CELL("Address",Elec_Rates!D$24)</f>
        <v>[EL25_0700_Mock_Up_Room_Elec_Estim.xlsx]Elec_Rates!$D$24</v>
      </c>
      <c r="E591" s="825"/>
      <c r="F591" s="825"/>
      <c r="G591" s="826" t="s">
        <v>678</v>
      </c>
      <c r="H591" s="826"/>
      <c r="I591" s="826"/>
      <c r="J591" s="826"/>
      <c r="K591" s="827"/>
      <c r="L591" s="825"/>
      <c r="M591" s="825"/>
      <c r="N591" s="825"/>
      <c r="O591" s="828"/>
      <c r="P591" s="825"/>
      <c r="Q591" s="829"/>
      <c r="R591" s="830"/>
      <c r="S591" s="829"/>
      <c r="T591" s="831"/>
      <c r="U591" s="832"/>
    </row>
    <row r="592" spans="1:41" s="753" customFormat="1" ht="11.4">
      <c r="A592" s="833">
        <v>1</v>
      </c>
      <c r="B592" s="834">
        <v>1</v>
      </c>
      <c r="C592" s="834">
        <f>$A592*$B592</f>
        <v>1</v>
      </c>
      <c r="D592" s="835" t="str">
        <f>Elec_Rates!$D$24</f>
        <v>002# REMS LSZH Cable</v>
      </c>
      <c r="E592" s="835"/>
      <c r="F592" s="835"/>
      <c r="G592" s="836" t="s">
        <v>679</v>
      </c>
      <c r="H592" s="836"/>
      <c r="I592" s="836"/>
      <c r="J592" s="836"/>
      <c r="K592" s="837"/>
      <c r="L592" s="832"/>
      <c r="M592" s="832"/>
      <c r="N592" s="832"/>
      <c r="O592" s="838"/>
      <c r="P592" s="835"/>
      <c r="Q592" s="839">
        <f ca="1">$B592*Elec_Rates!$R$24</f>
        <v>6.29</v>
      </c>
      <c r="R592" s="830">
        <f ca="1">$A592*Q592</f>
        <v>6.29</v>
      </c>
      <c r="S592" s="839">
        <f ca="1">$B592*Elec_Rates!$T$24</f>
        <v>0.18</v>
      </c>
      <c r="T592" s="831">
        <f ca="1">$A592*S592</f>
        <v>0.18</v>
      </c>
      <c r="U592" s="840"/>
    </row>
    <row r="593" spans="1:41" s="783" customFormat="1" ht="13.2">
      <c r="A593" s="105">
        <v>1</v>
      </c>
      <c r="B593" s="783" t="s">
        <v>134</v>
      </c>
      <c r="D593" s="783" t="s">
        <v>852</v>
      </c>
      <c r="G593" s="784" t="s">
        <v>801</v>
      </c>
      <c r="H593" s="785">
        <v>705</v>
      </c>
      <c r="I593" s="783" t="s">
        <v>627</v>
      </c>
      <c r="O593" s="786">
        <v>3</v>
      </c>
      <c r="P593" s="787"/>
      <c r="Q593" s="788">
        <v>4.7699999999999996</v>
      </c>
      <c r="R593" s="789">
        <f>$A593*Q593</f>
        <v>4.7699999999999996</v>
      </c>
      <c r="S593" s="788">
        <f>0.845 *(0.17)</f>
        <v>0.14365</v>
      </c>
      <c r="T593" s="790">
        <f>$A593*S593*$T$1</f>
        <v>0.14365</v>
      </c>
    </row>
    <row r="594" spans="1:41" s="618" customFormat="1" ht="12">
      <c r="A594" s="645"/>
      <c r="B594" s="645"/>
      <c r="C594" s="645"/>
      <c r="D594" s="645"/>
      <c r="E594" s="645"/>
      <c r="F594" s="2"/>
      <c r="G594" s="645"/>
      <c r="H594" s="645"/>
      <c r="I594" s="646"/>
      <c r="J594" s="645"/>
      <c r="K594" s="645"/>
      <c r="L594" s="645"/>
      <c r="M594" s="645"/>
      <c r="N594" s="645"/>
      <c r="O594" s="645"/>
      <c r="P594" s="645"/>
      <c r="Q594" s="646"/>
      <c r="R594" s="647">
        <f t="shared" ref="R594" si="144">$A594*Q594</f>
        <v>0</v>
      </c>
      <c r="S594" s="646"/>
      <c r="T594" s="648">
        <f t="shared" ref="T594" si="145">$A594*S594*$T$1</f>
        <v>0</v>
      </c>
    </row>
    <row r="595" spans="1:41" s="618" customFormat="1" ht="12.6" thickBot="1">
      <c r="A595" s="649" t="s">
        <v>137</v>
      </c>
      <c r="B595" s="650">
        <f>(R594+T594)</f>
        <v>0</v>
      </c>
      <c r="C595" s="651"/>
      <c r="D595" s="651"/>
      <c r="E595" s="651"/>
      <c r="F595" s="652"/>
      <c r="G595" s="651" t="s">
        <v>503</v>
      </c>
      <c r="H595" s="651"/>
      <c r="I595" s="653"/>
      <c r="J595" s="651"/>
      <c r="K595" s="651" t="s">
        <v>3</v>
      </c>
      <c r="L595" s="654" t="s">
        <v>136</v>
      </c>
      <c r="M595" s="654"/>
      <c r="N595" s="654"/>
      <c r="O595" s="654"/>
      <c r="P595" s="654"/>
      <c r="Q595" s="655"/>
      <c r="R595" s="656">
        <f ca="1">SUM(R590:R594)</f>
        <v>11.059999999999999</v>
      </c>
      <c r="S595" s="651"/>
      <c r="T595" s="656">
        <f ca="1">SUM(T590:T594)</f>
        <v>0.32364999999999999</v>
      </c>
      <c r="U595" s="621"/>
      <c r="V595" s="621"/>
      <c r="W595" s="621"/>
      <c r="X595" s="621"/>
      <c r="Y595" s="621"/>
      <c r="Z595" s="621"/>
      <c r="AA595" s="621"/>
      <c r="AB595" s="621"/>
      <c r="AC595" s="621"/>
      <c r="AD595" s="621"/>
      <c r="AE595" s="621"/>
      <c r="AF595" s="621"/>
      <c r="AG595" s="621"/>
      <c r="AH595" s="621"/>
      <c r="AI595" s="621"/>
      <c r="AJ595" s="621"/>
      <c r="AK595" s="621"/>
      <c r="AL595" s="621"/>
      <c r="AM595" s="621"/>
      <c r="AN595" s="621"/>
      <c r="AO595" s="621"/>
    </row>
    <row r="596" spans="1:41" s="618" customFormat="1" ht="12" thickTop="1">
      <c r="A596" s="616"/>
      <c r="B596" s="622"/>
      <c r="C596" s="616"/>
      <c r="E596" s="37" t="s">
        <v>491</v>
      </c>
      <c r="F596" s="37" t="s">
        <v>492</v>
      </c>
      <c r="G596" s="616"/>
      <c r="H596" s="616"/>
      <c r="I596" s="616"/>
      <c r="J596" s="616"/>
      <c r="K596" s="616" t="s">
        <v>493</v>
      </c>
      <c r="L596" s="616"/>
      <c r="M596" s="616"/>
      <c r="N596" s="616"/>
      <c r="O596" s="617"/>
      <c r="P596" s="616"/>
      <c r="Q596" s="616"/>
      <c r="R596" s="616"/>
      <c r="S596" s="616"/>
      <c r="T596" s="622"/>
      <c r="AG596" s="623" t="s">
        <v>494</v>
      </c>
      <c r="AH596" s="623" t="s">
        <v>495</v>
      </c>
      <c r="AI596" s="623" t="s">
        <v>496</v>
      </c>
      <c r="AJ596" s="623" t="s">
        <v>497</v>
      </c>
      <c r="AK596" s="623" t="s">
        <v>498</v>
      </c>
      <c r="AM596" s="624" t="s">
        <v>499</v>
      </c>
      <c r="AN596" s="625" t="s">
        <v>500</v>
      </c>
      <c r="AO596" s="626" t="s">
        <v>501</v>
      </c>
    </row>
    <row r="597" spans="1:41" s="618" customFormat="1" ht="12" customHeight="1">
      <c r="A597" s="627">
        <v>1</v>
      </c>
      <c r="B597" s="628" t="s">
        <v>294</v>
      </c>
      <c r="C597" s="629"/>
      <c r="D597" s="630" t="s">
        <v>600</v>
      </c>
      <c r="E597" s="631">
        <f ca="1">IF(AND($A597=0,$A$1="DIF"),0, ROUND(ROUND(($R602*$S$2+($T602*$T$2))/A597,2)*$C$2,2))</f>
        <v>11.48</v>
      </c>
      <c r="F597" s="632">
        <f ca="1">ROUND($A597*$E597,2)</f>
        <v>11.48</v>
      </c>
      <c r="G597" s="88" t="s">
        <v>135</v>
      </c>
      <c r="H597" s="2"/>
      <c r="I597" s="633"/>
      <c r="J597" s="2"/>
      <c r="K597" s="2" t="s">
        <v>3</v>
      </c>
      <c r="L597" s="634" t="s">
        <v>136</v>
      </c>
      <c r="M597" s="634"/>
      <c r="N597" s="634"/>
      <c r="O597" s="634"/>
      <c r="P597" s="634"/>
      <c r="Q597" s="616"/>
      <c r="T597" s="635" t="str">
        <f ca="1">IF(AND($R602=0,$T602=0),"0.00","mu :" &amp; ROUND($F597/$C$2/($R602+$T602*$D$9),2))</f>
        <v>mu :1</v>
      </c>
      <c r="W597" s="636"/>
      <c r="AG597" s="637">
        <f ca="1">IF($E597=0,0,ROUND($R602*$S$2*$C$2/$A597,2))</f>
        <v>6.29</v>
      </c>
      <c r="AH597" s="637">
        <f ca="1">$AG597*$A597</f>
        <v>6.29</v>
      </c>
      <c r="AI597" s="638">
        <f ca="1">$E597-$AG597</f>
        <v>5.19</v>
      </c>
      <c r="AJ597" s="638">
        <f ca="1">$A597*$AI597</f>
        <v>5.19</v>
      </c>
      <c r="AK597" s="639">
        <f ca="1">ROUND(($AG597+$AI597)*$A597,2)</f>
        <v>11.48</v>
      </c>
      <c r="AM597" s="640">
        <f ca="1">ROUND(R602,2)</f>
        <v>6.29</v>
      </c>
      <c r="AN597" s="641">
        <f ca="1">ROUND(T602,2)</f>
        <v>0.18</v>
      </c>
      <c r="AO597" s="642">
        <f ca="1">ROUND(AM597+AN597,2)*A597</f>
        <v>6.47</v>
      </c>
    </row>
    <row r="598" spans="1:41" s="618" customFormat="1" ht="13.2">
      <c r="A598" s="629"/>
      <c r="B598"/>
      <c r="C598" s="629"/>
      <c r="D598" s="630" t="s">
        <v>374</v>
      </c>
      <c r="F598" s="2"/>
      <c r="G598" s="3"/>
      <c r="H598" s="2"/>
      <c r="I598" s="633"/>
      <c r="J598" s="2"/>
      <c r="K598" s="2" t="s">
        <v>502</v>
      </c>
      <c r="L598" s="2"/>
      <c r="M598" s="2"/>
      <c r="N598" s="2"/>
      <c r="O598" s="2"/>
      <c r="P598" s="2"/>
      <c r="Q598" s="616"/>
      <c r="R598" s="643"/>
      <c r="S598" s="644"/>
      <c r="T598" s="2"/>
    </row>
    <row r="599" spans="1:41" s="753" customFormat="1" ht="13.2">
      <c r="A599"/>
      <c r="B599" s="824"/>
      <c r="C599" s="824" t="s">
        <v>677</v>
      </c>
      <c r="D599" s="824" t="str">
        <f ca="1">CELL("Address",Elec_Rates!D$24)</f>
        <v>[EL25_0700_Mock_Up_Room_Elec_Estim.xlsx]Elec_Rates!$D$24</v>
      </c>
      <c r="E599" s="825"/>
      <c r="F599" s="825"/>
      <c r="G599" s="826" t="s">
        <v>678</v>
      </c>
      <c r="H599" s="826"/>
      <c r="I599" s="826"/>
      <c r="J599" s="826"/>
      <c r="K599" s="827"/>
      <c r="L599" s="825"/>
      <c r="M599" s="825"/>
      <c r="N599" s="825"/>
      <c r="O599" s="828"/>
      <c r="P599" s="825"/>
      <c r="Q599" s="829"/>
      <c r="R599" s="830"/>
      <c r="S599" s="829"/>
      <c r="T599" s="831"/>
      <c r="U599" s="832"/>
    </row>
    <row r="600" spans="1:41" s="753" customFormat="1" ht="11.4">
      <c r="A600" s="833">
        <v>1</v>
      </c>
      <c r="B600" s="834">
        <v>1</v>
      </c>
      <c r="C600" s="834">
        <f>$A600*$B600</f>
        <v>1</v>
      </c>
      <c r="D600" s="835" t="str">
        <f>Elec_Rates!$D$24</f>
        <v>002# REMS LSZH Cable</v>
      </c>
      <c r="E600" s="835"/>
      <c r="F600" s="835"/>
      <c r="G600" s="836" t="s">
        <v>679</v>
      </c>
      <c r="H600" s="836"/>
      <c r="I600" s="836"/>
      <c r="J600" s="836"/>
      <c r="K600" s="837"/>
      <c r="L600" s="832"/>
      <c r="M600" s="832"/>
      <c r="N600" s="832"/>
      <c r="O600" s="838"/>
      <c r="P600" s="835"/>
      <c r="Q600" s="839">
        <f ca="1">$B600*Elec_Rates!$R$24</f>
        <v>6.29</v>
      </c>
      <c r="R600" s="830">
        <f ca="1">$A600*Q600</f>
        <v>6.29</v>
      </c>
      <c r="S600" s="839">
        <f ca="1">$B600*Elec_Rates!$T$24</f>
        <v>0.18</v>
      </c>
      <c r="T600" s="831">
        <f ca="1">$A600*S600</f>
        <v>0.18</v>
      </c>
      <c r="U600" s="840"/>
    </row>
    <row r="601" spans="1:41" s="618" customFormat="1" ht="12">
      <c r="A601" s="645"/>
      <c r="B601" s="645"/>
      <c r="C601" s="645"/>
      <c r="D601" s="645"/>
      <c r="E601" s="645"/>
      <c r="F601" s="2"/>
      <c r="G601" s="645"/>
      <c r="H601" s="645"/>
      <c r="I601" s="646"/>
      <c r="J601" s="645"/>
      <c r="K601" s="645"/>
      <c r="L601" s="645"/>
      <c r="M601" s="645"/>
      <c r="N601" s="645"/>
      <c r="O601" s="645"/>
      <c r="P601" s="645"/>
      <c r="Q601" s="646"/>
      <c r="R601" s="647">
        <f t="shared" ref="R601" si="146">$A601*Q601</f>
        <v>0</v>
      </c>
      <c r="S601" s="646"/>
      <c r="T601" s="648">
        <f t="shared" ref="T601" si="147">$A601*S601*$T$1</f>
        <v>0</v>
      </c>
    </row>
    <row r="602" spans="1:41" s="618" customFormat="1" ht="12.6" thickBot="1">
      <c r="A602" s="649" t="s">
        <v>137</v>
      </c>
      <c r="B602" s="650">
        <f>(R601+T601)</f>
        <v>0</v>
      </c>
      <c r="C602" s="651"/>
      <c r="D602" s="651"/>
      <c r="E602" s="651"/>
      <c r="F602" s="652"/>
      <c r="G602" s="651" t="s">
        <v>503</v>
      </c>
      <c r="H602" s="651"/>
      <c r="I602" s="653"/>
      <c r="J602" s="651"/>
      <c r="K602" s="651" t="s">
        <v>3</v>
      </c>
      <c r="L602" s="654" t="s">
        <v>136</v>
      </c>
      <c r="M602" s="654"/>
      <c r="N602" s="654"/>
      <c r="O602" s="654"/>
      <c r="P602" s="654"/>
      <c r="Q602" s="655"/>
      <c r="R602" s="656">
        <f ca="1">SUM(R598:R601)</f>
        <v>6.29</v>
      </c>
      <c r="S602" s="651"/>
      <c r="T602" s="656">
        <f ca="1">SUM(T598:T601)</f>
        <v>0.18</v>
      </c>
      <c r="U602" s="621"/>
      <c r="V602" s="621"/>
      <c r="W602" s="621"/>
      <c r="X602" s="621"/>
      <c r="Y602" s="621"/>
      <c r="Z602" s="621"/>
      <c r="AA602" s="621"/>
      <c r="AB602" s="621"/>
      <c r="AC602" s="621"/>
      <c r="AD602" s="621"/>
      <c r="AE602" s="621"/>
      <c r="AF602" s="621"/>
      <c r="AG602" s="621"/>
      <c r="AH602" s="621"/>
      <c r="AI602" s="621"/>
      <c r="AJ602" s="621"/>
      <c r="AK602" s="621"/>
      <c r="AL602" s="621"/>
      <c r="AM602" s="621"/>
      <c r="AN602" s="621"/>
      <c r="AO602" s="621"/>
    </row>
    <row r="603" spans="1:41" s="618" customFormat="1" ht="12" thickTop="1">
      <c r="A603" s="616"/>
      <c r="B603" s="622"/>
      <c r="C603" s="616"/>
      <c r="E603" s="37" t="s">
        <v>491</v>
      </c>
      <c r="F603" s="37" t="s">
        <v>492</v>
      </c>
      <c r="G603" s="616"/>
      <c r="H603" s="616"/>
      <c r="I603" s="616"/>
      <c r="J603" s="616"/>
      <c r="K603" s="616" t="s">
        <v>493</v>
      </c>
      <c r="L603" s="616"/>
      <c r="M603" s="616"/>
      <c r="N603" s="616"/>
      <c r="O603" s="617"/>
      <c r="P603" s="616"/>
      <c r="Q603" s="616"/>
      <c r="R603" s="616"/>
      <c r="S603" s="616"/>
      <c r="T603" s="622"/>
      <c r="AG603" s="623" t="s">
        <v>494</v>
      </c>
      <c r="AH603" s="623" t="s">
        <v>495</v>
      </c>
      <c r="AI603" s="623" t="s">
        <v>496</v>
      </c>
      <c r="AJ603" s="623" t="s">
        <v>497</v>
      </c>
      <c r="AK603" s="623" t="s">
        <v>498</v>
      </c>
      <c r="AM603" s="624" t="s">
        <v>499</v>
      </c>
      <c r="AN603" s="625" t="s">
        <v>500</v>
      </c>
      <c r="AO603" s="626" t="s">
        <v>501</v>
      </c>
    </row>
    <row r="604" spans="1:41" s="618" customFormat="1" ht="12" customHeight="1">
      <c r="A604" s="627">
        <v>1</v>
      </c>
      <c r="B604" s="628" t="s">
        <v>294</v>
      </c>
      <c r="C604" s="629"/>
      <c r="D604" s="630" t="s">
        <v>601</v>
      </c>
      <c r="E604" s="631">
        <f ca="1">IF(AND($A604=0,$A$1="DIF"),0, ROUND(ROUND(($R609*$S$2+($T609*$T$2))/A604,2)*$C$2,2))</f>
        <v>11.48</v>
      </c>
      <c r="F604" s="632">
        <f ca="1">ROUND($A604*$E604,2)</f>
        <v>11.48</v>
      </c>
      <c r="G604" s="88" t="s">
        <v>135</v>
      </c>
      <c r="H604" s="2"/>
      <c r="I604" s="633"/>
      <c r="J604" s="2"/>
      <c r="K604" s="2" t="s">
        <v>3</v>
      </c>
      <c r="L604" s="634" t="s">
        <v>136</v>
      </c>
      <c r="M604" s="634"/>
      <c r="N604" s="634"/>
      <c r="O604" s="634"/>
      <c r="P604" s="634"/>
      <c r="Q604" s="616"/>
      <c r="T604" s="635" t="str">
        <f ca="1">IF(AND($R609=0,$T609=0),"0.00","mu :" &amp; ROUND($F604/$C$2/($R609+$T609*$D$9),2))</f>
        <v>mu :1</v>
      </c>
      <c r="W604" s="636"/>
      <c r="AG604" s="637">
        <f ca="1">IF($E604=0,0,ROUND($R609*$S$2*$C$2/$A604,2))</f>
        <v>6.29</v>
      </c>
      <c r="AH604" s="637">
        <f ca="1">$AG604*$A604</f>
        <v>6.29</v>
      </c>
      <c r="AI604" s="638">
        <f ca="1">$E604-$AG604</f>
        <v>5.19</v>
      </c>
      <c r="AJ604" s="638">
        <f ca="1">$A604*$AI604</f>
        <v>5.19</v>
      </c>
      <c r="AK604" s="639">
        <f ca="1">ROUND(($AG604+$AI604)*$A604,2)</f>
        <v>11.48</v>
      </c>
      <c r="AM604" s="640">
        <f ca="1">ROUND(R609,2)</f>
        <v>6.29</v>
      </c>
      <c r="AN604" s="641">
        <f ca="1">ROUND(T609,2)</f>
        <v>0.18</v>
      </c>
      <c r="AO604" s="642">
        <f ca="1">ROUND(AM604+AN604,2)*A604</f>
        <v>6.47</v>
      </c>
    </row>
    <row r="605" spans="1:41" s="618" customFormat="1" ht="13.2">
      <c r="A605" s="629"/>
      <c r="B605"/>
      <c r="C605" s="629"/>
      <c r="D605" s="630" t="s">
        <v>375</v>
      </c>
      <c r="F605" s="2"/>
      <c r="G605" s="3"/>
      <c r="H605" s="2"/>
      <c r="I605" s="633"/>
      <c r="J605" s="2"/>
      <c r="K605" s="2" t="s">
        <v>502</v>
      </c>
      <c r="L605" s="2"/>
      <c r="M605" s="2"/>
      <c r="N605" s="2"/>
      <c r="O605" s="2"/>
      <c r="P605" s="2"/>
      <c r="Q605" s="616"/>
      <c r="R605" s="643"/>
      <c r="S605" s="644"/>
      <c r="T605" s="2"/>
    </row>
    <row r="606" spans="1:41" s="753" customFormat="1" ht="13.2">
      <c r="A606"/>
      <c r="B606" s="824"/>
      <c r="C606" s="824" t="s">
        <v>677</v>
      </c>
      <c r="D606" s="824" t="str">
        <f ca="1">CELL("Address",Elec_Rates!D$24)</f>
        <v>[EL25_0700_Mock_Up_Room_Elec_Estim.xlsx]Elec_Rates!$D$24</v>
      </c>
      <c r="E606" s="825"/>
      <c r="F606" s="825"/>
      <c r="G606" s="826" t="s">
        <v>678</v>
      </c>
      <c r="H606" s="826"/>
      <c r="I606" s="826"/>
      <c r="J606" s="826"/>
      <c r="K606" s="827"/>
      <c r="L606" s="825"/>
      <c r="M606" s="825"/>
      <c r="N606" s="825"/>
      <c r="O606" s="828"/>
      <c r="P606" s="825"/>
      <c r="Q606" s="829"/>
      <c r="R606" s="830"/>
      <c r="S606" s="829"/>
      <c r="T606" s="831"/>
      <c r="U606" s="832"/>
    </row>
    <row r="607" spans="1:41" s="753" customFormat="1" ht="11.4">
      <c r="A607" s="833">
        <v>1</v>
      </c>
      <c r="B607" s="834">
        <v>1</v>
      </c>
      <c r="C607" s="834">
        <f>$A607*$B607</f>
        <v>1</v>
      </c>
      <c r="D607" s="835" t="str">
        <f>Elec_Rates!$D$24</f>
        <v>002# REMS LSZH Cable</v>
      </c>
      <c r="E607" s="835"/>
      <c r="F607" s="835"/>
      <c r="G607" s="836" t="s">
        <v>679</v>
      </c>
      <c r="H607" s="836"/>
      <c r="I607" s="836"/>
      <c r="J607" s="836"/>
      <c r="K607" s="837"/>
      <c r="L607" s="832"/>
      <c r="M607" s="832"/>
      <c r="N607" s="832"/>
      <c r="O607" s="838"/>
      <c r="P607" s="835"/>
      <c r="Q607" s="839">
        <f ca="1">$B607*Elec_Rates!$R$24</f>
        <v>6.29</v>
      </c>
      <c r="R607" s="830">
        <f ca="1">$A607*Q607</f>
        <v>6.29</v>
      </c>
      <c r="S607" s="839">
        <f ca="1">$B607*Elec_Rates!$T$24</f>
        <v>0.18</v>
      </c>
      <c r="T607" s="831">
        <f ca="1">$A607*S607</f>
        <v>0.18</v>
      </c>
      <c r="U607" s="840"/>
    </row>
    <row r="608" spans="1:41" s="618" customFormat="1" ht="12">
      <c r="A608" s="645"/>
      <c r="B608" s="645"/>
      <c r="C608" s="645"/>
      <c r="D608" s="645"/>
      <c r="E608" s="645"/>
      <c r="F608" s="2"/>
      <c r="G608" s="645"/>
      <c r="H608" s="645"/>
      <c r="I608" s="646"/>
      <c r="J608" s="645"/>
      <c r="K608" s="645"/>
      <c r="L608" s="645"/>
      <c r="M608" s="645"/>
      <c r="N608" s="645"/>
      <c r="O608" s="645"/>
      <c r="P608" s="645"/>
      <c r="Q608" s="646"/>
      <c r="R608" s="647">
        <f t="shared" ref="R608" si="148">$A608*Q608</f>
        <v>0</v>
      </c>
      <c r="S608" s="646"/>
      <c r="T608" s="648">
        <f t="shared" ref="T608" si="149">$A608*S608*$T$1</f>
        <v>0</v>
      </c>
    </row>
    <row r="609" spans="1:41" s="618" customFormat="1" ht="12.6" thickBot="1">
      <c r="A609" s="649" t="s">
        <v>137</v>
      </c>
      <c r="B609" s="650">
        <f>(R608+T608)</f>
        <v>0</v>
      </c>
      <c r="C609" s="651"/>
      <c r="D609" s="651"/>
      <c r="E609" s="651"/>
      <c r="F609" s="652"/>
      <c r="G609" s="651" t="s">
        <v>503</v>
      </c>
      <c r="H609" s="651"/>
      <c r="I609" s="653"/>
      <c r="J609" s="651"/>
      <c r="K609" s="651" t="s">
        <v>3</v>
      </c>
      <c r="L609" s="654" t="s">
        <v>136</v>
      </c>
      <c r="M609" s="654"/>
      <c r="N609" s="654"/>
      <c r="O609" s="654"/>
      <c r="P609" s="654"/>
      <c r="Q609" s="655"/>
      <c r="R609" s="656">
        <f ca="1">SUM(R605:R608)</f>
        <v>6.29</v>
      </c>
      <c r="S609" s="651"/>
      <c r="T609" s="656">
        <f ca="1">SUM(T605:T608)</f>
        <v>0.18</v>
      </c>
      <c r="U609" s="621"/>
      <c r="V609" s="621"/>
      <c r="W609" s="621"/>
      <c r="X609" s="621"/>
      <c r="Y609" s="621"/>
      <c r="Z609" s="621"/>
      <c r="AA609" s="621"/>
      <c r="AB609" s="621"/>
      <c r="AC609" s="621"/>
      <c r="AD609" s="621"/>
      <c r="AE609" s="621"/>
      <c r="AF609" s="621"/>
      <c r="AG609" s="621"/>
      <c r="AH609" s="621"/>
      <c r="AI609" s="621"/>
      <c r="AJ609" s="621"/>
      <c r="AK609" s="621"/>
      <c r="AL609" s="621"/>
      <c r="AM609" s="621"/>
      <c r="AN609" s="621"/>
      <c r="AO609" s="621"/>
    </row>
    <row r="610" spans="1:41" s="618" customFormat="1" ht="12" thickTop="1">
      <c r="A610" s="616"/>
      <c r="B610" s="622"/>
      <c r="C610" s="616"/>
      <c r="E610" s="37" t="s">
        <v>491</v>
      </c>
      <c r="F610" s="37" t="s">
        <v>492</v>
      </c>
      <c r="G610" s="616"/>
      <c r="H610" s="616"/>
      <c r="I610" s="616"/>
      <c r="J610" s="616"/>
      <c r="K610" s="616" t="s">
        <v>493</v>
      </c>
      <c r="L610" s="616"/>
      <c r="M610" s="616"/>
      <c r="N610" s="616"/>
      <c r="O610" s="617"/>
      <c r="P610" s="616"/>
      <c r="Q610" s="616"/>
      <c r="R610" s="616"/>
      <c r="S610" s="616"/>
      <c r="T610" s="622"/>
      <c r="AG610" s="623" t="s">
        <v>494</v>
      </c>
      <c r="AH610" s="623" t="s">
        <v>495</v>
      </c>
      <c r="AI610" s="623" t="s">
        <v>496</v>
      </c>
      <c r="AJ610" s="623" t="s">
        <v>497</v>
      </c>
      <c r="AK610" s="623" t="s">
        <v>498</v>
      </c>
      <c r="AM610" s="624" t="s">
        <v>499</v>
      </c>
      <c r="AN610" s="625" t="s">
        <v>500</v>
      </c>
      <c r="AO610" s="626" t="s">
        <v>501</v>
      </c>
    </row>
    <row r="611" spans="1:41" s="618" customFormat="1" ht="12" customHeight="1">
      <c r="A611" s="627">
        <v>1</v>
      </c>
      <c r="B611" s="628" t="s">
        <v>294</v>
      </c>
      <c r="C611" s="629"/>
      <c r="D611" s="630" t="s">
        <v>602</v>
      </c>
      <c r="E611" s="631">
        <f ca="1">IF(AND($A611=0,$A$1="DIF"),0, ROUND(ROUND(($R618*$S$2+($T618*$T$2))/A611,2)*$C$2,2))</f>
        <v>22.96</v>
      </c>
      <c r="F611" s="632">
        <f ca="1">ROUND($A611*$E611,2)</f>
        <v>22.96</v>
      </c>
      <c r="G611" s="88" t="s">
        <v>135</v>
      </c>
      <c r="H611" s="2"/>
      <c r="I611" s="633"/>
      <c r="J611" s="2"/>
      <c r="K611" s="2" t="s">
        <v>3</v>
      </c>
      <c r="L611" s="634" t="s">
        <v>136</v>
      </c>
      <c r="M611" s="634"/>
      <c r="N611" s="634"/>
      <c r="O611" s="634"/>
      <c r="P611" s="634"/>
      <c r="Q611" s="616"/>
      <c r="T611" s="635" t="str">
        <f ca="1">IF(AND($R618=0,$T618=0),"0.00","mu :" &amp; ROUND($F611/$C$2/($R618+$T618*$D$9),2))</f>
        <v>mu :1</v>
      </c>
      <c r="W611" s="636"/>
      <c r="AG611" s="637">
        <f ca="1">IF($E611=0,0,ROUND($R618*$S$2*$C$2/$A611,2))</f>
        <v>12.58</v>
      </c>
      <c r="AH611" s="637">
        <f ca="1">$AG611*$A611</f>
        <v>12.58</v>
      </c>
      <c r="AI611" s="638">
        <f ca="1">$E611-$AG611</f>
        <v>10.38</v>
      </c>
      <c r="AJ611" s="638">
        <f ca="1">$A611*$AI611</f>
        <v>10.38</v>
      </c>
      <c r="AK611" s="639">
        <f ca="1">ROUND(($AG611+$AI611)*$A611,2)</f>
        <v>22.96</v>
      </c>
      <c r="AM611" s="640">
        <f ca="1">ROUND(R618,2)</f>
        <v>12.58</v>
      </c>
      <c r="AN611" s="641">
        <f ca="1">ROUND(T618,2)</f>
        <v>0.36</v>
      </c>
      <c r="AO611" s="642">
        <f ca="1">ROUND(AM611+AN611,2)*A611</f>
        <v>12.94</v>
      </c>
    </row>
    <row r="612" spans="1:41" s="618" customFormat="1" ht="13.2">
      <c r="A612" s="629"/>
      <c r="B612"/>
      <c r="C612" s="629"/>
      <c r="D612" s="630" t="s">
        <v>376</v>
      </c>
      <c r="F612" s="2"/>
      <c r="G612" s="3"/>
      <c r="H612" s="2"/>
      <c r="I612" s="633"/>
      <c r="J612" s="2"/>
      <c r="K612" s="2" t="s">
        <v>502</v>
      </c>
      <c r="L612" s="2"/>
      <c r="M612" s="2"/>
      <c r="N612" s="2"/>
      <c r="O612" s="2"/>
      <c r="P612" s="2"/>
      <c r="Q612" s="616"/>
      <c r="R612" s="643"/>
      <c r="S612" s="644"/>
      <c r="T612" s="2"/>
    </row>
    <row r="613" spans="1:41" s="753" customFormat="1" ht="13.2">
      <c r="A613"/>
      <c r="B613" s="824"/>
      <c r="C613" s="824" t="s">
        <v>677</v>
      </c>
      <c r="D613" s="824" t="str">
        <f ca="1">CELL("Address",Elec_Rates!D$24)</f>
        <v>[EL25_0700_Mock_Up_Room_Elec_Estim.xlsx]Elec_Rates!$D$24</v>
      </c>
      <c r="E613" s="825"/>
      <c r="F613" s="825"/>
      <c r="G613" s="826" t="s">
        <v>678</v>
      </c>
      <c r="H613" s="826"/>
      <c r="I613" s="826"/>
      <c r="J613" s="826"/>
      <c r="K613" s="827"/>
      <c r="L613" s="825"/>
      <c r="M613" s="825"/>
      <c r="N613" s="825"/>
      <c r="O613" s="828"/>
      <c r="P613" s="825"/>
      <c r="Q613" s="829"/>
      <c r="R613" s="830"/>
      <c r="S613" s="829"/>
      <c r="T613" s="831"/>
      <c r="U613" s="832"/>
    </row>
    <row r="614" spans="1:41" s="753" customFormat="1" ht="11.4">
      <c r="A614" s="833">
        <v>1</v>
      </c>
      <c r="B614" s="834">
        <v>1</v>
      </c>
      <c r="C614" s="834">
        <f>$A614*$B614</f>
        <v>1</v>
      </c>
      <c r="D614" s="835" t="str">
        <f>Elec_Rates!$D$24</f>
        <v>002# REMS LSZH Cable</v>
      </c>
      <c r="E614" s="835"/>
      <c r="F614" s="835" t="s">
        <v>701</v>
      </c>
      <c r="G614" s="836" t="s">
        <v>679</v>
      </c>
      <c r="H614" s="836"/>
      <c r="I614" s="836"/>
      <c r="J614" s="836"/>
      <c r="K614" s="837"/>
      <c r="L614" s="832"/>
      <c r="M614" s="832"/>
      <c r="N614" s="832"/>
      <c r="O614" s="838"/>
      <c r="P614" s="835"/>
      <c r="Q614" s="839">
        <f ca="1">$B614*Elec_Rates!$R$24</f>
        <v>6.29</v>
      </c>
      <c r="R614" s="830">
        <f ca="1">$A614*Q614</f>
        <v>6.29</v>
      </c>
      <c r="S614" s="839">
        <f ca="1">$B614*Elec_Rates!$T$24</f>
        <v>0.18</v>
      </c>
      <c r="T614" s="831">
        <f ca="1">$A614*S614</f>
        <v>0.18</v>
      </c>
      <c r="U614" s="840"/>
    </row>
    <row r="615" spans="1:41" s="753" customFormat="1" ht="13.2">
      <c r="A615"/>
      <c r="B615" s="824"/>
      <c r="C615" s="824" t="s">
        <v>677</v>
      </c>
      <c r="D615" s="824" t="str">
        <f ca="1">CELL("Address",Elec_Rates!D$24)</f>
        <v>[EL25_0700_Mock_Up_Room_Elec_Estim.xlsx]Elec_Rates!$D$24</v>
      </c>
      <c r="E615" s="825"/>
      <c r="F615" s="825"/>
      <c r="G615" s="826" t="s">
        <v>678</v>
      </c>
      <c r="H615" s="826"/>
      <c r="I615" s="826"/>
      <c r="J615" s="826"/>
      <c r="K615" s="827"/>
      <c r="L615" s="825"/>
      <c r="M615" s="825"/>
      <c r="N615" s="825"/>
      <c r="O615" s="828"/>
      <c r="P615" s="825"/>
      <c r="Q615" s="829"/>
      <c r="R615" s="830"/>
      <c r="S615" s="829"/>
      <c r="T615" s="831"/>
      <c r="U615" s="832"/>
    </row>
    <row r="616" spans="1:41" s="753" customFormat="1" ht="11.4">
      <c r="A616" s="833">
        <v>1</v>
      </c>
      <c r="B616" s="834">
        <v>1</v>
      </c>
      <c r="C616" s="834">
        <f>$A616*$B616</f>
        <v>1</v>
      </c>
      <c r="D616" s="835" t="str">
        <f>Elec_Rates!$D$24</f>
        <v>002# REMS LSZH Cable</v>
      </c>
      <c r="E616" s="835"/>
      <c r="F616" s="835" t="s">
        <v>702</v>
      </c>
      <c r="G616" s="836" t="s">
        <v>679</v>
      </c>
      <c r="H616" s="836"/>
      <c r="I616" s="836"/>
      <c r="J616" s="836"/>
      <c r="K616" s="837"/>
      <c r="L616" s="832"/>
      <c r="M616" s="832"/>
      <c r="N616" s="832"/>
      <c r="O616" s="838"/>
      <c r="P616" s="835"/>
      <c r="Q616" s="839">
        <f ca="1">$B616*Elec_Rates!$R$24</f>
        <v>6.29</v>
      </c>
      <c r="R616" s="830">
        <f ca="1">$A616*Q616</f>
        <v>6.29</v>
      </c>
      <c r="S616" s="839">
        <f ca="1">$B616*Elec_Rates!$T$24</f>
        <v>0.18</v>
      </c>
      <c r="T616" s="831">
        <f ca="1">$A616*S616</f>
        <v>0.18</v>
      </c>
      <c r="U616" s="840"/>
    </row>
    <row r="617" spans="1:41" s="618" customFormat="1" ht="12">
      <c r="A617" s="645"/>
      <c r="B617" s="645"/>
      <c r="C617" s="645"/>
      <c r="D617" s="645"/>
      <c r="E617" s="645"/>
      <c r="F617" s="2"/>
      <c r="G617" s="645"/>
      <c r="H617" s="645"/>
      <c r="I617" s="646"/>
      <c r="J617" s="645"/>
      <c r="K617" s="645"/>
      <c r="L617" s="645"/>
      <c r="M617" s="645"/>
      <c r="N617" s="645"/>
      <c r="O617" s="645"/>
      <c r="P617" s="645"/>
      <c r="Q617" s="646"/>
      <c r="R617" s="647">
        <f t="shared" ref="R617" si="150">$A617*Q617</f>
        <v>0</v>
      </c>
      <c r="S617" s="646"/>
      <c r="T617" s="648">
        <f t="shared" ref="T617" si="151">$A617*S617*$T$1</f>
        <v>0</v>
      </c>
    </row>
    <row r="618" spans="1:41" s="618" customFormat="1" ht="12.6" thickBot="1">
      <c r="A618" s="649" t="s">
        <v>137</v>
      </c>
      <c r="B618" s="650">
        <f>(R617+T617)</f>
        <v>0</v>
      </c>
      <c r="C618" s="651"/>
      <c r="D618" s="651"/>
      <c r="E618" s="651"/>
      <c r="F618" s="652"/>
      <c r="G618" s="651" t="s">
        <v>503</v>
      </c>
      <c r="H618" s="651"/>
      <c r="I618" s="653"/>
      <c r="J618" s="651"/>
      <c r="K618" s="651" t="s">
        <v>3</v>
      </c>
      <c r="L618" s="654" t="s">
        <v>136</v>
      </c>
      <c r="M618" s="654"/>
      <c r="N618" s="654"/>
      <c r="O618" s="654"/>
      <c r="P618" s="654"/>
      <c r="Q618" s="655"/>
      <c r="R618" s="656">
        <f ca="1">SUM(R612:R617)</f>
        <v>12.58</v>
      </c>
      <c r="S618" s="651"/>
      <c r="T618" s="656">
        <f ca="1">SUM(T612:T617)</f>
        <v>0.36</v>
      </c>
      <c r="U618" s="621"/>
      <c r="V618" s="621"/>
      <c r="W618" s="621"/>
      <c r="X618" s="621"/>
      <c r="Y618" s="621"/>
      <c r="Z618" s="621"/>
      <c r="AA618" s="621"/>
      <c r="AB618" s="621"/>
      <c r="AC618" s="621"/>
      <c r="AD618" s="621"/>
      <c r="AE618" s="621"/>
      <c r="AF618" s="621"/>
      <c r="AG618" s="621"/>
      <c r="AH618" s="621"/>
      <c r="AI618" s="621"/>
      <c r="AJ618" s="621"/>
      <c r="AK618" s="621"/>
      <c r="AL618" s="621"/>
      <c r="AM618" s="621"/>
      <c r="AN618" s="621"/>
      <c r="AO618" s="621"/>
    </row>
    <row r="619" spans="1:41" s="618" customFormat="1" thickTop="1">
      <c r="A619" s="616"/>
      <c r="B619" s="616"/>
      <c r="C619" s="3"/>
      <c r="D619" s="3"/>
      <c r="E619" s="616"/>
      <c r="F619" s="616"/>
      <c r="G619" s="616"/>
      <c r="H619" s="616"/>
      <c r="I619" s="616"/>
      <c r="J619" s="616"/>
      <c r="K619" s="616" t="s">
        <v>489</v>
      </c>
      <c r="L619" s="616"/>
      <c r="M619" s="616"/>
      <c r="N619" s="616"/>
      <c r="O619" s="617"/>
      <c r="P619" s="616"/>
      <c r="Q619" s="616"/>
      <c r="R619" s="616"/>
      <c r="S619" s="616"/>
      <c r="T619" s="616"/>
    </row>
    <row r="620" spans="1:41" s="618" customFormat="1" ht="12">
      <c r="A620" s="616"/>
      <c r="B620" s="616"/>
      <c r="C620" s="616" t="s">
        <v>490</v>
      </c>
      <c r="D620" s="619"/>
      <c r="E620" s="616"/>
      <c r="F620" s="616"/>
      <c r="G620" s="616"/>
      <c r="H620" s="616"/>
      <c r="I620" s="616"/>
      <c r="J620" s="616"/>
      <c r="K620" s="616"/>
      <c r="L620" s="616"/>
      <c r="M620" s="616"/>
      <c r="N620" s="616"/>
      <c r="O620" s="617"/>
      <c r="P620" s="616"/>
      <c r="Q620" s="616"/>
      <c r="R620" s="616"/>
      <c r="S620" s="616"/>
      <c r="T620" s="616"/>
    </row>
    <row r="621" spans="1:41" s="618" customFormat="1" ht="12">
      <c r="A621" s="616"/>
      <c r="B621" s="616"/>
      <c r="C621" s="616"/>
      <c r="D621" s="619" t="s">
        <v>377</v>
      </c>
      <c r="E621" s="616"/>
      <c r="F621" s="616"/>
      <c r="G621" s="616"/>
      <c r="H621" s="616"/>
      <c r="I621" s="616"/>
      <c r="J621" s="616"/>
      <c r="K621" s="616"/>
      <c r="L621" s="616"/>
      <c r="M621" s="616"/>
      <c r="N621" s="616"/>
      <c r="O621" s="617"/>
      <c r="P621" s="616"/>
      <c r="Q621" s="616"/>
      <c r="R621" s="616"/>
      <c r="S621" s="620"/>
      <c r="T621" s="620"/>
    </row>
    <row r="622" spans="1:41" s="3" customFormat="1" thickBot="1">
      <c r="A622" s="621"/>
      <c r="O622" s="96"/>
    </row>
    <row r="623" spans="1:41" s="618" customFormat="1" ht="12" thickTop="1">
      <c r="A623" s="616"/>
      <c r="B623" s="622"/>
      <c r="C623" s="616"/>
      <c r="E623" s="37" t="s">
        <v>491</v>
      </c>
      <c r="F623" s="37" t="s">
        <v>492</v>
      </c>
      <c r="G623" s="616"/>
      <c r="H623" s="616"/>
      <c r="I623" s="616"/>
      <c r="J623" s="616"/>
      <c r="K623" s="616" t="s">
        <v>493</v>
      </c>
      <c r="L623" s="616"/>
      <c r="M623" s="616"/>
      <c r="N623" s="616"/>
      <c r="O623" s="617"/>
      <c r="P623" s="616"/>
      <c r="Q623" s="616"/>
      <c r="R623" s="616"/>
      <c r="S623" s="616"/>
      <c r="T623" s="622"/>
      <c r="AG623" s="623" t="s">
        <v>494</v>
      </c>
      <c r="AH623" s="623" t="s">
        <v>495</v>
      </c>
      <c r="AI623" s="623" t="s">
        <v>496</v>
      </c>
      <c r="AJ623" s="623" t="s">
        <v>497</v>
      </c>
      <c r="AK623" s="623" t="s">
        <v>498</v>
      </c>
      <c r="AM623" s="624" t="s">
        <v>499</v>
      </c>
      <c r="AN623" s="625" t="s">
        <v>500</v>
      </c>
      <c r="AO623" s="626" t="s">
        <v>501</v>
      </c>
    </row>
    <row r="624" spans="1:41" s="618" customFormat="1" ht="12" customHeight="1">
      <c r="A624" s="627">
        <v>1</v>
      </c>
      <c r="B624" s="628" t="s">
        <v>294</v>
      </c>
      <c r="C624" s="629"/>
      <c r="D624" s="630" t="s">
        <v>603</v>
      </c>
      <c r="E624" s="859">
        <f>IF(AND($A624=0,$A$1="DIF"),0, ROUND(ROUND(($R628*$S$3+($T628*$T$3))/$A624,2)*$C$3,2))</f>
        <v>345</v>
      </c>
      <c r="F624" s="860">
        <f>ROUND($A624*$E624,2)</f>
        <v>345</v>
      </c>
      <c r="G624" s="88" t="s">
        <v>135</v>
      </c>
      <c r="H624" s="2"/>
      <c r="I624" s="633"/>
      <c r="J624" s="2"/>
      <c r="K624" s="2" t="s">
        <v>5</v>
      </c>
      <c r="L624" s="634" t="s">
        <v>136</v>
      </c>
      <c r="M624" s="634"/>
      <c r="N624" s="634"/>
      <c r="O624" s="634"/>
      <c r="P624" s="634"/>
      <c r="Q624" s="616"/>
      <c r="T624" s="864" t="str">
        <f>IF(AND($R628=0,$T628=0),"0.00","mu: "&amp; ROUND(F624/$C$3/($R628+$T628*$D$9),2))</f>
        <v>mu: 1</v>
      </c>
      <c r="W624" s="636"/>
      <c r="AG624" s="861">
        <f>IF($E624=0,0,ROUND($R628*$S$3*$C$3/$A624,2))</f>
        <v>345</v>
      </c>
      <c r="AH624" s="861">
        <f>$AG624*$A624</f>
        <v>345</v>
      </c>
      <c r="AI624" s="862">
        <f>$E624-$AG624</f>
        <v>0</v>
      </c>
      <c r="AJ624" s="862">
        <f>$A624*$AI624</f>
        <v>0</v>
      </c>
      <c r="AK624" s="863">
        <f>ROUND(($AG624+$AI624)*$A624,2)</f>
        <v>345</v>
      </c>
      <c r="AM624" s="640">
        <f>ROUND(R628,2)</f>
        <v>345</v>
      </c>
      <c r="AN624" s="641">
        <f>ROUND(T628,2)</f>
        <v>0</v>
      </c>
      <c r="AO624" s="642">
        <f>ROUND(AM624+AN624,2)*A624</f>
        <v>345</v>
      </c>
    </row>
    <row r="625" spans="1:41" s="618" customFormat="1" ht="13.2">
      <c r="A625" s="629"/>
      <c r="B625"/>
      <c r="C625" s="629"/>
      <c r="D625" s="630" t="s">
        <v>378</v>
      </c>
      <c r="F625" s="2"/>
      <c r="G625" s="3"/>
      <c r="H625" s="2"/>
      <c r="I625" s="633"/>
      <c r="J625" s="2"/>
      <c r="K625" s="2" t="s">
        <v>502</v>
      </c>
      <c r="L625" s="2"/>
      <c r="M625" s="2"/>
      <c r="N625" s="2"/>
      <c r="O625" s="2"/>
      <c r="P625" s="2"/>
      <c r="Q625" s="616"/>
      <c r="R625" s="643"/>
      <c r="S625" s="644"/>
      <c r="T625" s="2"/>
    </row>
    <row r="626" spans="1:41" s="783" customFormat="1" ht="13.2">
      <c r="A626" s="105">
        <v>1</v>
      </c>
      <c r="B626" s="783" t="s">
        <v>134</v>
      </c>
      <c r="D626" s="783" t="s">
        <v>695</v>
      </c>
      <c r="G626" s="784" t="s">
        <v>694</v>
      </c>
      <c r="H626" s="785">
        <v>752</v>
      </c>
      <c r="I626" s="783" t="s">
        <v>627</v>
      </c>
      <c r="O626" s="786">
        <v>3</v>
      </c>
      <c r="P626" s="787"/>
      <c r="Q626" s="788">
        <v>345</v>
      </c>
      <c r="R626" s="789">
        <f>$A626*Q626</f>
        <v>345</v>
      </c>
      <c r="S626" s="788"/>
      <c r="T626" s="790">
        <f>$A626*S626*$T$1</f>
        <v>0</v>
      </c>
    </row>
    <row r="627" spans="1:41" s="618" customFormat="1" ht="12">
      <c r="A627" s="645"/>
      <c r="B627" s="645"/>
      <c r="C627" s="645"/>
      <c r="D627" s="645"/>
      <c r="E627" s="645"/>
      <c r="F627" s="2"/>
      <c r="G627" s="645"/>
      <c r="H627" s="645"/>
      <c r="I627" s="646"/>
      <c r="J627" s="645"/>
      <c r="K627" s="645"/>
      <c r="L627" s="645"/>
      <c r="M627" s="645"/>
      <c r="N627" s="645"/>
      <c r="O627" s="645"/>
      <c r="P627" s="645"/>
      <c r="Q627" s="646"/>
      <c r="R627" s="647">
        <f t="shared" ref="R627" si="152">$A627*Q627</f>
        <v>0</v>
      </c>
      <c r="S627" s="646"/>
      <c r="T627" s="648">
        <f t="shared" ref="T627" si="153">$A627*S627*$T$1</f>
        <v>0</v>
      </c>
    </row>
    <row r="628" spans="1:41" s="618" customFormat="1" ht="12.6" thickBot="1">
      <c r="A628" s="649" t="s">
        <v>137</v>
      </c>
      <c r="B628" s="650">
        <f>(R627+T627)</f>
        <v>0</v>
      </c>
      <c r="C628" s="651"/>
      <c r="D628" s="651"/>
      <c r="E628" s="651"/>
      <c r="F628" s="652"/>
      <c r="G628" s="651" t="s">
        <v>503</v>
      </c>
      <c r="H628" s="651"/>
      <c r="I628" s="653"/>
      <c r="J628" s="651"/>
      <c r="K628" s="651" t="s">
        <v>5</v>
      </c>
      <c r="L628" s="654" t="s">
        <v>136</v>
      </c>
      <c r="M628" s="654"/>
      <c r="N628" s="654"/>
      <c r="O628" s="654"/>
      <c r="P628" s="654"/>
      <c r="Q628" s="655"/>
      <c r="R628" s="656">
        <f>SUM(R625:R627)</f>
        <v>345</v>
      </c>
      <c r="S628" s="651"/>
      <c r="T628" s="656">
        <f>SUM(T625:T627)</f>
        <v>0</v>
      </c>
      <c r="U628" s="621"/>
      <c r="V628" s="621"/>
      <c r="W628" s="621"/>
      <c r="X628" s="621"/>
      <c r="Y628" s="621"/>
      <c r="Z628" s="621"/>
      <c r="AA628" s="621"/>
      <c r="AB628" s="621"/>
      <c r="AC628" s="621"/>
      <c r="AD628" s="621"/>
      <c r="AE628" s="621"/>
      <c r="AF628" s="621"/>
      <c r="AG628" s="621"/>
      <c r="AH628" s="621"/>
      <c r="AI628" s="621"/>
      <c r="AJ628" s="621"/>
      <c r="AK628" s="621"/>
      <c r="AL628" s="621"/>
      <c r="AM628" s="621"/>
      <c r="AN628" s="621"/>
      <c r="AO628" s="621"/>
    </row>
    <row r="629" spans="1:41" s="618" customFormat="1" ht="12" thickTop="1">
      <c r="A629" s="616"/>
      <c r="B629" s="622"/>
      <c r="C629" s="616"/>
      <c r="E629" s="37" t="s">
        <v>491</v>
      </c>
      <c r="F629" s="37" t="s">
        <v>492</v>
      </c>
      <c r="G629" s="616"/>
      <c r="H629" s="616"/>
      <c r="I629" s="616"/>
      <c r="J629" s="616"/>
      <c r="K629" s="616" t="s">
        <v>493</v>
      </c>
      <c r="L629" s="616"/>
      <c r="M629" s="616"/>
      <c r="N629" s="616"/>
      <c r="O629" s="617"/>
      <c r="P629" s="616"/>
      <c r="Q629" s="616"/>
      <c r="R629" s="616"/>
      <c r="S629" s="616"/>
      <c r="T629" s="622"/>
      <c r="AG629" s="623" t="s">
        <v>494</v>
      </c>
      <c r="AH629" s="623" t="s">
        <v>495</v>
      </c>
      <c r="AI629" s="623" t="s">
        <v>496</v>
      </c>
      <c r="AJ629" s="623" t="s">
        <v>497</v>
      </c>
      <c r="AK629" s="623" t="s">
        <v>498</v>
      </c>
      <c r="AM629" s="624" t="s">
        <v>499</v>
      </c>
      <c r="AN629" s="625" t="s">
        <v>500</v>
      </c>
      <c r="AO629" s="626" t="s">
        <v>501</v>
      </c>
    </row>
    <row r="630" spans="1:41" s="618" customFormat="1" ht="12" customHeight="1">
      <c r="A630" s="627">
        <v>1</v>
      </c>
      <c r="B630" s="628" t="s">
        <v>255</v>
      </c>
      <c r="C630" s="629"/>
      <c r="D630" s="630" t="s">
        <v>604</v>
      </c>
      <c r="E630" s="859">
        <f>IF(AND($A630=0,$A$1="DIF"),0, ROUND(ROUND(($R634*$S$3+($T634*$T$3))/$A630,2)*$C$3,2))</f>
        <v>114.65</v>
      </c>
      <c r="F630" s="860">
        <f>ROUND($A630*$E630,2)</f>
        <v>114.65</v>
      </c>
      <c r="G630" s="88" t="s">
        <v>135</v>
      </c>
      <c r="H630" s="2"/>
      <c r="I630" s="633"/>
      <c r="J630" s="2"/>
      <c r="K630" s="2" t="s">
        <v>5</v>
      </c>
      <c r="L630" s="634" t="s">
        <v>136</v>
      </c>
      <c r="M630" s="634"/>
      <c r="N630" s="634"/>
      <c r="O630" s="634"/>
      <c r="P630" s="634"/>
      <c r="Q630" s="616"/>
      <c r="T630" s="864" t="str">
        <f>IF(AND($R634=0,$T634=0),"0.00","mu: "&amp; ROUND(F630/$C$3/($R634+$T634*$D$9),2))</f>
        <v>mu: 1</v>
      </c>
      <c r="W630" s="636"/>
      <c r="AG630" s="861">
        <f>IF($E630=0,0,ROUND($R634*$S$3*$C$3/$A630,2))</f>
        <v>114.65</v>
      </c>
      <c r="AH630" s="861">
        <f>$AG630*$A630</f>
        <v>114.65</v>
      </c>
      <c r="AI630" s="862">
        <f>$E630-$AG630</f>
        <v>0</v>
      </c>
      <c r="AJ630" s="862">
        <f>$A630*$AI630</f>
        <v>0</v>
      </c>
      <c r="AK630" s="863">
        <f>ROUND(($AG630+$AI630)*$A630,2)</f>
        <v>114.65</v>
      </c>
      <c r="AM630" s="640">
        <f>ROUND(R634,2)</f>
        <v>114.65</v>
      </c>
      <c r="AN630" s="641">
        <f>ROUND(T634,2)</f>
        <v>0</v>
      </c>
      <c r="AO630" s="642">
        <f>ROUND(AM630+AN630,2)*A630</f>
        <v>114.65</v>
      </c>
    </row>
    <row r="631" spans="1:41" s="618" customFormat="1" ht="13.2">
      <c r="A631" s="629"/>
      <c r="B631"/>
      <c r="C631" s="629"/>
      <c r="D631" s="630" t="s">
        <v>379</v>
      </c>
      <c r="F631" s="2"/>
      <c r="G631" s="3"/>
      <c r="H631" s="2"/>
      <c r="I631" s="633"/>
      <c r="J631" s="2"/>
      <c r="K631" s="2" t="s">
        <v>502</v>
      </c>
      <c r="L631" s="2"/>
      <c r="M631" s="2"/>
      <c r="N631" s="2"/>
      <c r="O631" s="2"/>
      <c r="P631" s="2"/>
      <c r="Q631" s="616"/>
      <c r="R631" s="643"/>
      <c r="S631" s="644"/>
      <c r="T631" s="2"/>
    </row>
    <row r="632" spans="1:41" s="783" customFormat="1" ht="13.2">
      <c r="A632" s="105">
        <v>1</v>
      </c>
      <c r="B632" s="783" t="s">
        <v>134</v>
      </c>
      <c r="D632" s="783" t="s">
        <v>379</v>
      </c>
      <c r="G632" s="784" t="s">
        <v>694</v>
      </c>
      <c r="H632" s="785">
        <v>752</v>
      </c>
      <c r="I632" s="783" t="s">
        <v>627</v>
      </c>
      <c r="O632" s="786">
        <v>3</v>
      </c>
      <c r="P632" s="787"/>
      <c r="Q632" s="788">
        <v>114.65</v>
      </c>
      <c r="R632" s="789">
        <f>$A632*Q632</f>
        <v>114.65</v>
      </c>
      <c r="S632" s="788"/>
      <c r="T632" s="790">
        <f>$A632*S632*$T$1</f>
        <v>0</v>
      </c>
    </row>
    <row r="633" spans="1:41" s="618" customFormat="1" ht="12">
      <c r="A633" s="645"/>
      <c r="B633" s="645"/>
      <c r="C633" s="645"/>
      <c r="D633" s="645"/>
      <c r="E633" s="645"/>
      <c r="F633" s="2"/>
      <c r="G633" s="645"/>
      <c r="H633" s="645"/>
      <c r="I633" s="646"/>
      <c r="J633" s="645"/>
      <c r="K633" s="645"/>
      <c r="L633" s="645"/>
      <c r="M633" s="645"/>
      <c r="N633" s="645"/>
      <c r="O633" s="645"/>
      <c r="P633" s="645"/>
      <c r="Q633" s="646"/>
      <c r="R633" s="647">
        <f t="shared" ref="R633" si="154">$A633*Q633</f>
        <v>0</v>
      </c>
      <c r="S633" s="646"/>
      <c r="T633" s="648">
        <f t="shared" ref="T633" si="155">$A633*S633*$T$1</f>
        <v>0</v>
      </c>
    </row>
    <row r="634" spans="1:41" s="618" customFormat="1" ht="12.6" thickBot="1">
      <c r="A634" s="649" t="s">
        <v>137</v>
      </c>
      <c r="B634" s="650">
        <f>(R633+T633)</f>
        <v>0</v>
      </c>
      <c r="C634" s="651"/>
      <c r="D634" s="651"/>
      <c r="E634" s="651"/>
      <c r="F634" s="652"/>
      <c r="G634" s="651" t="s">
        <v>503</v>
      </c>
      <c r="H634" s="651"/>
      <c r="I634" s="653"/>
      <c r="J634" s="651"/>
      <c r="K634" s="651" t="s">
        <v>5</v>
      </c>
      <c r="L634" s="654" t="s">
        <v>136</v>
      </c>
      <c r="M634" s="654"/>
      <c r="N634" s="654"/>
      <c r="O634" s="654"/>
      <c r="P634" s="654"/>
      <c r="Q634" s="655"/>
      <c r="R634" s="656">
        <f>SUM(R631:R633)</f>
        <v>114.65</v>
      </c>
      <c r="S634" s="651"/>
      <c r="T634" s="656">
        <f>SUM(T631:T633)</f>
        <v>0</v>
      </c>
      <c r="U634" s="621"/>
      <c r="V634" s="621"/>
      <c r="W634" s="621"/>
      <c r="X634" s="621"/>
      <c r="Y634" s="621"/>
      <c r="Z634" s="621"/>
      <c r="AA634" s="621"/>
      <c r="AB634" s="621"/>
      <c r="AC634" s="621"/>
      <c r="AD634" s="621"/>
      <c r="AE634" s="621"/>
      <c r="AF634" s="621"/>
      <c r="AG634" s="621"/>
      <c r="AH634" s="621"/>
      <c r="AI634" s="621"/>
      <c r="AJ634" s="621"/>
      <c r="AK634" s="621"/>
      <c r="AL634" s="621"/>
      <c r="AM634" s="621"/>
      <c r="AN634" s="621"/>
      <c r="AO634" s="621"/>
    </row>
    <row r="635" spans="1:41" s="618" customFormat="1" ht="12" thickTop="1">
      <c r="A635" s="616"/>
      <c r="B635" s="622"/>
      <c r="C635" s="616"/>
      <c r="E635" s="37" t="s">
        <v>491</v>
      </c>
      <c r="F635" s="37" t="s">
        <v>492</v>
      </c>
      <c r="G635" s="616"/>
      <c r="H635" s="616"/>
      <c r="I635" s="616"/>
      <c r="J635" s="616"/>
      <c r="K635" s="616" t="s">
        <v>493</v>
      </c>
      <c r="L635" s="616"/>
      <c r="M635" s="616"/>
      <c r="N635" s="616"/>
      <c r="O635" s="617"/>
      <c r="P635" s="616"/>
      <c r="Q635" s="616"/>
      <c r="R635" s="616"/>
      <c r="S635" s="616"/>
      <c r="T635" s="622"/>
      <c r="AG635" s="623" t="s">
        <v>494</v>
      </c>
      <c r="AH635" s="623" t="s">
        <v>495</v>
      </c>
      <c r="AI635" s="623" t="s">
        <v>496</v>
      </c>
      <c r="AJ635" s="623" t="s">
        <v>497</v>
      </c>
      <c r="AK635" s="623" t="s">
        <v>498</v>
      </c>
      <c r="AM635" s="624" t="s">
        <v>499</v>
      </c>
      <c r="AN635" s="625" t="s">
        <v>500</v>
      </c>
      <c r="AO635" s="626" t="s">
        <v>501</v>
      </c>
    </row>
    <row r="636" spans="1:41" s="618" customFormat="1" ht="12" customHeight="1">
      <c r="A636" s="627">
        <v>5</v>
      </c>
      <c r="B636" s="628" t="s">
        <v>294</v>
      </c>
      <c r="C636" s="629"/>
      <c r="D636" s="630" t="s">
        <v>605</v>
      </c>
      <c r="E636" s="859">
        <f>IF(AND($A636=0,$A$1="DIF"),0, ROUND(ROUND(($R640*$S$3+($T640*$T$3))/$A636,2)*$C$3,2))</f>
        <v>20.09</v>
      </c>
      <c r="F636" s="860">
        <f>ROUND($A636*$E636,2)</f>
        <v>100.45</v>
      </c>
      <c r="G636" s="88" t="s">
        <v>135</v>
      </c>
      <c r="H636" s="2"/>
      <c r="I636" s="633"/>
      <c r="J636" s="2"/>
      <c r="K636" s="2" t="s">
        <v>5</v>
      </c>
      <c r="L636" s="634" t="s">
        <v>136</v>
      </c>
      <c r="M636" s="634"/>
      <c r="N636" s="634"/>
      <c r="O636" s="634"/>
      <c r="P636" s="634"/>
      <c r="Q636" s="616"/>
      <c r="T636" s="864" t="str">
        <f>IF(AND($R640=0,$T640=0),"0.00","mu: "&amp; ROUND(F636/$C$3/($R640+$T640*$D$9),2))</f>
        <v>mu: 1</v>
      </c>
      <c r="W636" s="636"/>
      <c r="AG636" s="861">
        <f>IF($E636=0,0,ROUND($R640*$S$3*$C$3/$A636,2))</f>
        <v>20.09</v>
      </c>
      <c r="AH636" s="861">
        <f>$AG636*$A636</f>
        <v>100.45</v>
      </c>
      <c r="AI636" s="862">
        <f>$E636-$AG636</f>
        <v>0</v>
      </c>
      <c r="AJ636" s="862">
        <f>$A636*$AI636</f>
        <v>0</v>
      </c>
      <c r="AK636" s="863">
        <f>ROUND(($AG636+$AI636)*$A636,2)</f>
        <v>100.45</v>
      </c>
      <c r="AM636" s="640">
        <f>ROUND(R640,2)</f>
        <v>100.43</v>
      </c>
      <c r="AN636" s="641">
        <f>ROUND(T640,2)</f>
        <v>0</v>
      </c>
      <c r="AO636" s="642">
        <f>ROUND(AM636+AN636,2)*A636</f>
        <v>502.15000000000003</v>
      </c>
    </row>
    <row r="637" spans="1:41" s="618" customFormat="1" ht="13.2">
      <c r="A637" s="629"/>
      <c r="B637"/>
      <c r="C637" s="629"/>
      <c r="D637" s="630" t="s">
        <v>380</v>
      </c>
      <c r="F637" s="2"/>
      <c r="G637" s="3"/>
      <c r="H637" s="2"/>
      <c r="I637" s="633"/>
      <c r="J637" s="2"/>
      <c r="K637" s="2" t="s">
        <v>502</v>
      </c>
      <c r="L637" s="2"/>
      <c r="M637" s="2"/>
      <c r="N637" s="2"/>
      <c r="O637" s="2"/>
      <c r="P637" s="2"/>
      <c r="Q637" s="616"/>
      <c r="R637" s="643"/>
      <c r="S637" s="644"/>
      <c r="T637" s="2"/>
    </row>
    <row r="638" spans="1:41" s="783" customFormat="1" ht="13.2">
      <c r="A638" s="105">
        <v>5</v>
      </c>
      <c r="B638" s="783" t="s">
        <v>134</v>
      </c>
      <c r="D638" s="783" t="s">
        <v>696</v>
      </c>
      <c r="G638" s="784" t="s">
        <v>694</v>
      </c>
      <c r="H638" s="785">
        <v>752</v>
      </c>
      <c r="I638" s="783" t="s">
        <v>627</v>
      </c>
      <c r="O638" s="786">
        <v>3</v>
      </c>
      <c r="P638" s="787"/>
      <c r="Q638" s="788">
        <f>100.43/5</f>
        <v>20.086000000000002</v>
      </c>
      <c r="R638" s="789">
        <f>$A638*Q638</f>
        <v>100.43</v>
      </c>
      <c r="S638" s="788"/>
      <c r="T638" s="790">
        <f>$A638*S638*$T$1</f>
        <v>0</v>
      </c>
    </row>
    <row r="639" spans="1:41" s="618" customFormat="1" ht="12">
      <c r="A639" s="645"/>
      <c r="B639" s="645"/>
      <c r="C639" s="645"/>
      <c r="D639" s="645"/>
      <c r="E639" s="645"/>
      <c r="F639" s="2"/>
      <c r="G639" s="645"/>
      <c r="H639" s="645"/>
      <c r="I639" s="646"/>
      <c r="J639" s="645"/>
      <c r="K639" s="645"/>
      <c r="L639" s="645"/>
      <c r="M639" s="645"/>
      <c r="N639" s="645"/>
      <c r="O639" s="645"/>
      <c r="P639" s="645"/>
      <c r="Q639" s="646"/>
      <c r="R639" s="647">
        <f t="shared" ref="R639" si="156">$A639*Q639</f>
        <v>0</v>
      </c>
      <c r="S639" s="646"/>
      <c r="T639" s="648">
        <f t="shared" ref="T639" si="157">$A639*S639*$T$1</f>
        <v>0</v>
      </c>
    </row>
    <row r="640" spans="1:41" s="618" customFormat="1" ht="12.6" thickBot="1">
      <c r="A640" s="649" t="s">
        <v>137</v>
      </c>
      <c r="B640" s="650">
        <f>(R639+T639)</f>
        <v>0</v>
      </c>
      <c r="C640" s="651"/>
      <c r="D640" s="651"/>
      <c r="E640" s="651"/>
      <c r="F640" s="652"/>
      <c r="G640" s="651" t="s">
        <v>503</v>
      </c>
      <c r="H640" s="651"/>
      <c r="I640" s="653"/>
      <c r="J640" s="651"/>
      <c r="K640" s="651" t="s">
        <v>5</v>
      </c>
      <c r="L640" s="654" t="s">
        <v>136</v>
      </c>
      <c r="M640" s="654"/>
      <c r="N640" s="654"/>
      <c r="O640" s="654"/>
      <c r="P640" s="654"/>
      <c r="Q640" s="655"/>
      <c r="R640" s="656">
        <f>SUM(R637:R639)</f>
        <v>100.43</v>
      </c>
      <c r="S640" s="651"/>
      <c r="T640" s="656">
        <f>SUM(T637:T639)</f>
        <v>0</v>
      </c>
      <c r="U640" s="621"/>
      <c r="V640" s="621"/>
      <c r="W640" s="621"/>
      <c r="X640" s="621"/>
      <c r="Y640" s="621"/>
      <c r="Z640" s="621"/>
      <c r="AA640" s="621"/>
      <c r="AB640" s="621"/>
      <c r="AC640" s="621"/>
      <c r="AD640" s="621"/>
      <c r="AE640" s="621"/>
      <c r="AF640" s="621"/>
      <c r="AG640" s="621"/>
      <c r="AH640" s="621"/>
      <c r="AI640" s="621"/>
      <c r="AJ640" s="621"/>
      <c r="AK640" s="621"/>
      <c r="AL640" s="621"/>
      <c r="AM640" s="621"/>
      <c r="AN640" s="621"/>
      <c r="AO640" s="621"/>
    </row>
    <row r="641" spans="1:41" s="618" customFormat="1" ht="12" thickTop="1">
      <c r="A641" s="616"/>
      <c r="B641" s="622"/>
      <c r="C641" s="616"/>
      <c r="E641" s="37" t="s">
        <v>491</v>
      </c>
      <c r="F641" s="37" t="s">
        <v>492</v>
      </c>
      <c r="G641" s="616"/>
      <c r="H641" s="616"/>
      <c r="I641" s="616"/>
      <c r="J641" s="616"/>
      <c r="K641" s="616" t="s">
        <v>493</v>
      </c>
      <c r="L641" s="616"/>
      <c r="M641" s="616"/>
      <c r="N641" s="616"/>
      <c r="O641" s="617"/>
      <c r="P641" s="616"/>
      <c r="Q641" s="616"/>
      <c r="R641" s="616"/>
      <c r="S641" s="616"/>
      <c r="T641" s="622"/>
      <c r="AG641" s="623" t="s">
        <v>494</v>
      </c>
      <c r="AH641" s="623" t="s">
        <v>495</v>
      </c>
      <c r="AI641" s="623" t="s">
        <v>496</v>
      </c>
      <c r="AJ641" s="623" t="s">
        <v>497</v>
      </c>
      <c r="AK641" s="623" t="s">
        <v>498</v>
      </c>
      <c r="AM641" s="624" t="s">
        <v>499</v>
      </c>
      <c r="AN641" s="625" t="s">
        <v>500</v>
      </c>
      <c r="AO641" s="626" t="s">
        <v>501</v>
      </c>
    </row>
    <row r="642" spans="1:41" s="618" customFormat="1" ht="12" customHeight="1">
      <c r="A642" s="627">
        <v>1</v>
      </c>
      <c r="B642" s="628" t="s">
        <v>294</v>
      </c>
      <c r="C642" s="629"/>
      <c r="D642" s="630" t="s">
        <v>604</v>
      </c>
      <c r="E642" s="859">
        <f>IF(AND($A642=0,$A$1="DIF"),0, ROUND(ROUND(($R646*$S$3+($T646*$T$3))/$A642,2)*$C$3,2))</f>
        <v>5</v>
      </c>
      <c r="F642" s="860">
        <f>ROUND($A642*$E642,2)</f>
        <v>5</v>
      </c>
      <c r="G642" s="88" t="s">
        <v>135</v>
      </c>
      <c r="H642" s="2"/>
      <c r="I642" s="633"/>
      <c r="J642" s="2"/>
      <c r="K642" s="2" t="s">
        <v>5</v>
      </c>
      <c r="L642" s="634" t="s">
        <v>136</v>
      </c>
      <c r="M642" s="634"/>
      <c r="N642" s="634"/>
      <c r="O642" s="634"/>
      <c r="P642" s="634"/>
      <c r="Q642" s="616"/>
      <c r="T642" s="864" t="str">
        <f>IF(AND($R646=0,$T646=0),"0.00","mu: "&amp; ROUND(F642/$C$3/($R646+$T646*$D$9),2))</f>
        <v>mu: 1</v>
      </c>
      <c r="W642" s="636"/>
      <c r="AG642" s="861">
        <f>IF($E642=0,0,ROUND($R646*$S$3*$C$3/$A642,2))</f>
        <v>5</v>
      </c>
      <c r="AH642" s="861">
        <f>$AG642*$A642</f>
        <v>5</v>
      </c>
      <c r="AI642" s="862">
        <f>$E642-$AG642</f>
        <v>0</v>
      </c>
      <c r="AJ642" s="862">
        <f>$A642*$AI642</f>
        <v>0</v>
      </c>
      <c r="AK642" s="863">
        <f>ROUND(($AG642+$AI642)*$A642,2)</f>
        <v>5</v>
      </c>
      <c r="AM642" s="640">
        <f>ROUND(R646,2)</f>
        <v>5</v>
      </c>
      <c r="AN642" s="641">
        <f>ROUND(T646,2)</f>
        <v>0</v>
      </c>
      <c r="AO642" s="642">
        <f>ROUND(AM642+AN642,2)*A642</f>
        <v>5</v>
      </c>
    </row>
    <row r="643" spans="1:41" s="618" customFormat="1" ht="13.2">
      <c r="A643" s="629"/>
      <c r="B643"/>
      <c r="C643" s="629"/>
      <c r="D643" s="630" t="s">
        <v>381</v>
      </c>
      <c r="F643" s="2"/>
      <c r="G643" s="3"/>
      <c r="H643" s="2"/>
      <c r="I643" s="633"/>
      <c r="J643" s="2"/>
      <c r="K643" s="2" t="s">
        <v>502</v>
      </c>
      <c r="L643" s="2"/>
      <c r="M643" s="2"/>
      <c r="N643" s="2"/>
      <c r="O643" s="2"/>
      <c r="P643" s="2"/>
      <c r="Q643" s="616"/>
      <c r="R643" s="643"/>
      <c r="S643" s="644"/>
      <c r="T643" s="2"/>
    </row>
    <row r="644" spans="1:41" s="783" customFormat="1" ht="13.2">
      <c r="A644" s="105">
        <v>1</v>
      </c>
      <c r="B644" s="783" t="s">
        <v>134</v>
      </c>
      <c r="D644" s="783" t="s">
        <v>697</v>
      </c>
      <c r="G644" s="784" t="s">
        <v>694</v>
      </c>
      <c r="H644" s="785">
        <v>752</v>
      </c>
      <c r="I644" s="783" t="s">
        <v>627</v>
      </c>
      <c r="O644" s="786">
        <v>3</v>
      </c>
      <c r="P644" s="787"/>
      <c r="Q644" s="788">
        <v>5</v>
      </c>
      <c r="R644" s="789">
        <f>$A644*Q644</f>
        <v>5</v>
      </c>
      <c r="S644" s="788"/>
      <c r="T644" s="790">
        <f>$A644*S644*$T$1</f>
        <v>0</v>
      </c>
    </row>
    <row r="645" spans="1:41" s="618" customFormat="1" ht="12">
      <c r="A645" s="645"/>
      <c r="B645" s="645"/>
      <c r="C645" s="645"/>
      <c r="D645" s="645"/>
      <c r="E645" s="645"/>
      <c r="F645" s="2"/>
      <c r="G645" s="645"/>
      <c r="H645" s="645"/>
      <c r="I645" s="646"/>
      <c r="J645" s="645"/>
      <c r="K645" s="645"/>
      <c r="L645" s="645"/>
      <c r="M645" s="645"/>
      <c r="N645" s="645"/>
      <c r="O645" s="645"/>
      <c r="P645" s="645"/>
      <c r="Q645" s="646"/>
      <c r="R645" s="647">
        <f t="shared" ref="R645" si="158">$A645*Q645</f>
        <v>0</v>
      </c>
      <c r="S645" s="646"/>
      <c r="T645" s="648">
        <f t="shared" ref="T645" si="159">$A645*S645*$T$1</f>
        <v>0</v>
      </c>
    </row>
    <row r="646" spans="1:41" s="618" customFormat="1" ht="12.6" thickBot="1">
      <c r="A646" s="649" t="s">
        <v>137</v>
      </c>
      <c r="B646" s="650">
        <f>(R645+T645)</f>
        <v>0</v>
      </c>
      <c r="C646" s="651"/>
      <c r="D646" s="651"/>
      <c r="E646" s="651"/>
      <c r="F646" s="652"/>
      <c r="G646" s="651" t="s">
        <v>503</v>
      </c>
      <c r="H646" s="651"/>
      <c r="I646" s="653"/>
      <c r="J646" s="651"/>
      <c r="K646" s="651" t="s">
        <v>5</v>
      </c>
      <c r="L646" s="654" t="s">
        <v>136</v>
      </c>
      <c r="M646" s="654"/>
      <c r="N646" s="654"/>
      <c r="O646" s="654"/>
      <c r="P646" s="654"/>
      <c r="Q646" s="655"/>
      <c r="R646" s="656">
        <f>SUM(R643:R645)</f>
        <v>5</v>
      </c>
      <c r="S646" s="651"/>
      <c r="T646" s="656">
        <f>SUM(T643:T645)</f>
        <v>0</v>
      </c>
      <c r="U646" s="621"/>
      <c r="V646" s="621"/>
      <c r="W646" s="621"/>
      <c r="X646" s="621"/>
      <c r="Y646" s="621"/>
      <c r="Z646" s="621"/>
      <c r="AA646" s="621"/>
      <c r="AB646" s="621"/>
      <c r="AC646" s="621"/>
      <c r="AD646" s="621"/>
      <c r="AE646" s="621"/>
      <c r="AF646" s="621"/>
      <c r="AG646" s="621"/>
      <c r="AH646" s="621"/>
      <c r="AI646" s="621"/>
      <c r="AJ646" s="621"/>
      <c r="AK646" s="621"/>
      <c r="AL646" s="621"/>
      <c r="AM646" s="621"/>
      <c r="AN646" s="621"/>
      <c r="AO646" s="621"/>
    </row>
    <row r="647" spans="1:41" s="618" customFormat="1" ht="12" thickTop="1">
      <c r="A647" s="616"/>
      <c r="B647" s="622"/>
      <c r="C647" s="616"/>
      <c r="E647" s="37" t="s">
        <v>491</v>
      </c>
      <c r="F647" s="37" t="s">
        <v>492</v>
      </c>
      <c r="G647" s="616"/>
      <c r="H647" s="616"/>
      <c r="I647" s="616"/>
      <c r="J647" s="616"/>
      <c r="K647" s="616" t="s">
        <v>493</v>
      </c>
      <c r="L647" s="616"/>
      <c r="M647" s="616"/>
      <c r="N647" s="616"/>
      <c r="O647" s="617"/>
      <c r="P647" s="616"/>
      <c r="Q647" s="616"/>
      <c r="R647" s="616"/>
      <c r="S647" s="616"/>
      <c r="T647" s="622"/>
      <c r="AG647" s="623" t="s">
        <v>494</v>
      </c>
      <c r="AH647" s="623" t="s">
        <v>495</v>
      </c>
      <c r="AI647" s="623" t="s">
        <v>496</v>
      </c>
      <c r="AJ647" s="623" t="s">
        <v>497</v>
      </c>
      <c r="AK647" s="623" t="s">
        <v>498</v>
      </c>
      <c r="AM647" s="624" t="s">
        <v>499</v>
      </c>
      <c r="AN647" s="625" t="s">
        <v>500</v>
      </c>
      <c r="AO647" s="626" t="s">
        <v>501</v>
      </c>
    </row>
    <row r="648" spans="1:41" s="618" customFormat="1" ht="12" customHeight="1">
      <c r="A648" s="627">
        <v>1</v>
      </c>
      <c r="B648" s="628" t="s">
        <v>294</v>
      </c>
      <c r="C648" s="629"/>
      <c r="D648" s="630" t="s">
        <v>606</v>
      </c>
      <c r="E648" s="859">
        <f>IF(AND($A648=0,$A$1="DIF"),0, ROUND(ROUND(($R652*$S$3+($T652*$T$3))/$A648,2)*$C$3,2))</f>
        <v>5</v>
      </c>
      <c r="F648" s="860">
        <f>ROUND($A648*$E648,2)</f>
        <v>5</v>
      </c>
      <c r="G648" s="88" t="s">
        <v>135</v>
      </c>
      <c r="H648" s="2"/>
      <c r="I648" s="633"/>
      <c r="J648" s="2"/>
      <c r="K648" s="2" t="s">
        <v>5</v>
      </c>
      <c r="L648" s="634" t="s">
        <v>136</v>
      </c>
      <c r="M648" s="634"/>
      <c r="N648" s="634"/>
      <c r="O648" s="634"/>
      <c r="P648" s="634"/>
      <c r="Q648" s="616"/>
      <c r="T648" s="864" t="str">
        <f>IF(AND($R652=0,$T652=0),"0.00","mu: "&amp; ROUND(F648/$C$3/($R652+$T652*$D$9),2))</f>
        <v>mu: 1</v>
      </c>
      <c r="W648" s="636"/>
      <c r="AG648" s="861">
        <f>IF($E648=0,0,ROUND($R652*$S$3*$C$3/$A648,2))</f>
        <v>5</v>
      </c>
      <c r="AH648" s="861">
        <f>$AG648*$A648</f>
        <v>5</v>
      </c>
      <c r="AI648" s="862">
        <f>$E648-$AG648</f>
        <v>0</v>
      </c>
      <c r="AJ648" s="862">
        <f>$A648*$AI648</f>
        <v>0</v>
      </c>
      <c r="AK648" s="863">
        <f>ROUND(($AG648+$AI648)*$A648,2)</f>
        <v>5</v>
      </c>
      <c r="AM648" s="640">
        <f>ROUND(R652,2)</f>
        <v>5</v>
      </c>
      <c r="AN648" s="641">
        <f>ROUND(T652,2)</f>
        <v>0</v>
      </c>
      <c r="AO648" s="642">
        <f>ROUND(AM648+AN648,2)*A648</f>
        <v>5</v>
      </c>
    </row>
    <row r="649" spans="1:41" s="618" customFormat="1" ht="13.2">
      <c r="A649" s="629"/>
      <c r="B649"/>
      <c r="C649" s="629"/>
      <c r="D649" s="630" t="s">
        <v>382</v>
      </c>
      <c r="F649" s="2"/>
      <c r="G649" s="3"/>
      <c r="H649" s="2"/>
      <c r="I649" s="633"/>
      <c r="J649" s="2"/>
      <c r="K649" s="2" t="s">
        <v>502</v>
      </c>
      <c r="L649" s="2"/>
      <c r="M649" s="2"/>
      <c r="N649" s="2"/>
      <c r="O649" s="2"/>
      <c r="P649" s="2"/>
      <c r="Q649" s="616"/>
      <c r="R649" s="643"/>
      <c r="S649" s="644"/>
      <c r="T649" s="2"/>
    </row>
    <row r="650" spans="1:41" s="783" customFormat="1" ht="13.2">
      <c r="A650" s="105">
        <v>1</v>
      </c>
      <c r="B650" s="783" t="s">
        <v>134</v>
      </c>
      <c r="D650" s="783" t="s">
        <v>697</v>
      </c>
      <c r="G650" s="784" t="s">
        <v>694</v>
      </c>
      <c r="H650" s="785">
        <v>752</v>
      </c>
      <c r="I650" s="783" t="s">
        <v>627</v>
      </c>
      <c r="O650" s="786">
        <v>3</v>
      </c>
      <c r="P650" s="787"/>
      <c r="Q650" s="788">
        <v>5</v>
      </c>
      <c r="R650" s="789">
        <f>$A650*Q650</f>
        <v>5</v>
      </c>
      <c r="S650" s="788"/>
      <c r="T650" s="790">
        <f>$A650*S650*$T$1</f>
        <v>0</v>
      </c>
    </row>
    <row r="651" spans="1:41" s="618" customFormat="1" ht="12">
      <c r="A651" s="645"/>
      <c r="B651" s="645"/>
      <c r="C651" s="645"/>
      <c r="D651" s="645"/>
      <c r="E651" s="645"/>
      <c r="F651" s="2"/>
      <c r="G651" s="645"/>
      <c r="H651" s="645"/>
      <c r="I651" s="646"/>
      <c r="J651" s="645"/>
      <c r="K651" s="645"/>
      <c r="L651" s="645"/>
      <c r="M651" s="645"/>
      <c r="N651" s="645"/>
      <c r="O651" s="645"/>
      <c r="P651" s="645"/>
      <c r="Q651" s="646"/>
      <c r="R651" s="647">
        <f t="shared" ref="R651" si="160">$A651*Q651</f>
        <v>0</v>
      </c>
      <c r="S651" s="646"/>
      <c r="T651" s="648">
        <f t="shared" ref="T651" si="161">$A651*S651*$T$1</f>
        <v>0</v>
      </c>
    </row>
    <row r="652" spans="1:41" s="618" customFormat="1" ht="12.6" thickBot="1">
      <c r="A652" s="649" t="s">
        <v>137</v>
      </c>
      <c r="B652" s="650">
        <f>(R651+T651)</f>
        <v>0</v>
      </c>
      <c r="C652" s="651"/>
      <c r="D652" s="651"/>
      <c r="E652" s="651"/>
      <c r="F652" s="652"/>
      <c r="G652" s="651" t="s">
        <v>503</v>
      </c>
      <c r="H652" s="651"/>
      <c r="I652" s="653"/>
      <c r="J652" s="651"/>
      <c r="K652" s="651" t="s">
        <v>5</v>
      </c>
      <c r="L652" s="654" t="s">
        <v>136</v>
      </c>
      <c r="M652" s="654"/>
      <c r="N652" s="654"/>
      <c r="O652" s="654"/>
      <c r="P652" s="654"/>
      <c r="Q652" s="655"/>
      <c r="R652" s="656">
        <f>SUM(R649:R651)</f>
        <v>5</v>
      </c>
      <c r="S652" s="651"/>
      <c r="T652" s="656">
        <f>SUM(T649:T651)</f>
        <v>0</v>
      </c>
      <c r="U652" s="621"/>
      <c r="V652" s="621"/>
      <c r="W652" s="621"/>
      <c r="X652" s="621"/>
      <c r="Y652" s="621"/>
      <c r="Z652" s="621"/>
      <c r="AA652" s="621"/>
      <c r="AB652" s="621"/>
      <c r="AC652" s="621"/>
      <c r="AD652" s="621"/>
      <c r="AE652" s="621"/>
      <c r="AF652" s="621"/>
      <c r="AG652" s="621"/>
      <c r="AH652" s="621"/>
      <c r="AI652" s="621"/>
      <c r="AJ652" s="621"/>
      <c r="AK652" s="621"/>
      <c r="AL652" s="621"/>
      <c r="AM652" s="621"/>
      <c r="AN652" s="621"/>
      <c r="AO652" s="621"/>
    </row>
    <row r="653" spans="1:41" s="618" customFormat="1" ht="12" thickTop="1">
      <c r="A653" s="616"/>
      <c r="B653" s="622"/>
      <c r="C653" s="616"/>
      <c r="E653" s="37" t="s">
        <v>491</v>
      </c>
      <c r="F653" s="37" t="s">
        <v>492</v>
      </c>
      <c r="G653" s="616"/>
      <c r="H653" s="616"/>
      <c r="I653" s="616"/>
      <c r="J653" s="616"/>
      <c r="K653" s="616" t="s">
        <v>493</v>
      </c>
      <c r="L653" s="616"/>
      <c r="M653" s="616"/>
      <c r="N653" s="616"/>
      <c r="O653" s="617"/>
      <c r="P653" s="616"/>
      <c r="Q653" s="616"/>
      <c r="R653" s="616"/>
      <c r="S653" s="616"/>
      <c r="T653" s="622"/>
      <c r="AG653" s="623" t="s">
        <v>494</v>
      </c>
      <c r="AH653" s="623" t="s">
        <v>495</v>
      </c>
      <c r="AI653" s="623" t="s">
        <v>496</v>
      </c>
      <c r="AJ653" s="623" t="s">
        <v>497</v>
      </c>
      <c r="AK653" s="623" t="s">
        <v>498</v>
      </c>
      <c r="AM653" s="624" t="s">
        <v>499</v>
      </c>
      <c r="AN653" s="625" t="s">
        <v>500</v>
      </c>
      <c r="AO653" s="626" t="s">
        <v>501</v>
      </c>
    </row>
    <row r="654" spans="1:41" s="618" customFormat="1" ht="12" customHeight="1">
      <c r="A654" s="627">
        <v>5</v>
      </c>
      <c r="B654" s="628" t="s">
        <v>294</v>
      </c>
      <c r="C654" s="629"/>
      <c r="D654" s="630" t="s">
        <v>607</v>
      </c>
      <c r="E654" s="859">
        <f>IF(AND($A654=0,$A$1="DIF"),0, ROUND(ROUND(($R658*$S$3+($T658*$T$3))/$A654,2)*$C$3,2))</f>
        <v>26</v>
      </c>
      <c r="F654" s="860">
        <f>ROUND($A654*$E654,2)</f>
        <v>130</v>
      </c>
      <c r="G654" s="88" t="s">
        <v>135</v>
      </c>
      <c r="H654" s="2"/>
      <c r="I654" s="633"/>
      <c r="J654" s="2"/>
      <c r="K654" s="2" t="s">
        <v>5</v>
      </c>
      <c r="L654" s="634" t="s">
        <v>136</v>
      </c>
      <c r="M654" s="634"/>
      <c r="N654" s="634"/>
      <c r="O654" s="634"/>
      <c r="P654" s="634"/>
      <c r="Q654" s="616"/>
      <c r="T654" s="864" t="str">
        <f>IF(AND($R658=0,$T658=0),"0.00","mu: "&amp; ROUND(F654/$C$3/($R658+$T658*$D$9),2))</f>
        <v>mu: 1</v>
      </c>
      <c r="W654" s="636"/>
      <c r="AG654" s="861">
        <f>IF($E654=0,0,ROUND($R658*$S$3*$C$3/$A654,2))</f>
        <v>26</v>
      </c>
      <c r="AH654" s="861">
        <f>$AG654*$A654</f>
        <v>130</v>
      </c>
      <c r="AI654" s="862">
        <f>$E654-$AG654</f>
        <v>0</v>
      </c>
      <c r="AJ654" s="862">
        <f>$A654*$AI654</f>
        <v>0</v>
      </c>
      <c r="AK654" s="863">
        <f>ROUND(($AG654+$AI654)*$A654,2)</f>
        <v>130</v>
      </c>
      <c r="AM654" s="640">
        <f>ROUND(R658,2)</f>
        <v>130</v>
      </c>
      <c r="AN654" s="641">
        <f>ROUND(T658,2)</f>
        <v>0</v>
      </c>
      <c r="AO654" s="642">
        <f>ROUND(AM654+AN654,2)*A654</f>
        <v>650</v>
      </c>
    </row>
    <row r="655" spans="1:41" s="618" customFormat="1" ht="13.2">
      <c r="A655" s="629"/>
      <c r="B655"/>
      <c r="C655" s="629"/>
      <c r="D655" s="630" t="s">
        <v>383</v>
      </c>
      <c r="F655" s="2"/>
      <c r="G655" s="3"/>
      <c r="H655" s="2"/>
      <c r="I655" s="633"/>
      <c r="J655" s="2"/>
      <c r="K655" s="2" t="s">
        <v>502</v>
      </c>
      <c r="L655" s="2"/>
      <c r="M655" s="2"/>
      <c r="N655" s="2"/>
      <c r="O655" s="2"/>
      <c r="P655" s="2"/>
      <c r="Q655" s="616"/>
      <c r="R655" s="643"/>
      <c r="S655" s="644"/>
      <c r="T655" s="2"/>
    </row>
    <row r="656" spans="1:41" s="783" customFormat="1" ht="13.2">
      <c r="A656" s="105">
        <v>5</v>
      </c>
      <c r="B656" s="783" t="s">
        <v>134</v>
      </c>
      <c r="D656" s="783" t="s">
        <v>698</v>
      </c>
      <c r="G656" s="784" t="s">
        <v>694</v>
      </c>
      <c r="H656" s="785">
        <v>752</v>
      </c>
      <c r="I656" s="783" t="s">
        <v>627</v>
      </c>
      <c r="O656" s="786">
        <v>3</v>
      </c>
      <c r="P656" s="787"/>
      <c r="Q656" s="788">
        <f>130/5</f>
        <v>26</v>
      </c>
      <c r="R656" s="789">
        <f>$A656*Q656</f>
        <v>130</v>
      </c>
      <c r="S656" s="788"/>
      <c r="T656" s="790">
        <f>$A656*S656*$T$1</f>
        <v>0</v>
      </c>
    </row>
    <row r="657" spans="1:41" s="618" customFormat="1" ht="12">
      <c r="A657" s="645"/>
      <c r="B657" s="645"/>
      <c r="C657" s="645"/>
      <c r="D657" s="645"/>
      <c r="E657" s="645"/>
      <c r="F657" s="2"/>
      <c r="G657" s="645"/>
      <c r="H657" s="645"/>
      <c r="I657" s="646"/>
      <c r="J657" s="645"/>
      <c r="K657" s="645"/>
      <c r="L657" s="645"/>
      <c r="M657" s="645"/>
      <c r="N657" s="645"/>
      <c r="O657" s="645"/>
      <c r="P657" s="645"/>
      <c r="Q657" s="646"/>
      <c r="R657" s="647">
        <f t="shared" ref="R657" si="162">$A657*Q657</f>
        <v>0</v>
      </c>
      <c r="S657" s="646"/>
      <c r="T657" s="648">
        <f t="shared" ref="T657" si="163">$A657*S657*$T$1</f>
        <v>0</v>
      </c>
    </row>
    <row r="658" spans="1:41" s="618" customFormat="1" ht="12.6" thickBot="1">
      <c r="A658" s="649" t="s">
        <v>137</v>
      </c>
      <c r="B658" s="650">
        <f>(R657+T657)</f>
        <v>0</v>
      </c>
      <c r="C658" s="651"/>
      <c r="D658" s="651"/>
      <c r="E658" s="651"/>
      <c r="F658" s="652"/>
      <c r="G658" s="651" t="s">
        <v>503</v>
      </c>
      <c r="H658" s="651"/>
      <c r="I658" s="653"/>
      <c r="J658" s="651"/>
      <c r="K658" s="651" t="s">
        <v>5</v>
      </c>
      <c r="L658" s="654" t="s">
        <v>136</v>
      </c>
      <c r="M658" s="654"/>
      <c r="N658" s="654"/>
      <c r="O658" s="654"/>
      <c r="P658" s="654"/>
      <c r="Q658" s="655"/>
      <c r="R658" s="656">
        <f>SUM(R655:R657)</f>
        <v>130</v>
      </c>
      <c r="S658" s="651"/>
      <c r="T658" s="656">
        <f>SUM(T655:T657)</f>
        <v>0</v>
      </c>
      <c r="U658" s="621"/>
      <c r="V658" s="621"/>
      <c r="W658" s="621"/>
      <c r="X658" s="621"/>
      <c r="Y658" s="621"/>
      <c r="Z658" s="621"/>
      <c r="AA658" s="621"/>
      <c r="AB658" s="621"/>
      <c r="AC658" s="621"/>
      <c r="AD658" s="621"/>
      <c r="AE658" s="621"/>
      <c r="AF658" s="621"/>
      <c r="AG658" s="621"/>
      <c r="AH658" s="621"/>
      <c r="AI658" s="621"/>
      <c r="AJ658" s="621"/>
      <c r="AK658" s="621"/>
      <c r="AL658" s="621"/>
      <c r="AM658" s="621"/>
      <c r="AN658" s="621"/>
      <c r="AO658" s="621"/>
    </row>
    <row r="659" spans="1:41" s="618" customFormat="1" thickTop="1">
      <c r="A659" s="616"/>
      <c r="B659" s="622"/>
      <c r="C659" s="616"/>
      <c r="E659" s="37" t="s">
        <v>491</v>
      </c>
      <c r="F659" s="37" t="s">
        <v>492</v>
      </c>
      <c r="G659" s="616"/>
      <c r="H659" s="616"/>
      <c r="I659" s="616"/>
      <c r="J659" s="616"/>
      <c r="K659" s="616" t="s">
        <v>493</v>
      </c>
      <c r="L659" s="913"/>
      <c r="M659" s="616"/>
      <c r="N659" s="616"/>
      <c r="O659" s="617"/>
      <c r="P659" s="616"/>
      <c r="Q659"/>
      <c r="R659"/>
      <c r="S659"/>
      <c r="T659" s="622"/>
      <c r="AG659" s="623" t="s">
        <v>494</v>
      </c>
      <c r="AH659" s="623" t="s">
        <v>495</v>
      </c>
      <c r="AI659" s="623" t="s">
        <v>496</v>
      </c>
      <c r="AJ659" s="623" t="s">
        <v>497</v>
      </c>
      <c r="AK659" s="623" t="s">
        <v>498</v>
      </c>
      <c r="AM659" s="624" t="s">
        <v>499</v>
      </c>
      <c r="AN659" s="625" t="s">
        <v>500</v>
      </c>
      <c r="AO659" s="626" t="s">
        <v>501</v>
      </c>
    </row>
    <row r="660" spans="1:41" s="618" customFormat="1" ht="13.2">
      <c r="A660" s="627">
        <v>1</v>
      </c>
      <c r="B660" s="628" t="s">
        <v>255</v>
      </c>
      <c r="C660" s="629"/>
      <c r="D660" s="630" t="s">
        <v>608</v>
      </c>
      <c r="E660" s="914">
        <f>IF(AND($A660=0,$A$1="DIF"),0, ROUND(ROUND(SUMIF($L662:$L668,"SUBI",$E662:$E668)/$A660,2)*$C$12,2))</f>
        <v>268.5</v>
      </c>
      <c r="F660" s="915">
        <f>ROUND($A660*$E660,2)</f>
        <v>268.5</v>
      </c>
      <c r="G660" s="916" t="s">
        <v>135</v>
      </c>
      <c r="H660" s="917"/>
      <c r="I660" s="918"/>
      <c r="J660" s="917"/>
      <c r="K660" s="919"/>
      <c r="L660" s="920" t="s">
        <v>136</v>
      </c>
      <c r="M660" s="921"/>
      <c r="N660" s="921"/>
      <c r="O660" s="921"/>
      <c r="P660" s="921"/>
      <c r="Q660"/>
      <c r="R660"/>
      <c r="S660"/>
      <c r="T660" s="922" t="str">
        <f>IF(AND($R674=0,$T674=0),"0.00","mu :" &amp; ROUND($F660/$C$12/($R674+$T674*$D$9),2))</f>
        <v>mu :1.1</v>
      </c>
      <c r="W660" s="636"/>
      <c r="AG660" s="923">
        <f>IF(A660=0,0,ROUND(SUM(AG662:AG674)/A660,2))</f>
        <v>0</v>
      </c>
      <c r="AH660" s="923">
        <f>$AG660*$A660</f>
        <v>0</v>
      </c>
      <c r="AI660" s="923">
        <f>$E660-$AG660</f>
        <v>268.5</v>
      </c>
      <c r="AJ660" s="923">
        <f>$A660*$AI660</f>
        <v>268.5</v>
      </c>
      <c r="AK660" s="924">
        <f>ROUND(($AG660+$AI660)*$A660,2)</f>
        <v>268.5</v>
      </c>
      <c r="AM660" s="640">
        <f>ROUND(R674,2)</f>
        <v>0</v>
      </c>
      <c r="AN660" s="641">
        <f>ROUND(T674,2)</f>
        <v>8.5</v>
      </c>
      <c r="AO660" s="642">
        <f>ROUND(AM660+AN660,2)*A660</f>
        <v>8.5</v>
      </c>
    </row>
    <row r="661" spans="1:41" s="618" customFormat="1" ht="36">
      <c r="A661" s="616"/>
      <c r="B661" s="616"/>
      <c r="C661" s="616"/>
      <c r="D661" s="744" t="s">
        <v>384</v>
      </c>
      <c r="E661" s="744"/>
      <c r="F661" s="744"/>
      <c r="G661" s="744"/>
      <c r="H661" s="744"/>
      <c r="I661" s="744"/>
      <c r="J661" s="744"/>
      <c r="K661" s="744"/>
      <c r="L661" s="744"/>
      <c r="M661" s="744"/>
      <c r="N661" s="744"/>
      <c r="O661" s="744"/>
      <c r="P661" s="744"/>
      <c r="Q661" s="744"/>
      <c r="R661" s="669"/>
      <c r="S661" s="669"/>
      <c r="T661" s="669"/>
    </row>
    <row r="662" spans="1:41" s="618" customFormat="1" ht="12">
      <c r="A662" s="925"/>
      <c r="B662" s="926"/>
      <c r="C662" s="927"/>
      <c r="D662" s="917"/>
      <c r="E662" s="928">
        <f>F660/$C$12-SUMIF($L659:$L674,"SUBI",$E659:$E674)</f>
        <v>0</v>
      </c>
      <c r="F662" s="929" t="s">
        <v>837</v>
      </c>
      <c r="G662" s="930"/>
      <c r="H662" s="930"/>
      <c r="I662" s="931"/>
      <c r="J662" s="930"/>
      <c r="K662" s="930"/>
      <c r="L662" s="932"/>
      <c r="M662" s="933"/>
      <c r="N662" s="933"/>
      <c r="O662" s="933"/>
      <c r="P662" s="933"/>
      <c r="Q662" s="934"/>
      <c r="R662" s="935"/>
      <c r="S662" s="934"/>
      <c r="T662" s="936"/>
    </row>
    <row r="663" spans="1:41" s="618" customFormat="1" ht="12" customHeight="1">
      <c r="A663" s="937"/>
      <c r="B663" s="992"/>
      <c r="C663" s="955"/>
      <c r="D663" s="955" t="str">
        <f>$F$3</f>
        <v>Controls Section (Guy)</v>
      </c>
      <c r="E663" s="955">
        <f>ROUND(($R667*$S$3 + ($T667*$T$3)),2)</f>
        <v>148.5</v>
      </c>
      <c r="F663" s="993">
        <f>$E663*$C$12</f>
        <v>148.5</v>
      </c>
      <c r="G663" s="643"/>
      <c r="H663" s="938"/>
      <c r="I663" s="643"/>
      <c r="J663" s="617"/>
      <c r="K663" s="939" t="s">
        <v>5</v>
      </c>
      <c r="L663" s="940" t="s">
        <v>838</v>
      </c>
      <c r="M663" s="643"/>
      <c r="N663" s="643"/>
      <c r="O663" s="617"/>
      <c r="P663" s="643"/>
      <c r="Q663" s="643"/>
      <c r="R663"/>
      <c r="S663"/>
      <c r="T663"/>
    </row>
    <row r="664" spans="1:41" s="618" customFormat="1" ht="13.95" customHeight="1">
      <c r="A664" s="678"/>
      <c r="B664" s="941" t="s">
        <v>839</v>
      </c>
      <c r="C664" s="643"/>
      <c r="D664" s="643"/>
      <c r="E664" s="643"/>
      <c r="F664" s="643"/>
      <c r="G664" s="643"/>
      <c r="H664" s="938"/>
      <c r="I664" s="643"/>
      <c r="J664" s="617"/>
      <c r="K664" s="942"/>
      <c r="L664" s="943"/>
      <c r="M664" s="643"/>
      <c r="N664" s="643"/>
      <c r="O664" s="617"/>
      <c r="P664" s="643"/>
      <c r="Q664" s="643"/>
      <c r="R664" s="944">
        <f>$A664*Q664</f>
        <v>0</v>
      </c>
      <c r="S664" s="643"/>
      <c r="T664" s="945">
        <f>$A664*S664*$T$1</f>
        <v>0</v>
      </c>
    </row>
    <row r="665" spans="1:41" s="783" customFormat="1" ht="13.2">
      <c r="A665" s="105">
        <v>1</v>
      </c>
      <c r="B665" s="783" t="s">
        <v>134</v>
      </c>
      <c r="D665" s="783" t="s">
        <v>842</v>
      </c>
      <c r="G665" s="784" t="s">
        <v>694</v>
      </c>
      <c r="H665" s="785">
        <v>752</v>
      </c>
      <c r="I665" s="783" t="s">
        <v>627</v>
      </c>
      <c r="O665" s="786">
        <v>3</v>
      </c>
      <c r="P665" s="787"/>
      <c r="Q665" s="788">
        <v>0</v>
      </c>
      <c r="R665" s="789">
        <f>$A665*Q665</f>
        <v>0</v>
      </c>
      <c r="S665" s="788">
        <f>4+0.5</f>
        <v>4.5</v>
      </c>
      <c r="T665" s="790">
        <f>$A665*S665*$T$1</f>
        <v>4.5</v>
      </c>
    </row>
    <row r="666" spans="1:41" s="618" customFormat="1" ht="13.95" customHeight="1">
      <c r="A666" s="678"/>
      <c r="B666" s="643"/>
      <c r="C666" s="643"/>
      <c r="D666" s="643"/>
      <c r="E666" s="643"/>
      <c r="F666" s="643"/>
      <c r="G666" s="643"/>
      <c r="H666" s="938"/>
      <c r="I666" s="643"/>
      <c r="J666" s="617"/>
      <c r="K666" s="942"/>
      <c r="L666" s="943"/>
      <c r="M666" s="643"/>
      <c r="N666" s="643"/>
      <c r="O666" s="617"/>
      <c r="P666" s="643"/>
      <c r="Q666" s="643"/>
      <c r="R666" s="944">
        <f>$A666*Q666</f>
        <v>0</v>
      </c>
      <c r="S666" s="643"/>
      <c r="T666" s="945">
        <f>$A666*S666*$T$1</f>
        <v>0</v>
      </c>
    </row>
    <row r="667" spans="1:41" s="618" customFormat="1" ht="12">
      <c r="A667" s="946" t="s">
        <v>137</v>
      </c>
      <c r="B667" s="947">
        <f>(R666+T666)</f>
        <v>0</v>
      </c>
      <c r="C667" s="927"/>
      <c r="G667" s="948"/>
      <c r="H667" s="948"/>
      <c r="I667" s="948"/>
      <c r="J667" s="948"/>
      <c r="K667" s="949" t="s">
        <v>5</v>
      </c>
      <c r="L667" s="950" t="s">
        <v>838</v>
      </c>
      <c r="M667" s="948"/>
      <c r="N667" s="948"/>
      <c r="O667" s="948"/>
      <c r="P667" s="948"/>
      <c r="Q667" s="951"/>
      <c r="R667" s="952">
        <f>SUM(R663:R666)</f>
        <v>0</v>
      </c>
      <c r="S667" s="953"/>
      <c r="T667" s="952">
        <f>SUM(T663:T666)</f>
        <v>4.5</v>
      </c>
      <c r="AG667" s="976">
        <f>ROUND($R667*$S$3,2)</f>
        <v>0</v>
      </c>
    </row>
    <row r="668" spans="1:41" s="618" customFormat="1" ht="12" customHeight="1">
      <c r="A668" s="954"/>
      <c r="B668" s="994"/>
      <c r="C668" s="995"/>
      <c r="D668" s="995" t="str">
        <f>$F$4</f>
        <v>Controls Section (Engineer)</v>
      </c>
      <c r="E668" s="995">
        <f>ROUND(($R672*$S$4 + ($T672*$T$4)),2)</f>
        <v>120</v>
      </c>
      <c r="F668" s="996">
        <f ca="1">$F660-SUMIF($L662:$P665,"SUBI",$F662:$F665)</f>
        <v>120</v>
      </c>
      <c r="G668" s="956"/>
      <c r="H668" s="956"/>
      <c r="I668" s="956"/>
      <c r="J668" s="956"/>
      <c r="K668" s="939" t="s">
        <v>8</v>
      </c>
      <c r="L668" s="940" t="s">
        <v>838</v>
      </c>
      <c r="M668" s="956"/>
      <c r="N668" s="956"/>
      <c r="O668" s="956"/>
      <c r="P668" s="956"/>
      <c r="Q668" s="956"/>
      <c r="R668" s="957"/>
      <c r="S668" s="956"/>
      <c r="T668" s="957"/>
    </row>
    <row r="669" spans="1:41" s="970" customFormat="1" ht="14.4" customHeight="1">
      <c r="A669" s="958"/>
      <c r="B669" s="941" t="s">
        <v>840</v>
      </c>
      <c r="C669" s="959"/>
      <c r="D669" s="960"/>
      <c r="E669" s="960"/>
      <c r="F669" s="960"/>
      <c r="G669" s="961"/>
      <c r="H669" s="962"/>
      <c r="I669" s="962"/>
      <c r="J669" s="963"/>
      <c r="K669" s="964"/>
      <c r="L669" s="959"/>
      <c r="M669" s="965"/>
      <c r="N669" s="966"/>
      <c r="O669" s="967"/>
      <c r="P669" s="968"/>
      <c r="Q669" s="969"/>
      <c r="R669" s="944">
        <f>$A669*Q669</f>
        <v>0</v>
      </c>
      <c r="S669" s="643"/>
      <c r="T669" s="945">
        <f>$A669*S669*$T$1</f>
        <v>0</v>
      </c>
    </row>
    <row r="670" spans="1:41" s="783" customFormat="1" ht="13.2">
      <c r="A670" s="105">
        <v>1</v>
      </c>
      <c r="B670" s="783" t="s">
        <v>134</v>
      </c>
      <c r="D670" s="783" t="s">
        <v>841</v>
      </c>
      <c r="G670" s="784" t="s">
        <v>694</v>
      </c>
      <c r="H670" s="785">
        <v>752</v>
      </c>
      <c r="I670" s="783" t="s">
        <v>627</v>
      </c>
      <c r="O670" s="786">
        <v>3</v>
      </c>
      <c r="P670" s="787"/>
      <c r="Q670" s="788">
        <v>0</v>
      </c>
      <c r="R670" s="789">
        <f>$A670*Q670</f>
        <v>0</v>
      </c>
      <c r="S670" s="788">
        <v>4</v>
      </c>
      <c r="T670" s="790">
        <f>$A670*S670*$T$1</f>
        <v>4</v>
      </c>
    </row>
    <row r="671" spans="1:41" s="618" customFormat="1" ht="13.2">
      <c r="A671" s="678"/>
      <c r="B671" s="643"/>
      <c r="C671" s="643"/>
      <c r="D671" s="3"/>
      <c r="E671" s="643"/>
      <c r="F671" s="643"/>
      <c r="G671" s="643"/>
      <c r="H671" s="643"/>
      <c r="I671" s="643"/>
      <c r="J671" s="643"/>
      <c r="K671" s="643"/>
      <c r="L671" s="943"/>
      <c r="M671" s="643"/>
      <c r="N671" s="643"/>
      <c r="O671" s="643"/>
      <c r="P671" s="643"/>
      <c r="Q671" s="643"/>
      <c r="R671" s="944">
        <f>$A671*Q671</f>
        <v>0</v>
      </c>
      <c r="S671" s="643"/>
      <c r="T671" s="945">
        <f>$A671*S671*$T$1</f>
        <v>0</v>
      </c>
    </row>
    <row r="672" spans="1:41" s="618" customFormat="1" ht="12" customHeight="1">
      <c r="A672" s="971" t="s">
        <v>137</v>
      </c>
      <c r="B672" s="972">
        <f>(R671+T671)</f>
        <v>0</v>
      </c>
      <c r="C672" s="973"/>
      <c r="D672" s="973"/>
      <c r="E672" s="973"/>
      <c r="F672" s="973"/>
      <c r="G672" s="951"/>
      <c r="H672" s="951"/>
      <c r="I672" s="951"/>
      <c r="J672" s="951"/>
      <c r="K672" s="974" t="s">
        <v>8</v>
      </c>
      <c r="L672" s="975" t="s">
        <v>838</v>
      </c>
      <c r="M672" s="951"/>
      <c r="N672" s="951"/>
      <c r="O672" s="951"/>
      <c r="P672" s="951"/>
      <c r="Q672" s="951"/>
      <c r="R672" s="952">
        <f>SUM(R668:R671)</f>
        <v>0</v>
      </c>
      <c r="S672" s="953"/>
      <c r="T672" s="952">
        <f>SUM(T668:T671)</f>
        <v>4</v>
      </c>
      <c r="AG672" s="997">
        <f>ROUND($R672*$S$4,2)</f>
        <v>0</v>
      </c>
    </row>
    <row r="673" spans="1:41" s="618" customFormat="1" ht="12.75" customHeight="1">
      <c r="A673" s="977"/>
      <c r="B673" s="978"/>
      <c r="E673" s="927"/>
      <c r="F673" s="979"/>
      <c r="G673" s="927"/>
      <c r="H673" s="927"/>
      <c r="I673" s="956"/>
      <c r="J673" s="927"/>
      <c r="K673" s="927"/>
      <c r="L673" s="980"/>
      <c r="M673" s="981"/>
      <c r="N673" s="981"/>
      <c r="O673" s="981"/>
      <c r="P673" s="981"/>
      <c r="Q673" s="982"/>
      <c r="R673" s="957"/>
      <c r="S673" s="927"/>
      <c r="T673" s="957"/>
    </row>
    <row r="674" spans="1:41" s="618" customFormat="1" ht="13.5" customHeight="1" thickBot="1">
      <c r="A674" s="983"/>
      <c r="B674" s="984"/>
      <c r="C674" s="621"/>
      <c r="D674" s="621"/>
      <c r="E674" s="985"/>
      <c r="F674" s="986"/>
      <c r="G674" s="985" t="s">
        <v>503</v>
      </c>
      <c r="H674" s="985"/>
      <c r="I674" s="987"/>
      <c r="J674" s="985"/>
      <c r="K674" s="985"/>
      <c r="L674" s="988" t="s">
        <v>136</v>
      </c>
      <c r="M674" s="989"/>
      <c r="N674" s="989"/>
      <c r="O674" s="989"/>
      <c r="P674" s="989"/>
      <c r="Q674" s="990"/>
      <c r="R674" s="991">
        <f>SUMIF($L661:$L673,"SUBI",R661:R673)</f>
        <v>0</v>
      </c>
      <c r="S674" s="985"/>
      <c r="T674" s="991">
        <f>SUMIF($L661:$L673,"SUBI",T661:T673)</f>
        <v>8.5</v>
      </c>
      <c r="U674" s="621"/>
      <c r="V674" s="621"/>
      <c r="W674" s="621"/>
      <c r="X674" s="621"/>
      <c r="Y674" s="621"/>
      <c r="Z674" s="621"/>
      <c r="AA674" s="621"/>
      <c r="AB674" s="621"/>
      <c r="AC674" s="621"/>
      <c r="AD674" s="621"/>
      <c r="AE674" s="621"/>
      <c r="AF674" s="621"/>
      <c r="AG674" s="621"/>
      <c r="AH674" s="621"/>
      <c r="AI674" s="621"/>
      <c r="AJ674" s="621"/>
      <c r="AK674" s="621"/>
      <c r="AL674" s="621"/>
      <c r="AM674" s="621"/>
      <c r="AN674" s="621"/>
      <c r="AO674" s="621"/>
    </row>
    <row r="675" spans="1:41" s="618" customFormat="1" ht="12" thickTop="1">
      <c r="A675" s="616"/>
      <c r="B675" s="622"/>
      <c r="C675" s="616"/>
      <c r="E675" s="37" t="s">
        <v>491</v>
      </c>
      <c r="F675" s="37" t="s">
        <v>492</v>
      </c>
      <c r="G675" s="616"/>
      <c r="H675" s="616"/>
      <c r="I675" s="616"/>
      <c r="J675" s="616"/>
      <c r="K675" s="616" t="s">
        <v>493</v>
      </c>
      <c r="L675" s="616"/>
      <c r="M675" s="616"/>
      <c r="N675" s="616"/>
      <c r="O675" s="617"/>
      <c r="P675" s="616"/>
      <c r="Q675" s="616"/>
      <c r="R675" s="616"/>
      <c r="S675" s="616"/>
      <c r="T675" s="622"/>
      <c r="AG675" s="623" t="s">
        <v>494</v>
      </c>
      <c r="AH675" s="623" t="s">
        <v>495</v>
      </c>
      <c r="AI675" s="623" t="s">
        <v>496</v>
      </c>
      <c r="AJ675" s="623" t="s">
        <v>497</v>
      </c>
      <c r="AK675" s="623" t="s">
        <v>498</v>
      </c>
      <c r="AM675" s="624" t="s">
        <v>499</v>
      </c>
      <c r="AN675" s="625" t="s">
        <v>500</v>
      </c>
      <c r="AO675" s="626" t="s">
        <v>501</v>
      </c>
    </row>
    <row r="676" spans="1:41" s="618" customFormat="1" ht="12" customHeight="1">
      <c r="A676" s="627">
        <v>1</v>
      </c>
      <c r="B676" s="628" t="s">
        <v>294</v>
      </c>
      <c r="C676" s="629"/>
      <c r="D676" s="630" t="s">
        <v>609</v>
      </c>
      <c r="E676" s="859">
        <f>IF(AND($A676=0,$A$1="DIF"),0, ROUND(ROUND(($R680*$S$3+($T680*$T$3))/$A676,2)*$C$3,2))</f>
        <v>27.5</v>
      </c>
      <c r="F676" s="860">
        <f>ROUND($A676*$E676,2)</f>
        <v>27.5</v>
      </c>
      <c r="G676" s="88" t="s">
        <v>135</v>
      </c>
      <c r="H676" s="2"/>
      <c r="I676" s="633"/>
      <c r="J676" s="2"/>
      <c r="K676" s="2" t="s">
        <v>5</v>
      </c>
      <c r="L676" s="634" t="s">
        <v>136</v>
      </c>
      <c r="M676" s="634"/>
      <c r="N676" s="634"/>
      <c r="O676" s="634"/>
      <c r="P676" s="634"/>
      <c r="Q676" s="616"/>
      <c r="T676" s="864" t="str">
        <f>IF(AND($R680=0,$T680=0),"0.00","mu: "&amp; ROUND(F676/$C$3/($R680+$T680*$D$9),2))</f>
        <v>mu: 1</v>
      </c>
      <c r="W676" s="636"/>
      <c r="AG676" s="861">
        <f>IF($E676=0,0,ROUND($R680*$S$3*$C$3/$A676,2))</f>
        <v>27.5</v>
      </c>
      <c r="AH676" s="861">
        <f>$AG676*$A676</f>
        <v>27.5</v>
      </c>
      <c r="AI676" s="862">
        <f>$E676-$AG676</f>
        <v>0</v>
      </c>
      <c r="AJ676" s="862">
        <f>$A676*$AI676</f>
        <v>0</v>
      </c>
      <c r="AK676" s="863">
        <f>ROUND(($AG676+$AI676)*$A676,2)</f>
        <v>27.5</v>
      </c>
      <c r="AM676" s="640">
        <f>ROUND(R680,2)</f>
        <v>27.5</v>
      </c>
      <c r="AN676" s="641">
        <f>ROUND(T680,2)</f>
        <v>0</v>
      </c>
      <c r="AO676" s="642">
        <f>ROUND(AM676+AN676,2)*A676</f>
        <v>27.5</v>
      </c>
    </row>
    <row r="677" spans="1:41" s="618" customFormat="1" ht="13.2">
      <c r="A677" s="629"/>
      <c r="B677"/>
      <c r="C677" s="629"/>
      <c r="D677" s="630" t="s">
        <v>385</v>
      </c>
      <c r="F677" s="2"/>
      <c r="G677" s="3"/>
      <c r="H677" s="2"/>
      <c r="I677" s="633"/>
      <c r="J677" s="2"/>
      <c r="K677" s="2" t="s">
        <v>502</v>
      </c>
      <c r="L677" s="2"/>
      <c r="M677" s="2"/>
      <c r="N677" s="2"/>
      <c r="O677" s="2"/>
      <c r="P677" s="2"/>
      <c r="Q677" s="616"/>
      <c r="R677" s="643"/>
      <c r="S677" s="644"/>
      <c r="T677" s="2"/>
    </row>
    <row r="678" spans="1:41" s="783" customFormat="1" ht="13.2">
      <c r="A678" s="105">
        <v>1</v>
      </c>
      <c r="B678" s="783" t="s">
        <v>134</v>
      </c>
      <c r="D678" s="783" t="s">
        <v>699</v>
      </c>
      <c r="G678" s="784" t="s">
        <v>694</v>
      </c>
      <c r="H678" s="785">
        <v>752</v>
      </c>
      <c r="I678" s="783" t="s">
        <v>627</v>
      </c>
      <c r="O678" s="786">
        <v>3</v>
      </c>
      <c r="P678" s="787"/>
      <c r="Q678" s="788">
        <v>27.5</v>
      </c>
      <c r="R678" s="789">
        <f>$A678*Q678</f>
        <v>27.5</v>
      </c>
      <c r="S678" s="788"/>
      <c r="T678" s="790">
        <f>$A678*S678*$T$1</f>
        <v>0</v>
      </c>
    </row>
    <row r="679" spans="1:41" s="618" customFormat="1" ht="12">
      <c r="A679" s="645"/>
      <c r="B679" s="645"/>
      <c r="C679" s="645"/>
      <c r="D679" s="645"/>
      <c r="E679" s="645"/>
      <c r="F679" s="2"/>
      <c r="G679" s="645"/>
      <c r="H679" s="645"/>
      <c r="I679" s="646"/>
      <c r="J679" s="645"/>
      <c r="K679" s="645"/>
      <c r="L679" s="645"/>
      <c r="M679" s="645"/>
      <c r="N679" s="645"/>
      <c r="O679" s="645"/>
      <c r="P679" s="645"/>
      <c r="Q679" s="646"/>
      <c r="R679" s="647">
        <f t="shared" ref="R679" si="164">$A679*Q679</f>
        <v>0</v>
      </c>
      <c r="S679" s="646"/>
      <c r="T679" s="648">
        <f t="shared" ref="T679" si="165">$A679*S679*$T$1</f>
        <v>0</v>
      </c>
    </row>
    <row r="680" spans="1:41" s="618" customFormat="1" ht="12.6" thickBot="1">
      <c r="A680" s="649" t="s">
        <v>137</v>
      </c>
      <c r="B680" s="650">
        <f>(R679+T679)</f>
        <v>0</v>
      </c>
      <c r="C680" s="651"/>
      <c r="D680" s="651"/>
      <c r="E680" s="651"/>
      <c r="F680" s="652"/>
      <c r="G680" s="651" t="s">
        <v>503</v>
      </c>
      <c r="H680" s="651"/>
      <c r="I680" s="653"/>
      <c r="J680" s="651"/>
      <c r="K680" s="651" t="s">
        <v>5</v>
      </c>
      <c r="L680" s="654" t="s">
        <v>136</v>
      </c>
      <c r="M680" s="654"/>
      <c r="N680" s="654"/>
      <c r="O680" s="654"/>
      <c r="P680" s="654"/>
      <c r="Q680" s="655"/>
      <c r="R680" s="656">
        <f>SUM(R677:R679)</f>
        <v>27.5</v>
      </c>
      <c r="S680" s="651"/>
      <c r="T680" s="656">
        <f>SUM(T677:T679)</f>
        <v>0</v>
      </c>
      <c r="U680" s="621"/>
      <c r="V680" s="621"/>
      <c r="W680" s="621"/>
      <c r="X680" s="621"/>
      <c r="Y680" s="621"/>
      <c r="Z680" s="621"/>
      <c r="AA680" s="621"/>
      <c r="AB680" s="621"/>
      <c r="AC680" s="621"/>
      <c r="AD680" s="621"/>
      <c r="AE680" s="621"/>
      <c r="AF680" s="621"/>
      <c r="AG680" s="621"/>
      <c r="AH680" s="621"/>
      <c r="AI680" s="621"/>
      <c r="AJ680" s="621"/>
      <c r="AK680" s="621"/>
      <c r="AL680" s="621"/>
      <c r="AM680" s="621"/>
      <c r="AN680" s="621"/>
      <c r="AO680" s="621"/>
    </row>
    <row r="681" spans="1:41" s="618" customFormat="1" ht="12" thickTop="1">
      <c r="A681" s="616"/>
      <c r="B681" s="622"/>
      <c r="C681" s="616"/>
      <c r="E681" s="37" t="s">
        <v>491</v>
      </c>
      <c r="F681" s="37" t="s">
        <v>492</v>
      </c>
      <c r="G681" s="616"/>
      <c r="H681" s="616"/>
      <c r="I681" s="616"/>
      <c r="J681" s="616"/>
      <c r="K681" s="616" t="s">
        <v>493</v>
      </c>
      <c r="L681" s="616"/>
      <c r="M681" s="616"/>
      <c r="N681" s="616"/>
      <c r="O681" s="617"/>
      <c r="P681" s="616"/>
      <c r="Q681" s="616"/>
      <c r="R681" s="616"/>
      <c r="S681" s="616"/>
      <c r="T681" s="622"/>
      <c r="AG681" s="623" t="s">
        <v>494</v>
      </c>
      <c r="AH681" s="623" t="s">
        <v>495</v>
      </c>
      <c r="AI681" s="623" t="s">
        <v>496</v>
      </c>
      <c r="AJ681" s="623" t="s">
        <v>497</v>
      </c>
      <c r="AK681" s="623" t="s">
        <v>498</v>
      </c>
      <c r="AM681" s="624" t="s">
        <v>499</v>
      </c>
      <c r="AN681" s="625" t="s">
        <v>500</v>
      </c>
      <c r="AO681" s="626" t="s">
        <v>501</v>
      </c>
    </row>
    <row r="682" spans="1:41" s="618" customFormat="1" ht="12" customHeight="1">
      <c r="A682" s="627">
        <v>1</v>
      </c>
      <c r="B682" s="628" t="s">
        <v>255</v>
      </c>
      <c r="C682" s="629"/>
      <c r="D682" s="630" t="s">
        <v>610</v>
      </c>
      <c r="E682" s="859">
        <f>IF(AND($A682=0,$A$1="DIF"),0, ROUND(ROUND(($R686*$S$3+($T686*$T$3))/$A682,2)*$C$3,2))</f>
        <v>195.5</v>
      </c>
      <c r="F682" s="860">
        <f>ROUND($A682*$E682,2)</f>
        <v>195.5</v>
      </c>
      <c r="G682" s="88" t="s">
        <v>135</v>
      </c>
      <c r="H682" s="2"/>
      <c r="I682" s="633"/>
      <c r="J682" s="2"/>
      <c r="K682" s="2" t="s">
        <v>5</v>
      </c>
      <c r="L682" s="634" t="s">
        <v>136</v>
      </c>
      <c r="M682" s="634"/>
      <c r="N682" s="634"/>
      <c r="O682" s="634"/>
      <c r="P682" s="634"/>
      <c r="Q682" s="616"/>
      <c r="T682" s="864" t="str">
        <f>IF(AND($R686=0,$T686=0),"0.00","mu: "&amp; ROUND(F682/$C$3/($R686+$T686*$D$9),2))</f>
        <v>mu: 1</v>
      </c>
      <c r="W682" s="636"/>
      <c r="AG682" s="861">
        <f>IF($E682=0,0,ROUND($R686*$S$3*$C$3/$A682,2))</f>
        <v>195.5</v>
      </c>
      <c r="AH682" s="861">
        <f>$AG682*$A682</f>
        <v>195.5</v>
      </c>
      <c r="AI682" s="862">
        <f>$E682-$AG682</f>
        <v>0</v>
      </c>
      <c r="AJ682" s="862">
        <f>$A682*$AI682</f>
        <v>0</v>
      </c>
      <c r="AK682" s="863">
        <f>ROUND(($AG682+$AI682)*$A682,2)</f>
        <v>195.5</v>
      </c>
      <c r="AM682" s="640">
        <f>ROUND(R686,2)</f>
        <v>195.5</v>
      </c>
      <c r="AN682" s="641">
        <f>ROUND(T686,2)</f>
        <v>0</v>
      </c>
      <c r="AO682" s="642">
        <f>ROUND(AM682+AN682,2)*A682</f>
        <v>195.5</v>
      </c>
    </row>
    <row r="683" spans="1:41" s="618" customFormat="1" ht="48">
      <c r="A683" s="616"/>
      <c r="B683" s="616"/>
      <c r="C683" s="616"/>
      <c r="D683" s="744" t="s">
        <v>575</v>
      </c>
      <c r="E683" s="744"/>
      <c r="F683" s="744"/>
      <c r="G683" s="744"/>
      <c r="H683" s="744"/>
      <c r="I683" s="744"/>
      <c r="J683" s="744"/>
      <c r="K683" s="744"/>
      <c r="L683" s="744"/>
      <c r="M683" s="744"/>
      <c r="N683" s="744"/>
      <c r="O683" s="744"/>
      <c r="P683" s="744"/>
      <c r="Q683" s="744"/>
      <c r="R683" s="669"/>
      <c r="S683" s="669"/>
      <c r="T683" s="669"/>
    </row>
    <row r="684" spans="1:41" s="783" customFormat="1" ht="13.2">
      <c r="A684" s="105">
        <v>1</v>
      </c>
      <c r="B684" s="783" t="s">
        <v>134</v>
      </c>
      <c r="D684" s="783" t="s">
        <v>700</v>
      </c>
      <c r="G684" s="784" t="s">
        <v>694</v>
      </c>
      <c r="H684" s="785">
        <v>752</v>
      </c>
      <c r="I684" s="783" t="s">
        <v>627</v>
      </c>
      <c r="O684" s="786">
        <v>3</v>
      </c>
      <c r="P684" s="787"/>
      <c r="Q684" s="788">
        <v>195.5</v>
      </c>
      <c r="R684" s="789">
        <f>$A684*Q684</f>
        <v>195.5</v>
      </c>
      <c r="S684" s="788"/>
      <c r="T684" s="790">
        <f>$A684*S684*$T$1</f>
        <v>0</v>
      </c>
    </row>
    <row r="685" spans="1:41" s="618" customFormat="1" ht="12">
      <c r="A685" s="645"/>
      <c r="B685" s="645"/>
      <c r="C685" s="645"/>
      <c r="D685" s="645"/>
      <c r="E685" s="645"/>
      <c r="F685" s="2"/>
      <c r="G685" s="645"/>
      <c r="H685" s="645"/>
      <c r="I685" s="646"/>
      <c r="J685" s="645"/>
      <c r="K685" s="645"/>
      <c r="L685" s="645"/>
      <c r="M685" s="645"/>
      <c r="N685" s="645"/>
      <c r="O685" s="645"/>
      <c r="P685" s="645"/>
      <c r="Q685" s="646"/>
      <c r="R685" s="647">
        <f t="shared" ref="R685" si="166">$A685*Q685</f>
        <v>0</v>
      </c>
      <c r="S685" s="646"/>
      <c r="T685" s="648">
        <f t="shared" ref="T685" si="167">$A685*S685*$T$1</f>
        <v>0</v>
      </c>
    </row>
    <row r="686" spans="1:41" s="618" customFormat="1" ht="12.6" thickBot="1">
      <c r="A686" s="649" t="s">
        <v>137</v>
      </c>
      <c r="B686" s="650">
        <f>(R685+T685)</f>
        <v>0</v>
      </c>
      <c r="C686" s="651"/>
      <c r="D686" s="651"/>
      <c r="E686" s="651"/>
      <c r="F686" s="652"/>
      <c r="G686" s="651" t="s">
        <v>503</v>
      </c>
      <c r="H686" s="651"/>
      <c r="I686" s="653"/>
      <c r="J686" s="651"/>
      <c r="K686" s="651" t="s">
        <v>5</v>
      </c>
      <c r="L686" s="654" t="s">
        <v>136</v>
      </c>
      <c r="M686" s="654"/>
      <c r="N686" s="654"/>
      <c r="O686" s="654"/>
      <c r="P686" s="654"/>
      <c r="Q686" s="655"/>
      <c r="R686" s="656">
        <f>SUM(R683:R685)</f>
        <v>195.5</v>
      </c>
      <c r="S686" s="651"/>
      <c r="T686" s="656">
        <f>SUM(T683:T685)</f>
        <v>0</v>
      </c>
      <c r="U686" s="621"/>
      <c r="V686" s="621"/>
      <c r="W686" s="621"/>
      <c r="X686" s="621"/>
      <c r="Y686" s="621"/>
      <c r="Z686" s="621"/>
      <c r="AA686" s="621"/>
      <c r="AB686" s="621"/>
      <c r="AC686" s="621"/>
      <c r="AD686" s="621"/>
      <c r="AE686" s="621"/>
      <c r="AF686" s="621"/>
      <c r="AG686" s="621"/>
      <c r="AH686" s="621"/>
      <c r="AI686" s="621"/>
      <c r="AJ686" s="621"/>
      <c r="AK686" s="621"/>
      <c r="AL686" s="621"/>
      <c r="AM686" s="621"/>
      <c r="AN686" s="621"/>
      <c r="AO686" s="621"/>
    </row>
    <row r="687" spans="1:41" s="618" customFormat="1" thickTop="1">
      <c r="A687" s="616"/>
      <c r="B687" s="616"/>
      <c r="C687" s="3"/>
      <c r="D687" s="3"/>
      <c r="E687" s="616"/>
      <c r="F687" s="616"/>
      <c r="G687" s="616"/>
      <c r="H687" s="616"/>
      <c r="I687" s="616"/>
      <c r="J687" s="616"/>
      <c r="K687" s="616" t="s">
        <v>489</v>
      </c>
      <c r="L687" s="616"/>
      <c r="M687" s="616"/>
      <c r="N687" s="616"/>
      <c r="O687" s="617"/>
      <c r="P687" s="616"/>
      <c r="Q687" s="616"/>
      <c r="R687" s="616"/>
      <c r="S687" s="616"/>
      <c r="T687" s="616"/>
    </row>
    <row r="688" spans="1:41" s="618" customFormat="1" ht="12">
      <c r="A688" s="616"/>
      <c r="B688" s="616"/>
      <c r="C688" s="616" t="s">
        <v>490</v>
      </c>
      <c r="D688" s="619"/>
      <c r="E688" s="616"/>
      <c r="F688" s="616"/>
      <c r="G688" s="616"/>
      <c r="H688" s="616"/>
      <c r="I688" s="616"/>
      <c r="J688" s="616"/>
      <c r="K688" s="616"/>
      <c r="L688" s="616"/>
      <c r="M688" s="616"/>
      <c r="N688" s="616"/>
      <c r="O688" s="617"/>
      <c r="P688" s="616"/>
      <c r="Q688" s="616"/>
      <c r="R688" s="616"/>
      <c r="S688" s="616"/>
      <c r="T688" s="616"/>
    </row>
    <row r="689" spans="1:41" s="618" customFormat="1" ht="72">
      <c r="A689" s="616"/>
      <c r="B689" s="616"/>
      <c r="C689" s="616"/>
      <c r="D689" s="744" t="s">
        <v>387</v>
      </c>
      <c r="E689" s="744"/>
      <c r="F689" s="744"/>
      <c r="G689" s="744"/>
      <c r="H689" s="744"/>
      <c r="I689" s="744"/>
      <c r="J689" s="744"/>
      <c r="K689" s="744"/>
      <c r="L689" s="744"/>
      <c r="M689" s="744"/>
      <c r="N689" s="744"/>
      <c r="O689" s="744"/>
      <c r="P689" s="744"/>
      <c r="Q689" s="744"/>
      <c r="R689" s="669"/>
      <c r="S689" s="669"/>
      <c r="T689" s="669"/>
    </row>
    <row r="690" spans="1:41" s="3" customFormat="1" thickBot="1">
      <c r="A690" s="621"/>
      <c r="O690" s="96"/>
    </row>
    <row r="691" spans="1:41" s="618" customFormat="1" thickTop="1">
      <c r="A691" s="616"/>
      <c r="B691" s="616"/>
      <c r="C691" s="3"/>
      <c r="D691" s="3"/>
      <c r="E691" s="616"/>
      <c r="F691" s="616"/>
      <c r="G691" s="616"/>
      <c r="H691" s="616"/>
      <c r="I691" s="616"/>
      <c r="J691" s="616"/>
      <c r="K691" s="616" t="s">
        <v>489</v>
      </c>
      <c r="L691" s="616"/>
      <c r="M691" s="616"/>
      <c r="N691" s="616"/>
      <c r="O691" s="617"/>
      <c r="P691" s="616"/>
      <c r="Q691" s="616"/>
      <c r="R691" s="616"/>
      <c r="S691" s="616"/>
      <c r="T691" s="616"/>
    </row>
    <row r="692" spans="1:41" s="618" customFormat="1" ht="12">
      <c r="A692" s="616"/>
      <c r="B692" s="616"/>
      <c r="C692" s="616" t="s">
        <v>490</v>
      </c>
      <c r="D692" s="619"/>
      <c r="E692" s="616"/>
      <c r="F692" s="616"/>
      <c r="G692" s="616"/>
      <c r="H692" s="616"/>
      <c r="I692" s="616"/>
      <c r="J692" s="616"/>
      <c r="K692" s="616"/>
      <c r="L692" s="616"/>
      <c r="M692" s="616"/>
      <c r="N692" s="616"/>
      <c r="O692" s="617"/>
      <c r="P692" s="616"/>
      <c r="Q692" s="616"/>
      <c r="R692" s="616"/>
      <c r="S692" s="616"/>
      <c r="T692" s="616"/>
    </row>
    <row r="693" spans="1:41" s="618" customFormat="1" ht="12">
      <c r="A693" s="616"/>
      <c r="B693" s="616"/>
      <c r="C693" s="616"/>
      <c r="D693" s="619" t="s">
        <v>327</v>
      </c>
      <c r="E693" s="616"/>
      <c r="F693" s="616"/>
      <c r="G693" s="616"/>
      <c r="H693" s="616"/>
      <c r="I693" s="616"/>
      <c r="J693" s="616"/>
      <c r="K693" s="616"/>
      <c r="L693" s="616"/>
      <c r="M693" s="616"/>
      <c r="N693" s="616"/>
      <c r="O693" s="617"/>
      <c r="P693" s="616"/>
      <c r="Q693" s="616"/>
      <c r="R693" s="616"/>
      <c r="S693" s="620"/>
      <c r="T693" s="620"/>
    </row>
    <row r="694" spans="1:41" s="3" customFormat="1" thickBot="1">
      <c r="A694" s="621"/>
      <c r="O694" s="96"/>
    </row>
    <row r="695" spans="1:41" s="618" customFormat="1" thickTop="1">
      <c r="A695" s="616"/>
      <c r="B695" s="616"/>
      <c r="C695" s="3"/>
      <c r="D695" s="3"/>
      <c r="E695" s="616"/>
      <c r="F695" s="616"/>
      <c r="G695" s="616"/>
      <c r="H695" s="616"/>
      <c r="I695" s="616"/>
      <c r="J695" s="616"/>
      <c r="K695" s="616" t="s">
        <v>489</v>
      </c>
      <c r="L695" s="616"/>
      <c r="M695" s="616"/>
      <c r="N695" s="616"/>
      <c r="O695" s="617"/>
      <c r="P695" s="616"/>
      <c r="Q695" s="616"/>
      <c r="R695" s="616"/>
      <c r="S695" s="616"/>
      <c r="T695" s="616"/>
    </row>
    <row r="696" spans="1:41" s="618" customFormat="1" ht="12">
      <c r="A696" s="616"/>
      <c r="B696" s="616"/>
      <c r="C696" s="616" t="s">
        <v>490</v>
      </c>
      <c r="D696" s="619"/>
      <c r="E696" s="616"/>
      <c r="F696" s="616"/>
      <c r="G696" s="616"/>
      <c r="H696" s="616"/>
      <c r="I696" s="616"/>
      <c r="J696" s="616"/>
      <c r="K696" s="616"/>
      <c r="L696" s="616"/>
      <c r="M696" s="616"/>
      <c r="N696" s="616"/>
      <c r="O696" s="617"/>
      <c r="P696" s="616"/>
      <c r="Q696" s="616"/>
      <c r="R696" s="616"/>
      <c r="S696" s="616"/>
      <c r="T696" s="616"/>
    </row>
    <row r="697" spans="1:41" s="618" customFormat="1" ht="12">
      <c r="A697" s="616"/>
      <c r="B697" s="616"/>
      <c r="C697" s="616"/>
      <c r="D697" s="619" t="s">
        <v>328</v>
      </c>
      <c r="E697" s="616"/>
      <c r="F697" s="616"/>
      <c r="G697" s="616"/>
      <c r="H697" s="616"/>
      <c r="I697" s="616"/>
      <c r="J697" s="616"/>
      <c r="K697" s="616"/>
      <c r="L697" s="616"/>
      <c r="M697" s="616"/>
      <c r="N697" s="616"/>
      <c r="O697" s="617"/>
      <c r="P697" s="616"/>
      <c r="Q697" s="616"/>
      <c r="R697" s="616"/>
      <c r="S697" s="620"/>
      <c r="T697" s="620"/>
    </row>
    <row r="698" spans="1:41" s="3" customFormat="1" thickBot="1">
      <c r="A698" s="621"/>
      <c r="O698" s="96"/>
    </row>
    <row r="699" spans="1:41" s="618" customFormat="1" ht="12" thickTop="1">
      <c r="A699" s="616"/>
      <c r="B699" s="622"/>
      <c r="C699" s="616"/>
      <c r="E699" s="37" t="s">
        <v>491</v>
      </c>
      <c r="F699" s="37" t="s">
        <v>492</v>
      </c>
      <c r="G699" s="616"/>
      <c r="H699" s="616"/>
      <c r="I699" s="616"/>
      <c r="J699" s="616"/>
      <c r="K699" s="616" t="s">
        <v>493</v>
      </c>
      <c r="L699" s="616"/>
      <c r="M699" s="616"/>
      <c r="N699" s="616"/>
      <c r="O699" s="617"/>
      <c r="P699" s="616"/>
      <c r="Q699" s="616"/>
      <c r="R699" s="616"/>
      <c r="S699" s="616"/>
      <c r="T699" s="622"/>
      <c r="AG699" s="623" t="s">
        <v>494</v>
      </c>
      <c r="AH699" s="623" t="s">
        <v>495</v>
      </c>
      <c r="AI699" s="623" t="s">
        <v>496</v>
      </c>
      <c r="AJ699" s="623" t="s">
        <v>497</v>
      </c>
      <c r="AK699" s="623" t="s">
        <v>498</v>
      </c>
      <c r="AM699" s="624" t="s">
        <v>499</v>
      </c>
      <c r="AN699" s="625" t="s">
        <v>500</v>
      </c>
      <c r="AO699" s="626" t="s">
        <v>501</v>
      </c>
    </row>
    <row r="700" spans="1:41" s="618" customFormat="1" ht="12" customHeight="1">
      <c r="A700" s="627">
        <v>1</v>
      </c>
      <c r="B700" s="628" t="s">
        <v>330</v>
      </c>
      <c r="C700" s="629"/>
      <c r="D700" s="630" t="s">
        <v>611</v>
      </c>
      <c r="E700" s="631">
        <f>IF(AND($A700=0,$A$1="DIF"),0, ROUND(ROUND(($R705*$S$2+($T705*$T$2))/A700,2)*$C$2,2))</f>
        <v>0</v>
      </c>
      <c r="F700" s="632">
        <f>ROUND($A700*$E700,2)</f>
        <v>0</v>
      </c>
      <c r="G700" s="88" t="s">
        <v>135</v>
      </c>
      <c r="H700" s="2"/>
      <c r="I700" s="633"/>
      <c r="J700" s="2"/>
      <c r="K700" s="2" t="s">
        <v>3</v>
      </c>
      <c r="L700" s="634" t="s">
        <v>136</v>
      </c>
      <c r="M700" s="634"/>
      <c r="N700" s="634"/>
      <c r="O700" s="634"/>
      <c r="P700" s="634"/>
      <c r="Q700" s="616" t="s">
        <v>256</v>
      </c>
      <c r="T700" s="635" t="str">
        <f>IF(AND($R705=0,$T705=0),"0.00","mu :" &amp; ROUND($F700/$C$2/($R705+$T705*$D$9),2))</f>
        <v>0.00</v>
      </c>
      <c r="W700" s="636"/>
      <c r="AG700" s="637">
        <f>IF($E700=0,0,ROUND($R705*$S$2*$C$2/$A700,2))</f>
        <v>0</v>
      </c>
      <c r="AH700" s="637">
        <f>$AG700*$A700</f>
        <v>0</v>
      </c>
      <c r="AI700" s="638">
        <f>$E700-$AG700</f>
        <v>0</v>
      </c>
      <c r="AJ700" s="638">
        <f>$A700*$AI700</f>
        <v>0</v>
      </c>
      <c r="AK700" s="639">
        <f>ROUND(($AG700+$AI700)*$A700,2)</f>
        <v>0</v>
      </c>
      <c r="AM700" s="640">
        <f>ROUND(R705,2)</f>
        <v>0</v>
      </c>
      <c r="AN700" s="641">
        <f>ROUND(T705,2)</f>
        <v>0</v>
      </c>
      <c r="AO700" s="642">
        <f>ROUND(AM700+AN700,2)*A700</f>
        <v>0</v>
      </c>
    </row>
    <row r="701" spans="1:41" s="618" customFormat="1" ht="36">
      <c r="A701" s="616"/>
      <c r="B701" s="616"/>
      <c r="C701" s="616"/>
      <c r="D701" s="744" t="s">
        <v>329</v>
      </c>
      <c r="E701" s="744"/>
      <c r="F701" s="744"/>
      <c r="G701" s="744"/>
      <c r="H701" s="744"/>
      <c r="I701" s="744"/>
      <c r="J701" s="744"/>
      <c r="K701" s="744"/>
      <c r="L701" s="744"/>
      <c r="M701" s="744"/>
      <c r="N701" s="744"/>
      <c r="O701" s="744"/>
      <c r="P701" s="744"/>
      <c r="Q701" s="744"/>
      <c r="R701" s="669"/>
      <c r="S701" s="669"/>
      <c r="T701" s="669"/>
    </row>
    <row r="702" spans="1:41" s="618" customFormat="1" ht="12">
      <c r="A702" s="616"/>
      <c r="B702" s="645"/>
      <c r="C702" s="645"/>
      <c r="D702" s="645"/>
      <c r="E702" s="645"/>
      <c r="F702" s="2"/>
      <c r="G702" s="645"/>
      <c r="H702" s="645"/>
      <c r="I702" s="646"/>
      <c r="J702" s="645"/>
      <c r="K702" s="645"/>
      <c r="L702" s="645"/>
      <c r="M702" s="645"/>
      <c r="N702" s="645"/>
      <c r="O702" s="645"/>
      <c r="P702" s="645"/>
      <c r="Q702" s="646"/>
      <c r="R702" s="647">
        <f t="shared" ref="R702:R704" si="168">$A702*Q702</f>
        <v>0</v>
      </c>
      <c r="S702" s="646"/>
      <c r="T702" s="648">
        <f t="shared" ref="T702:T704" si="169">$A702*S702*$T$1</f>
        <v>0</v>
      </c>
    </row>
    <row r="703" spans="1:41" s="618" customFormat="1" ht="12">
      <c r="A703" s="616"/>
      <c r="B703" s="645"/>
      <c r="C703" s="645"/>
      <c r="D703" s="616" t="s">
        <v>256</v>
      </c>
      <c r="E703" s="645"/>
      <c r="F703" s="2"/>
      <c r="G703" s="645"/>
      <c r="H703" s="645"/>
      <c r="I703" s="646"/>
      <c r="J703" s="645"/>
      <c r="K703" s="645"/>
      <c r="L703" s="645"/>
      <c r="M703" s="645"/>
      <c r="N703" s="645"/>
      <c r="O703" s="645"/>
      <c r="P703" s="645"/>
      <c r="Q703" s="646"/>
      <c r="R703" s="647">
        <f t="shared" si="168"/>
        <v>0</v>
      </c>
      <c r="S703" s="646"/>
      <c r="T703" s="648">
        <f t="shared" si="169"/>
        <v>0</v>
      </c>
    </row>
    <row r="704" spans="1:41" s="618" customFormat="1" ht="12">
      <c r="A704" s="645"/>
      <c r="B704" s="645"/>
      <c r="C704" s="645"/>
      <c r="D704" s="645"/>
      <c r="E704" s="645"/>
      <c r="F704" s="2"/>
      <c r="G704" s="645"/>
      <c r="H704" s="645"/>
      <c r="I704" s="646"/>
      <c r="J704" s="645"/>
      <c r="K704" s="645"/>
      <c r="L704" s="645"/>
      <c r="M704" s="645"/>
      <c r="N704" s="645"/>
      <c r="O704" s="645"/>
      <c r="P704" s="645"/>
      <c r="Q704" s="646"/>
      <c r="R704" s="647">
        <f t="shared" si="168"/>
        <v>0</v>
      </c>
      <c r="S704" s="646"/>
      <c r="T704" s="648">
        <f t="shared" si="169"/>
        <v>0</v>
      </c>
    </row>
    <row r="705" spans="1:41" s="618" customFormat="1" ht="12.6" thickBot="1">
      <c r="A705" s="649" t="s">
        <v>137</v>
      </c>
      <c r="B705" s="650">
        <f>(R704+T704)</f>
        <v>0</v>
      </c>
      <c r="C705" s="651"/>
      <c r="D705" s="651"/>
      <c r="E705" s="651"/>
      <c r="F705" s="652"/>
      <c r="G705" s="651" t="s">
        <v>503</v>
      </c>
      <c r="H705" s="651"/>
      <c r="I705" s="653"/>
      <c r="J705" s="651"/>
      <c r="K705" s="651" t="s">
        <v>3</v>
      </c>
      <c r="L705" s="654" t="s">
        <v>136</v>
      </c>
      <c r="M705" s="654"/>
      <c r="N705" s="654"/>
      <c r="O705" s="654"/>
      <c r="P705" s="654"/>
      <c r="Q705" s="655"/>
      <c r="R705" s="656">
        <f>SUM(R701:R704)</f>
        <v>0</v>
      </c>
      <c r="S705" s="651"/>
      <c r="T705" s="656">
        <f>SUM(T701:T704)</f>
        <v>0</v>
      </c>
      <c r="U705" s="621"/>
      <c r="V705" s="621"/>
      <c r="W705" s="621"/>
      <c r="X705" s="621"/>
      <c r="Y705" s="621"/>
      <c r="Z705" s="621"/>
      <c r="AA705" s="621"/>
      <c r="AB705" s="621"/>
      <c r="AC705" s="621"/>
      <c r="AD705" s="621"/>
      <c r="AE705" s="621"/>
      <c r="AF705" s="621"/>
      <c r="AG705" s="621"/>
      <c r="AH705" s="621"/>
      <c r="AI705" s="621"/>
      <c r="AJ705" s="621"/>
      <c r="AK705" s="621"/>
      <c r="AL705" s="621"/>
      <c r="AM705" s="621"/>
      <c r="AN705" s="621"/>
      <c r="AO705" s="621"/>
    </row>
    <row r="706" spans="1:41" s="618" customFormat="1" ht="12" thickTop="1">
      <c r="A706" s="616"/>
      <c r="B706" s="622"/>
      <c r="C706" s="616"/>
      <c r="E706" s="37" t="s">
        <v>491</v>
      </c>
      <c r="F706" s="37" t="s">
        <v>492</v>
      </c>
      <c r="G706" s="616"/>
      <c r="H706" s="616"/>
      <c r="I706" s="616"/>
      <c r="J706" s="616"/>
      <c r="K706" s="616" t="s">
        <v>493</v>
      </c>
      <c r="L706" s="616"/>
      <c r="M706" s="616"/>
      <c r="N706" s="616"/>
      <c r="O706" s="617"/>
      <c r="P706" s="616"/>
      <c r="Q706" s="616"/>
      <c r="R706" s="616"/>
      <c r="S706" s="616"/>
      <c r="T706" s="622"/>
      <c r="AG706" s="623" t="s">
        <v>494</v>
      </c>
      <c r="AH706" s="623" t="s">
        <v>495</v>
      </c>
      <c r="AI706" s="623" t="s">
        <v>496</v>
      </c>
      <c r="AJ706" s="623" t="s">
        <v>497</v>
      </c>
      <c r="AK706" s="623" t="s">
        <v>498</v>
      </c>
      <c r="AM706" s="624" t="s">
        <v>499</v>
      </c>
      <c r="AN706" s="625" t="s">
        <v>500</v>
      </c>
      <c r="AO706" s="626" t="s">
        <v>501</v>
      </c>
    </row>
    <row r="707" spans="1:41" s="618" customFormat="1" ht="12" customHeight="1">
      <c r="A707" s="627">
        <v>1</v>
      </c>
      <c r="B707" s="628" t="s">
        <v>330</v>
      </c>
      <c r="C707" s="629"/>
      <c r="D707" s="630" t="s">
        <v>612</v>
      </c>
      <c r="E707" s="631">
        <f>IF(AND($A707=0,$A$1="DIF"),0, ROUND(ROUND(($R712*$S$2+($T712*$T$2))/A707,2)*$C$2,2))</f>
        <v>0</v>
      </c>
      <c r="F707" s="632">
        <f>ROUND($A707*$E707,2)</f>
        <v>0</v>
      </c>
      <c r="G707" s="88" t="s">
        <v>135</v>
      </c>
      <c r="H707" s="2"/>
      <c r="I707" s="633"/>
      <c r="J707" s="2"/>
      <c r="K707" s="2" t="s">
        <v>3</v>
      </c>
      <c r="L707" s="634" t="s">
        <v>136</v>
      </c>
      <c r="M707" s="634"/>
      <c r="N707" s="634"/>
      <c r="O707" s="634"/>
      <c r="P707" s="634"/>
      <c r="Q707" s="616" t="s">
        <v>256</v>
      </c>
      <c r="T707" s="635" t="str">
        <f>IF(AND($R712=0,$T712=0),"0.00","mu :" &amp; ROUND($F707/$C$2/($R712+$T712*$D$9),2))</f>
        <v>0.00</v>
      </c>
      <c r="W707" s="636"/>
      <c r="AG707" s="637">
        <f>IF($E707=0,0,ROUND($R712*$S$2*$C$2/$A707,2))</f>
        <v>0</v>
      </c>
      <c r="AH707" s="637">
        <f>$AG707*$A707</f>
        <v>0</v>
      </c>
      <c r="AI707" s="638">
        <f>$E707-$AG707</f>
        <v>0</v>
      </c>
      <c r="AJ707" s="638">
        <f>$A707*$AI707</f>
        <v>0</v>
      </c>
      <c r="AK707" s="639">
        <f>ROUND(($AG707+$AI707)*$A707,2)</f>
        <v>0</v>
      </c>
      <c r="AM707" s="640">
        <f>ROUND(R712,2)</f>
        <v>0</v>
      </c>
      <c r="AN707" s="641">
        <f>ROUND(T712,2)</f>
        <v>0</v>
      </c>
      <c r="AO707" s="642">
        <f>ROUND(AM707+AN707,2)*A707</f>
        <v>0</v>
      </c>
    </row>
    <row r="708" spans="1:41" s="618" customFormat="1" ht="72">
      <c r="A708" s="616"/>
      <c r="B708" s="616"/>
      <c r="C708" s="616"/>
      <c r="D708" s="744" t="s">
        <v>331</v>
      </c>
      <c r="E708" s="744"/>
      <c r="F708" s="744"/>
      <c r="G708" s="744"/>
      <c r="H708" s="744"/>
      <c r="I708" s="744"/>
      <c r="J708" s="744"/>
      <c r="K708" s="744"/>
      <c r="L708" s="744"/>
      <c r="M708" s="744"/>
      <c r="N708" s="744"/>
      <c r="O708" s="744"/>
      <c r="P708" s="744"/>
      <c r="Q708" s="744"/>
      <c r="R708" s="669"/>
      <c r="S708" s="669"/>
      <c r="T708" s="669"/>
    </row>
    <row r="709" spans="1:41" s="618" customFormat="1" ht="12">
      <c r="A709" s="616"/>
      <c r="B709" s="645"/>
      <c r="C709" s="645"/>
      <c r="D709" s="645"/>
      <c r="E709" s="645"/>
      <c r="F709" s="2"/>
      <c r="G709" s="645"/>
      <c r="H709" s="645"/>
      <c r="I709" s="646"/>
      <c r="J709" s="645"/>
      <c r="K709" s="645"/>
      <c r="L709" s="645"/>
      <c r="M709" s="645"/>
      <c r="N709" s="645"/>
      <c r="O709" s="645"/>
      <c r="P709" s="645"/>
      <c r="Q709" s="646"/>
      <c r="R709" s="647">
        <f t="shared" ref="R709:R711" si="170">$A709*Q709</f>
        <v>0</v>
      </c>
      <c r="S709" s="646"/>
      <c r="T709" s="648">
        <f t="shared" ref="T709:T711" si="171">$A709*S709*$T$1</f>
        <v>0</v>
      </c>
    </row>
    <row r="710" spans="1:41" s="618" customFormat="1" ht="12">
      <c r="A710" s="616"/>
      <c r="B710" s="645"/>
      <c r="C710" s="645"/>
      <c r="D710" s="616" t="s">
        <v>256</v>
      </c>
      <c r="E710" s="645"/>
      <c r="F710" s="2"/>
      <c r="G710" s="645"/>
      <c r="H710" s="645"/>
      <c r="I710" s="646"/>
      <c r="J710" s="645"/>
      <c r="K710" s="645"/>
      <c r="L710" s="645"/>
      <c r="M710" s="645"/>
      <c r="N710" s="645"/>
      <c r="O710" s="645"/>
      <c r="P710" s="645"/>
      <c r="Q710" s="646"/>
      <c r="R710" s="647">
        <f t="shared" si="170"/>
        <v>0</v>
      </c>
      <c r="S710" s="646"/>
      <c r="T710" s="648">
        <f t="shared" si="171"/>
        <v>0</v>
      </c>
    </row>
    <row r="711" spans="1:41" s="618" customFormat="1" ht="12">
      <c r="A711" s="645"/>
      <c r="B711" s="645"/>
      <c r="C711" s="645"/>
      <c r="D711" s="645"/>
      <c r="E711" s="645"/>
      <c r="F711" s="2"/>
      <c r="G711" s="645"/>
      <c r="H711" s="645"/>
      <c r="I711" s="646"/>
      <c r="J711" s="645"/>
      <c r="K711" s="645"/>
      <c r="L711" s="645"/>
      <c r="M711" s="645"/>
      <c r="N711" s="645"/>
      <c r="O711" s="645"/>
      <c r="P711" s="645"/>
      <c r="Q711" s="646"/>
      <c r="R711" s="647">
        <f t="shared" si="170"/>
        <v>0</v>
      </c>
      <c r="S711" s="646"/>
      <c r="T711" s="648">
        <f t="shared" si="171"/>
        <v>0</v>
      </c>
    </row>
    <row r="712" spans="1:41" s="618" customFormat="1" ht="12.6" thickBot="1">
      <c r="A712" s="649" t="s">
        <v>137</v>
      </c>
      <c r="B712" s="650">
        <f>(R711+T711)</f>
        <v>0</v>
      </c>
      <c r="C712" s="651"/>
      <c r="D712" s="651"/>
      <c r="E712" s="651"/>
      <c r="F712" s="652"/>
      <c r="G712" s="651" t="s">
        <v>503</v>
      </c>
      <c r="H712" s="651"/>
      <c r="I712" s="653"/>
      <c r="J712" s="651"/>
      <c r="K712" s="651" t="s">
        <v>3</v>
      </c>
      <c r="L712" s="654" t="s">
        <v>136</v>
      </c>
      <c r="M712" s="654"/>
      <c r="N712" s="654"/>
      <c r="O712" s="654"/>
      <c r="P712" s="654"/>
      <c r="Q712" s="655"/>
      <c r="R712" s="656">
        <f>SUM(R708:R711)</f>
        <v>0</v>
      </c>
      <c r="S712" s="651"/>
      <c r="T712" s="656">
        <f>SUM(T708:T711)</f>
        <v>0</v>
      </c>
      <c r="U712" s="621"/>
      <c r="V712" s="621"/>
      <c r="W712" s="621"/>
      <c r="X712" s="621"/>
      <c r="Y712" s="621"/>
      <c r="Z712" s="621"/>
      <c r="AA712" s="621"/>
      <c r="AB712" s="621"/>
      <c r="AC712" s="621"/>
      <c r="AD712" s="621"/>
      <c r="AE712" s="621"/>
      <c r="AF712" s="621"/>
      <c r="AG712" s="621"/>
      <c r="AH712" s="621"/>
      <c r="AI712" s="621"/>
      <c r="AJ712" s="621"/>
      <c r="AK712" s="621"/>
      <c r="AL712" s="621"/>
      <c r="AM712" s="621"/>
      <c r="AN712" s="621"/>
      <c r="AO712" s="621"/>
    </row>
    <row r="713" spans="1:41" s="618" customFormat="1" thickTop="1">
      <c r="A713" s="616"/>
      <c r="B713" s="616"/>
      <c r="C713" s="3"/>
      <c r="D713" s="3"/>
      <c r="E713" s="616"/>
      <c r="F713" s="616"/>
      <c r="G713" s="616"/>
      <c r="H713" s="616"/>
      <c r="I713" s="616"/>
      <c r="J713" s="616"/>
      <c r="K713" s="616" t="s">
        <v>489</v>
      </c>
      <c r="L713" s="616"/>
      <c r="M713" s="616"/>
      <c r="N713" s="616"/>
      <c r="O713" s="617"/>
      <c r="P713" s="616"/>
      <c r="Q713" s="616"/>
      <c r="R713" s="616"/>
      <c r="S713" s="616"/>
      <c r="T713" s="616"/>
    </row>
    <row r="714" spans="1:41" s="618" customFormat="1" ht="12">
      <c r="A714" s="616"/>
      <c r="B714" s="616"/>
      <c r="C714" s="616" t="s">
        <v>490</v>
      </c>
      <c r="D714" s="619"/>
      <c r="E714" s="616"/>
      <c r="F714" s="616"/>
      <c r="G714" s="616"/>
      <c r="H714" s="616"/>
      <c r="I714" s="616"/>
      <c r="J714" s="616"/>
      <c r="K714" s="616"/>
      <c r="L714" s="616"/>
      <c r="M714" s="616"/>
      <c r="N714" s="616"/>
      <c r="O714" s="617"/>
      <c r="P714" s="616"/>
      <c r="Q714" s="616"/>
      <c r="R714" s="616"/>
      <c r="S714" s="616"/>
      <c r="T714" s="616"/>
    </row>
    <row r="715" spans="1:41" s="618" customFormat="1" ht="12">
      <c r="A715" s="616"/>
      <c r="B715" s="616"/>
      <c r="C715" s="616"/>
      <c r="D715" s="619" t="s">
        <v>332</v>
      </c>
      <c r="E715" s="616"/>
      <c r="F715" s="616"/>
      <c r="G715" s="616"/>
      <c r="H715" s="616"/>
      <c r="I715" s="616"/>
      <c r="J715" s="616"/>
      <c r="K715" s="616"/>
      <c r="L715" s="616"/>
      <c r="M715" s="616"/>
      <c r="N715" s="616"/>
      <c r="O715" s="617"/>
      <c r="P715" s="616"/>
      <c r="Q715" s="616"/>
      <c r="R715" s="616"/>
      <c r="S715" s="620"/>
      <c r="T715" s="620"/>
    </row>
    <row r="716" spans="1:41" s="3" customFormat="1" thickBot="1">
      <c r="A716" s="621"/>
      <c r="O716" s="96"/>
    </row>
    <row r="717" spans="1:41" s="618" customFormat="1" ht="12" thickTop="1">
      <c r="A717" s="616"/>
      <c r="B717" s="622"/>
      <c r="C717" s="616"/>
      <c r="E717" s="37" t="s">
        <v>491</v>
      </c>
      <c r="F717" s="37" t="s">
        <v>492</v>
      </c>
      <c r="G717" s="616"/>
      <c r="H717" s="616"/>
      <c r="I717" s="616"/>
      <c r="J717" s="616"/>
      <c r="K717" s="616" t="s">
        <v>493</v>
      </c>
      <c r="L717" s="616"/>
      <c r="M717" s="616"/>
      <c r="N717" s="616"/>
      <c r="O717" s="617"/>
      <c r="P717" s="616"/>
      <c r="Q717" s="616"/>
      <c r="R717" s="616"/>
      <c r="S717" s="616"/>
      <c r="T717" s="622"/>
      <c r="AG717" s="623" t="s">
        <v>494</v>
      </c>
      <c r="AH717" s="623" t="s">
        <v>495</v>
      </c>
      <c r="AI717" s="623" t="s">
        <v>496</v>
      </c>
      <c r="AJ717" s="623" t="s">
        <v>497</v>
      </c>
      <c r="AK717" s="623" t="s">
        <v>498</v>
      </c>
      <c r="AM717" s="624" t="s">
        <v>499</v>
      </c>
      <c r="AN717" s="625" t="s">
        <v>500</v>
      </c>
      <c r="AO717" s="626" t="s">
        <v>501</v>
      </c>
    </row>
    <row r="718" spans="1:41" s="618" customFormat="1" ht="12" customHeight="1">
      <c r="A718" s="627">
        <v>1</v>
      </c>
      <c r="B718" s="628" t="s">
        <v>330</v>
      </c>
      <c r="C718" s="629"/>
      <c r="D718" s="630" t="s">
        <v>613</v>
      </c>
      <c r="E718" s="631">
        <f>IF(AND($A718=0,$A$1="DIF"),0, ROUND(ROUND(($R723*$S$2+($T723*$T$2))/A718,2)*$C$2,2))</f>
        <v>0</v>
      </c>
      <c r="F718" s="632">
        <f>ROUND($A718*$E718,2)</f>
        <v>0</v>
      </c>
      <c r="G718" s="88" t="s">
        <v>135</v>
      </c>
      <c r="H718" s="2"/>
      <c r="I718" s="633"/>
      <c r="J718" s="2"/>
      <c r="K718" s="2" t="s">
        <v>3</v>
      </c>
      <c r="L718" s="634" t="s">
        <v>136</v>
      </c>
      <c r="M718" s="634"/>
      <c r="N718" s="634"/>
      <c r="O718" s="634"/>
      <c r="P718" s="634"/>
      <c r="Q718" s="616" t="s">
        <v>256</v>
      </c>
      <c r="T718" s="635" t="str">
        <f>IF(AND($R723=0,$T723=0),"0.00","mu :" &amp; ROUND($F718/$C$2/($R723+$T723*$D$9),2))</f>
        <v>0.00</v>
      </c>
      <c r="W718" s="636"/>
      <c r="AG718" s="637">
        <f>IF($E718=0,0,ROUND($R723*$S$2*$C$2/$A718,2))</f>
        <v>0</v>
      </c>
      <c r="AH718" s="637">
        <f>$AG718*$A718</f>
        <v>0</v>
      </c>
      <c r="AI718" s="638">
        <f>$E718-$AG718</f>
        <v>0</v>
      </c>
      <c r="AJ718" s="638">
        <f>$A718*$AI718</f>
        <v>0</v>
      </c>
      <c r="AK718" s="639">
        <f>ROUND(($AG718+$AI718)*$A718,2)</f>
        <v>0</v>
      </c>
      <c r="AM718" s="640">
        <f>ROUND(R723,2)</f>
        <v>0</v>
      </c>
      <c r="AN718" s="641">
        <f>ROUND(T723,2)</f>
        <v>0</v>
      </c>
      <c r="AO718" s="642">
        <f>ROUND(AM718+AN718,2)*A718</f>
        <v>0</v>
      </c>
    </row>
    <row r="719" spans="1:41" s="618" customFormat="1" ht="24">
      <c r="A719" s="616"/>
      <c r="B719" s="616"/>
      <c r="C719" s="616"/>
      <c r="D719" s="744" t="s">
        <v>333</v>
      </c>
      <c r="E719" s="744"/>
      <c r="F719" s="744"/>
      <c r="G719" s="744"/>
      <c r="H719" s="744"/>
      <c r="I719" s="744"/>
      <c r="J719" s="744"/>
      <c r="K719" s="744"/>
      <c r="L719" s="744"/>
      <c r="M719" s="744"/>
      <c r="N719" s="744"/>
      <c r="O719" s="744"/>
      <c r="P719" s="744"/>
      <c r="Q719" s="744"/>
      <c r="R719" s="669"/>
      <c r="S719" s="669"/>
      <c r="T719" s="669"/>
    </row>
    <row r="720" spans="1:41" s="618" customFormat="1" ht="12">
      <c r="A720" s="616"/>
      <c r="B720" s="645"/>
      <c r="C720" s="645"/>
      <c r="D720" s="645"/>
      <c r="E720" s="645"/>
      <c r="F720" s="2"/>
      <c r="G720" s="645"/>
      <c r="H720" s="645"/>
      <c r="I720" s="646"/>
      <c r="J720" s="645"/>
      <c r="K720" s="645"/>
      <c r="L720" s="645"/>
      <c r="M720" s="645"/>
      <c r="N720" s="645"/>
      <c r="O720" s="645"/>
      <c r="P720" s="645"/>
      <c r="Q720" s="646"/>
      <c r="R720" s="647">
        <f t="shared" ref="R720:R722" si="172">$A720*Q720</f>
        <v>0</v>
      </c>
      <c r="S720" s="646"/>
      <c r="T720" s="648">
        <f t="shared" ref="T720:T722" si="173">$A720*S720*$T$1</f>
        <v>0</v>
      </c>
    </row>
    <row r="721" spans="1:41" s="618" customFormat="1" ht="12">
      <c r="A721" s="616"/>
      <c r="B721" s="645"/>
      <c r="C721" s="645"/>
      <c r="D721" s="616" t="s">
        <v>256</v>
      </c>
      <c r="E721" s="645"/>
      <c r="F721" s="2"/>
      <c r="G721" s="645"/>
      <c r="H721" s="645"/>
      <c r="I721" s="646"/>
      <c r="J721" s="645"/>
      <c r="K721" s="645"/>
      <c r="L721" s="645"/>
      <c r="M721" s="645"/>
      <c r="N721" s="645"/>
      <c r="O721" s="645"/>
      <c r="P721" s="645"/>
      <c r="Q721" s="646"/>
      <c r="R721" s="647">
        <f t="shared" si="172"/>
        <v>0</v>
      </c>
      <c r="S721" s="646"/>
      <c r="T721" s="648">
        <f t="shared" si="173"/>
        <v>0</v>
      </c>
    </row>
    <row r="722" spans="1:41" s="618" customFormat="1" ht="12">
      <c r="A722" s="645"/>
      <c r="B722" s="645"/>
      <c r="C722" s="645"/>
      <c r="D722" s="645"/>
      <c r="E722" s="645"/>
      <c r="F722" s="2"/>
      <c r="G722" s="645"/>
      <c r="H722" s="645"/>
      <c r="I722" s="646"/>
      <c r="J722" s="645"/>
      <c r="K722" s="645"/>
      <c r="L722" s="645"/>
      <c r="M722" s="645"/>
      <c r="N722" s="645"/>
      <c r="O722" s="645"/>
      <c r="P722" s="645"/>
      <c r="Q722" s="646"/>
      <c r="R722" s="647">
        <f t="shared" si="172"/>
        <v>0</v>
      </c>
      <c r="S722" s="646"/>
      <c r="T722" s="648">
        <f t="shared" si="173"/>
        <v>0</v>
      </c>
    </row>
    <row r="723" spans="1:41" s="618" customFormat="1" ht="12.6" thickBot="1">
      <c r="A723" s="649" t="s">
        <v>137</v>
      </c>
      <c r="B723" s="650">
        <f>(R722+T722)</f>
        <v>0</v>
      </c>
      <c r="C723" s="651"/>
      <c r="D723" s="651"/>
      <c r="E723" s="651"/>
      <c r="F723" s="652"/>
      <c r="G723" s="651" t="s">
        <v>503</v>
      </c>
      <c r="H723" s="651"/>
      <c r="I723" s="653"/>
      <c r="J723" s="651"/>
      <c r="K723" s="651" t="s">
        <v>3</v>
      </c>
      <c r="L723" s="654" t="s">
        <v>136</v>
      </c>
      <c r="M723" s="654"/>
      <c r="N723" s="654"/>
      <c r="O723" s="654"/>
      <c r="P723" s="654"/>
      <c r="Q723" s="655"/>
      <c r="R723" s="656">
        <f>SUM(R719:R722)</f>
        <v>0</v>
      </c>
      <c r="S723" s="651"/>
      <c r="T723" s="656">
        <f>SUM(T719:T722)</f>
        <v>0</v>
      </c>
      <c r="U723" s="621"/>
      <c r="V723" s="621"/>
      <c r="W723" s="621"/>
      <c r="X723" s="621"/>
      <c r="Y723" s="621"/>
      <c r="Z723" s="621"/>
      <c r="AA723" s="621"/>
      <c r="AB723" s="621"/>
      <c r="AC723" s="621"/>
      <c r="AD723" s="621"/>
      <c r="AE723" s="621"/>
      <c r="AF723" s="621"/>
      <c r="AG723" s="621"/>
      <c r="AH723" s="621"/>
      <c r="AI723" s="621"/>
      <c r="AJ723" s="621"/>
      <c r="AK723" s="621"/>
      <c r="AL723" s="621"/>
      <c r="AM723" s="621"/>
      <c r="AN723" s="621"/>
      <c r="AO723" s="621"/>
    </row>
    <row r="724" spans="1:41" s="618" customFormat="1" thickTop="1">
      <c r="A724" s="616"/>
      <c r="B724" s="616"/>
      <c r="C724" s="3"/>
      <c r="D724" s="3"/>
      <c r="E724" s="616"/>
      <c r="F724" s="616"/>
      <c r="G724" s="616"/>
      <c r="H724" s="616"/>
      <c r="I724" s="616"/>
      <c r="J724" s="616"/>
      <c r="K724" s="616" t="s">
        <v>489</v>
      </c>
      <c r="L724" s="616"/>
      <c r="M724" s="616"/>
      <c r="N724" s="616"/>
      <c r="O724" s="617"/>
      <c r="P724" s="616"/>
      <c r="Q724" s="616"/>
      <c r="R724" s="616"/>
      <c r="S724" s="616"/>
      <c r="T724" s="616"/>
    </row>
    <row r="725" spans="1:41" s="618" customFormat="1" ht="12">
      <c r="A725" s="616"/>
      <c r="B725" s="616"/>
      <c r="C725" s="616" t="s">
        <v>490</v>
      </c>
      <c r="D725" s="619"/>
      <c r="E725" s="616"/>
      <c r="F725" s="616"/>
      <c r="G725" s="616"/>
      <c r="H725" s="616"/>
      <c r="I725" s="616"/>
      <c r="J725" s="616"/>
      <c r="K725" s="616"/>
      <c r="L725" s="616"/>
      <c r="M725" s="616"/>
      <c r="N725" s="616"/>
      <c r="O725" s="617"/>
      <c r="P725" s="616"/>
      <c r="Q725" s="616"/>
      <c r="R725" s="616"/>
      <c r="S725" s="616"/>
      <c r="T725" s="616"/>
    </row>
    <row r="726" spans="1:41" s="618" customFormat="1" ht="12">
      <c r="A726" s="616"/>
      <c r="B726" s="616"/>
      <c r="C726" s="616"/>
      <c r="D726" s="619" t="s">
        <v>334</v>
      </c>
      <c r="E726" s="616"/>
      <c r="F726" s="616"/>
      <c r="G726" s="616"/>
      <c r="H726" s="616"/>
      <c r="I726" s="616"/>
      <c r="J726" s="616"/>
      <c r="K726" s="616"/>
      <c r="L726" s="616"/>
      <c r="M726" s="616"/>
      <c r="N726" s="616"/>
      <c r="O726" s="617"/>
      <c r="P726" s="616"/>
      <c r="Q726" s="616"/>
      <c r="R726" s="616"/>
      <c r="S726" s="620"/>
      <c r="T726" s="620"/>
    </row>
    <row r="727" spans="1:41" s="3" customFormat="1" thickBot="1">
      <c r="A727" s="621"/>
      <c r="O727" s="96"/>
    </row>
    <row r="728" spans="1:41" s="618" customFormat="1" ht="12" thickTop="1">
      <c r="A728" s="616"/>
      <c r="B728" s="622"/>
      <c r="C728" s="616"/>
      <c r="E728" s="37" t="s">
        <v>491</v>
      </c>
      <c r="F728" s="37" t="s">
        <v>492</v>
      </c>
      <c r="G728" s="616"/>
      <c r="H728" s="616"/>
      <c r="I728" s="616"/>
      <c r="J728" s="616"/>
      <c r="K728" s="616" t="s">
        <v>493</v>
      </c>
      <c r="L728" s="616"/>
      <c r="M728" s="616"/>
      <c r="N728" s="616"/>
      <c r="O728" s="617"/>
      <c r="P728" s="616"/>
      <c r="Q728" s="616"/>
      <c r="R728" s="616"/>
      <c r="S728" s="616"/>
      <c r="T728" s="622"/>
      <c r="AG728" s="623" t="s">
        <v>494</v>
      </c>
      <c r="AH728" s="623" t="s">
        <v>495</v>
      </c>
      <c r="AI728" s="623" t="s">
        <v>496</v>
      </c>
      <c r="AJ728" s="623" t="s">
        <v>497</v>
      </c>
      <c r="AK728" s="623" t="s">
        <v>498</v>
      </c>
      <c r="AM728" s="624" t="s">
        <v>499</v>
      </c>
      <c r="AN728" s="625" t="s">
        <v>500</v>
      </c>
      <c r="AO728" s="626" t="s">
        <v>501</v>
      </c>
    </row>
    <row r="729" spans="1:41" s="618" customFormat="1" ht="12" customHeight="1">
      <c r="A729" s="627">
        <v>1</v>
      </c>
      <c r="B729" s="628" t="s">
        <v>330</v>
      </c>
      <c r="C729" s="629"/>
      <c r="D729" s="630" t="s">
        <v>614</v>
      </c>
      <c r="E729" s="631">
        <f>IF(AND($A729=0,$A$1="DIF"),0, ROUND(ROUND(($R734*$S$2+($T734*$T$2))/A729,2)*$C$2,2))</f>
        <v>0</v>
      </c>
      <c r="F729" s="632">
        <f>ROUND($A729*$E729,2)</f>
        <v>0</v>
      </c>
      <c r="G729" s="88" t="s">
        <v>135</v>
      </c>
      <c r="H729" s="2"/>
      <c r="I729" s="633"/>
      <c r="J729" s="2"/>
      <c r="K729" s="2" t="s">
        <v>3</v>
      </c>
      <c r="L729" s="634" t="s">
        <v>136</v>
      </c>
      <c r="M729" s="634"/>
      <c r="N729" s="634"/>
      <c r="O729" s="634"/>
      <c r="P729" s="634"/>
      <c r="Q729" s="616" t="s">
        <v>256</v>
      </c>
      <c r="T729" s="635" t="str">
        <f>IF(AND($R734=0,$T734=0),"0.00","mu :" &amp; ROUND($F729/$C$2/($R734+$T734*$D$9),2))</f>
        <v>0.00</v>
      </c>
      <c r="W729" s="636"/>
      <c r="AG729" s="637">
        <f>IF($E729=0,0,ROUND($R734*$S$2*$C$2/$A729,2))</f>
        <v>0</v>
      </c>
      <c r="AH729" s="637">
        <f>$AG729*$A729</f>
        <v>0</v>
      </c>
      <c r="AI729" s="638">
        <f>$E729-$AG729</f>
        <v>0</v>
      </c>
      <c r="AJ729" s="638">
        <f>$A729*$AI729</f>
        <v>0</v>
      </c>
      <c r="AK729" s="639">
        <f>ROUND(($AG729+$AI729)*$A729,2)</f>
        <v>0</v>
      </c>
      <c r="AM729" s="640">
        <f>ROUND(R734,2)</f>
        <v>0</v>
      </c>
      <c r="AN729" s="641">
        <f>ROUND(T734,2)</f>
        <v>0</v>
      </c>
      <c r="AO729" s="642">
        <f>ROUND(AM729+AN729,2)*A729</f>
        <v>0</v>
      </c>
    </row>
    <row r="730" spans="1:41" s="618" customFormat="1" ht="24">
      <c r="A730" s="616"/>
      <c r="B730" s="616"/>
      <c r="C730" s="616"/>
      <c r="D730" s="744" t="s">
        <v>335</v>
      </c>
      <c r="E730" s="744"/>
      <c r="F730" s="744"/>
      <c r="G730" s="744"/>
      <c r="H730" s="744"/>
      <c r="I730" s="744"/>
      <c r="J730" s="744"/>
      <c r="K730" s="744" t="s">
        <v>502</v>
      </c>
      <c r="L730" s="744"/>
      <c r="M730" s="744"/>
      <c r="N730" s="744"/>
      <c r="O730" s="744"/>
      <c r="P730" s="744"/>
      <c r="Q730" s="744"/>
      <c r="R730" s="669"/>
      <c r="S730" s="669"/>
      <c r="T730" s="669"/>
    </row>
    <row r="731" spans="1:41" s="618" customFormat="1" ht="12">
      <c r="A731" s="616"/>
      <c r="B731" s="645"/>
      <c r="C731" s="645"/>
      <c r="D731" s="645"/>
      <c r="E731" s="645"/>
      <c r="F731" s="2"/>
      <c r="G731" s="645"/>
      <c r="H731" s="645"/>
      <c r="I731" s="646"/>
      <c r="J731" s="645"/>
      <c r="K731" s="645"/>
      <c r="L731" s="645"/>
      <c r="M731" s="645"/>
      <c r="N731" s="645"/>
      <c r="O731" s="645"/>
      <c r="P731" s="645"/>
      <c r="Q731" s="646"/>
      <c r="R731" s="647">
        <f t="shared" ref="R731:R733" si="174">$A731*Q731</f>
        <v>0</v>
      </c>
      <c r="S731" s="646"/>
      <c r="T731" s="648">
        <f t="shared" ref="T731:T733" si="175">$A731*S731*$T$1</f>
        <v>0</v>
      </c>
    </row>
    <row r="732" spans="1:41" s="618" customFormat="1" ht="12">
      <c r="A732" s="616"/>
      <c r="B732" s="645"/>
      <c r="C732" s="645"/>
      <c r="D732" s="616" t="s">
        <v>256</v>
      </c>
      <c r="E732" s="645"/>
      <c r="F732" s="2"/>
      <c r="G732" s="645"/>
      <c r="H732" s="645"/>
      <c r="I732" s="646"/>
      <c r="J732" s="645"/>
      <c r="K732" s="645"/>
      <c r="L732" s="645"/>
      <c r="M732" s="645"/>
      <c r="N732" s="645"/>
      <c r="O732" s="645"/>
      <c r="P732" s="645"/>
      <c r="Q732" s="646"/>
      <c r="R732" s="647">
        <f t="shared" si="174"/>
        <v>0</v>
      </c>
      <c r="S732" s="646"/>
      <c r="T732" s="648">
        <f t="shared" si="175"/>
        <v>0</v>
      </c>
    </row>
    <row r="733" spans="1:41" s="618" customFormat="1" ht="12">
      <c r="A733" s="645"/>
      <c r="B733" s="645"/>
      <c r="C733" s="645"/>
      <c r="D733" s="645"/>
      <c r="E733" s="645"/>
      <c r="F733" s="2"/>
      <c r="G733" s="645"/>
      <c r="H733" s="645"/>
      <c r="I733" s="646"/>
      <c r="J733" s="645"/>
      <c r="K733" s="645"/>
      <c r="L733" s="645"/>
      <c r="M733" s="645"/>
      <c r="N733" s="645"/>
      <c r="O733" s="645"/>
      <c r="P733" s="645"/>
      <c r="Q733" s="646"/>
      <c r="R733" s="647">
        <f t="shared" si="174"/>
        <v>0</v>
      </c>
      <c r="S733" s="646"/>
      <c r="T733" s="648">
        <f t="shared" si="175"/>
        <v>0</v>
      </c>
    </row>
    <row r="734" spans="1:41" s="618" customFormat="1" ht="12.6" thickBot="1">
      <c r="A734" s="649" t="s">
        <v>137</v>
      </c>
      <c r="B734" s="650">
        <f>(R733+T733)</f>
        <v>0</v>
      </c>
      <c r="C734" s="651"/>
      <c r="D734" s="651"/>
      <c r="E734" s="651"/>
      <c r="F734" s="652"/>
      <c r="G734" s="651" t="s">
        <v>503</v>
      </c>
      <c r="H734" s="651"/>
      <c r="I734" s="653"/>
      <c r="J734" s="651"/>
      <c r="K734" s="651" t="s">
        <v>3</v>
      </c>
      <c r="L734" s="654" t="s">
        <v>136</v>
      </c>
      <c r="M734" s="654"/>
      <c r="N734" s="654"/>
      <c r="O734" s="654"/>
      <c r="P734" s="654"/>
      <c r="Q734" s="655"/>
      <c r="R734" s="656">
        <f>SUM(R730:R733)</f>
        <v>0</v>
      </c>
      <c r="S734" s="651"/>
      <c r="T734" s="656">
        <f>SUM(T730:T733)</f>
        <v>0</v>
      </c>
      <c r="U734" s="621"/>
      <c r="V734" s="621"/>
      <c r="W734" s="621"/>
      <c r="X734" s="621"/>
      <c r="Y734" s="621"/>
      <c r="Z734" s="621"/>
      <c r="AA734" s="621"/>
      <c r="AB734" s="621"/>
      <c r="AC734" s="621"/>
      <c r="AD734" s="621"/>
      <c r="AE734" s="621"/>
      <c r="AF734" s="621"/>
      <c r="AG734" s="621"/>
      <c r="AH734" s="621"/>
      <c r="AI734" s="621"/>
      <c r="AJ734" s="621"/>
      <c r="AK734" s="621"/>
      <c r="AL734" s="621"/>
      <c r="AM734" s="621"/>
      <c r="AN734" s="621"/>
      <c r="AO734" s="621"/>
    </row>
    <row r="735" spans="1:41" s="618" customFormat="1" ht="12" thickTop="1">
      <c r="A735" s="616"/>
      <c r="B735" s="622"/>
      <c r="C735" s="616"/>
      <c r="E735" s="37" t="s">
        <v>491</v>
      </c>
      <c r="F735" s="37" t="s">
        <v>492</v>
      </c>
      <c r="G735" s="616"/>
      <c r="H735" s="616"/>
      <c r="I735" s="616"/>
      <c r="J735" s="616"/>
      <c r="K735" s="616" t="s">
        <v>493</v>
      </c>
      <c r="L735" s="616"/>
      <c r="M735" s="616"/>
      <c r="N735" s="616"/>
      <c r="O735" s="617"/>
      <c r="P735" s="616"/>
      <c r="Q735" s="616"/>
      <c r="R735" s="616"/>
      <c r="S735" s="616"/>
      <c r="T735" s="622"/>
      <c r="AG735" s="623" t="s">
        <v>494</v>
      </c>
      <c r="AH735" s="623" t="s">
        <v>495</v>
      </c>
      <c r="AI735" s="623" t="s">
        <v>496</v>
      </c>
      <c r="AJ735" s="623" t="s">
        <v>497</v>
      </c>
      <c r="AK735" s="623" t="s">
        <v>498</v>
      </c>
      <c r="AM735" s="624" t="s">
        <v>499</v>
      </c>
      <c r="AN735" s="625" t="s">
        <v>500</v>
      </c>
      <c r="AO735" s="626" t="s">
        <v>501</v>
      </c>
    </row>
    <row r="736" spans="1:41" s="618" customFormat="1" ht="12" customHeight="1">
      <c r="A736" s="627">
        <v>1</v>
      </c>
      <c r="B736" s="628" t="s">
        <v>330</v>
      </c>
      <c r="C736" s="629"/>
      <c r="D736" s="630" t="s">
        <v>615</v>
      </c>
      <c r="E736" s="631">
        <f>IF(AND($A736=0,$A$1="DIF"),0, ROUND(ROUND(($R741*$S$2+($T741*$T$2))/A736,2)*$C$2,2))</f>
        <v>0</v>
      </c>
      <c r="F736" s="632">
        <f>ROUND($A736*$E736,2)</f>
        <v>0</v>
      </c>
      <c r="G736" s="88" t="s">
        <v>135</v>
      </c>
      <c r="H736" s="2"/>
      <c r="I736" s="633"/>
      <c r="J736" s="2"/>
      <c r="K736" s="2" t="s">
        <v>3</v>
      </c>
      <c r="L736" s="634" t="s">
        <v>136</v>
      </c>
      <c r="M736" s="634"/>
      <c r="N736" s="634"/>
      <c r="O736" s="634"/>
      <c r="P736" s="634"/>
      <c r="Q736" s="616" t="s">
        <v>256</v>
      </c>
      <c r="T736" s="635" t="str">
        <f>IF(AND($R741=0,$T741=0),"0.00","mu :" &amp; ROUND($F736/$C$2/($R741+$T741*$D$9),2))</f>
        <v>0.00</v>
      </c>
      <c r="W736" s="636"/>
      <c r="AG736" s="637">
        <f>IF($E736=0,0,ROUND($R741*$S$2*$C$2/$A736,2))</f>
        <v>0</v>
      </c>
      <c r="AH736" s="637">
        <f>$AG736*$A736</f>
        <v>0</v>
      </c>
      <c r="AI736" s="638">
        <f>$E736-$AG736</f>
        <v>0</v>
      </c>
      <c r="AJ736" s="638">
        <f>$A736*$AI736</f>
        <v>0</v>
      </c>
      <c r="AK736" s="639">
        <f>ROUND(($AG736+$AI736)*$A736,2)</f>
        <v>0</v>
      </c>
      <c r="AM736" s="640">
        <f>ROUND(R741,2)</f>
        <v>0</v>
      </c>
      <c r="AN736" s="641">
        <f>ROUND(T741,2)</f>
        <v>0</v>
      </c>
      <c r="AO736" s="642">
        <f>ROUND(AM736+AN736,2)*A736</f>
        <v>0</v>
      </c>
    </row>
    <row r="737" spans="1:41" s="618" customFormat="1" ht="13.2">
      <c r="A737" s="629"/>
      <c r="B737"/>
      <c r="C737" s="629"/>
      <c r="D737" s="630" t="s">
        <v>336</v>
      </c>
      <c r="F737" s="2"/>
      <c r="G737" s="3"/>
      <c r="H737" s="2"/>
      <c r="I737" s="633"/>
      <c r="J737" s="2"/>
      <c r="K737" s="2" t="s">
        <v>502</v>
      </c>
      <c r="L737" s="2"/>
      <c r="M737" s="2"/>
      <c r="N737" s="2"/>
      <c r="O737" s="2"/>
      <c r="P737" s="2"/>
      <c r="Q737" s="616"/>
      <c r="R737" s="643"/>
      <c r="S737" s="644"/>
      <c r="T737" s="2"/>
    </row>
    <row r="738" spans="1:41" s="618" customFormat="1" ht="12">
      <c r="A738" s="616"/>
      <c r="B738" s="645"/>
      <c r="C738" s="645"/>
      <c r="D738" s="645"/>
      <c r="E738" s="645"/>
      <c r="F738" s="2"/>
      <c r="G738" s="645"/>
      <c r="H738" s="645"/>
      <c r="I738" s="646"/>
      <c r="J738" s="645"/>
      <c r="K738" s="645"/>
      <c r="L738" s="645"/>
      <c r="M738" s="645"/>
      <c r="N738" s="645"/>
      <c r="O738" s="645"/>
      <c r="P738" s="645"/>
      <c r="Q738" s="646"/>
      <c r="R738" s="647">
        <f t="shared" ref="R738:R740" si="176">$A738*Q738</f>
        <v>0</v>
      </c>
      <c r="S738" s="646"/>
      <c r="T738" s="648">
        <f t="shared" ref="T738:T740" si="177">$A738*S738*$T$1</f>
        <v>0</v>
      </c>
    </row>
    <row r="739" spans="1:41" s="618" customFormat="1" ht="12">
      <c r="A739" s="616"/>
      <c r="B739" s="645"/>
      <c r="C739" s="645"/>
      <c r="D739" s="616" t="s">
        <v>256</v>
      </c>
      <c r="E739" s="645"/>
      <c r="F739" s="2"/>
      <c r="G739" s="645"/>
      <c r="H739" s="645"/>
      <c r="I739" s="646"/>
      <c r="J739" s="645"/>
      <c r="K739" s="645"/>
      <c r="L739" s="645"/>
      <c r="M739" s="645"/>
      <c r="N739" s="645"/>
      <c r="O739" s="645"/>
      <c r="P739" s="645"/>
      <c r="Q739" s="646"/>
      <c r="R739" s="647">
        <f t="shared" si="176"/>
        <v>0</v>
      </c>
      <c r="S739" s="646"/>
      <c r="T739" s="648">
        <f t="shared" si="177"/>
        <v>0</v>
      </c>
    </row>
    <row r="740" spans="1:41" s="618" customFormat="1" ht="12">
      <c r="A740" s="645"/>
      <c r="B740" s="645"/>
      <c r="C740" s="645"/>
      <c r="D740" s="645"/>
      <c r="E740" s="645"/>
      <c r="F740" s="2"/>
      <c r="G740" s="645"/>
      <c r="H740" s="645"/>
      <c r="I740" s="646"/>
      <c r="J740" s="645"/>
      <c r="K740" s="645"/>
      <c r="L740" s="645"/>
      <c r="M740" s="645"/>
      <c r="N740" s="645"/>
      <c r="O740" s="645"/>
      <c r="P740" s="645"/>
      <c r="Q740" s="646"/>
      <c r="R740" s="647">
        <f t="shared" si="176"/>
        <v>0</v>
      </c>
      <c r="S740" s="646"/>
      <c r="T740" s="648">
        <f t="shared" si="177"/>
        <v>0</v>
      </c>
    </row>
    <row r="741" spans="1:41" s="618" customFormat="1" ht="12.6" thickBot="1">
      <c r="A741" s="649" t="s">
        <v>137</v>
      </c>
      <c r="B741" s="650">
        <f>(R740+T740)</f>
        <v>0</v>
      </c>
      <c r="C741" s="651"/>
      <c r="D741" s="651"/>
      <c r="E741" s="651"/>
      <c r="F741" s="652"/>
      <c r="G741" s="651" t="s">
        <v>503</v>
      </c>
      <c r="H741" s="651"/>
      <c r="I741" s="653"/>
      <c r="J741" s="651"/>
      <c r="K741" s="651" t="s">
        <v>3</v>
      </c>
      <c r="L741" s="654" t="s">
        <v>136</v>
      </c>
      <c r="M741" s="654"/>
      <c r="N741" s="654"/>
      <c r="O741" s="654"/>
      <c r="P741" s="654"/>
      <c r="Q741" s="655"/>
      <c r="R741" s="656">
        <f>SUM(R737:R740)</f>
        <v>0</v>
      </c>
      <c r="S741" s="651"/>
      <c r="T741" s="656">
        <f>SUM(T737:T740)</f>
        <v>0</v>
      </c>
      <c r="U741" s="621"/>
      <c r="V741" s="621"/>
      <c r="W741" s="621"/>
      <c r="X741" s="621"/>
      <c r="Y741" s="621"/>
      <c r="Z741" s="621"/>
      <c r="AA741" s="621"/>
      <c r="AB741" s="621"/>
      <c r="AC741" s="621"/>
      <c r="AD741" s="621"/>
      <c r="AE741" s="621"/>
      <c r="AF741" s="621"/>
      <c r="AG741" s="621"/>
      <c r="AH741" s="621"/>
      <c r="AI741" s="621"/>
      <c r="AJ741" s="621"/>
      <c r="AK741" s="621"/>
      <c r="AL741" s="621"/>
      <c r="AM741" s="621"/>
      <c r="AN741" s="621"/>
      <c r="AO741" s="621"/>
    </row>
    <row r="742" spans="1:41" s="618" customFormat="1" ht="12" thickTop="1">
      <c r="A742" s="43" t="s">
        <v>542</v>
      </c>
      <c r="D742" s="13"/>
      <c r="E742" s="37"/>
      <c r="O742" s="657"/>
    </row>
    <row r="743" spans="1:41" s="618" customFormat="1" ht="13.2">
      <c r="B743" s="3"/>
      <c r="O743" s="657"/>
    </row>
    <row r="744" spans="1:41" s="618" customFormat="1" ht="12">
      <c r="B744" s="658">
        <f ca="1">$F744/$C$2-($R744*$S$2+$T744*$T$2)</f>
        <v>23.480839550000383</v>
      </c>
      <c r="D744" s="659" t="s">
        <v>617</v>
      </c>
      <c r="E744" s="660"/>
      <c r="F744" s="661">
        <f ca="1">SUMIF($L476:$L742,"ITEM",F476:F742)</f>
        <v>1646.1100000000001</v>
      </c>
      <c r="G744" s="645"/>
      <c r="H744" s="645"/>
      <c r="I744" s="646"/>
      <c r="J744" s="645"/>
      <c r="K744" s="645"/>
      <c r="L744" s="634" t="s">
        <v>543</v>
      </c>
      <c r="M744" s="634"/>
      <c r="N744" s="634"/>
      <c r="O744" s="634"/>
      <c r="P744" s="634"/>
      <c r="R744" s="661">
        <f ca="1">SUMIF($L476:$L742,"ITEM",R476:R742)</f>
        <v>1096.6099999999999</v>
      </c>
      <c r="S744" s="662"/>
      <c r="T744" s="661">
        <f ca="1">SUMIF($L476:$L742,"ITEM",T476:T742)</f>
        <v>18.243649999999999</v>
      </c>
    </row>
    <row r="745" spans="1:41" s="618" customFormat="1" ht="13.2">
      <c r="A745" s="616"/>
      <c r="B745" s="663" t="s">
        <v>544</v>
      </c>
      <c r="C745" s="616"/>
      <c r="D745" s="3"/>
      <c r="F745" s="664" t="s">
        <v>545</v>
      </c>
      <c r="G745" s="645"/>
      <c r="H745" s="645"/>
      <c r="I745" s="646"/>
      <c r="J745" s="645"/>
      <c r="K745" s="645"/>
      <c r="L745" s="645"/>
      <c r="M745" s="645"/>
      <c r="N745" s="645"/>
      <c r="O745" s="645"/>
      <c r="P745" s="645"/>
      <c r="Q745" s="665"/>
      <c r="R745" s="664" t="s">
        <v>546</v>
      </c>
      <c r="S745" s="620"/>
      <c r="T745" s="664" t="s">
        <v>547</v>
      </c>
    </row>
    <row r="746" spans="1:41" s="618" customFormat="1" ht="13.2">
      <c r="A746" s="645"/>
      <c r="B746" s="3"/>
      <c r="C746" s="645"/>
      <c r="D746" s="3"/>
      <c r="E746" s="3"/>
      <c r="G746" s="3"/>
      <c r="H746" s="3"/>
      <c r="I746" s="3"/>
      <c r="J746" s="3"/>
      <c r="K746" s="3"/>
      <c r="L746" s="3"/>
      <c r="M746" s="3"/>
      <c r="N746" s="3"/>
      <c r="O746" s="96"/>
      <c r="P746" s="3"/>
      <c r="Q746" s="3"/>
      <c r="R746" s="3"/>
      <c r="S746" s="3"/>
      <c r="T746" s="3"/>
    </row>
    <row r="747" spans="1:41" s="618" customFormat="1" ht="12" thickBot="1">
      <c r="A747" s="621"/>
      <c r="B747" s="651"/>
      <c r="C747" s="651"/>
      <c r="D747" s="621"/>
      <c r="E747" s="666"/>
      <c r="F747" s="667"/>
      <c r="G747" s="651"/>
      <c r="H747" s="651"/>
      <c r="I747" s="653"/>
      <c r="J747" s="651"/>
      <c r="K747" s="651"/>
      <c r="L747" s="654"/>
      <c r="M747" s="654"/>
      <c r="N747" s="654"/>
      <c r="O747" s="654"/>
      <c r="P747" s="654"/>
      <c r="Q747" s="655"/>
      <c r="R747" s="667"/>
      <c r="S747" s="668"/>
      <c r="T747" s="667"/>
      <c r="U747" s="621"/>
      <c r="V747" s="621"/>
      <c r="W747" s="621"/>
      <c r="X747" s="621"/>
      <c r="Y747" s="621"/>
      <c r="Z747" s="621"/>
      <c r="AA747" s="621"/>
      <c r="AB747" s="621"/>
      <c r="AC747" s="621"/>
      <c r="AD747" s="621"/>
      <c r="AE747" s="621"/>
      <c r="AF747" s="621"/>
      <c r="AG747" s="621"/>
      <c r="AH747" s="621"/>
      <c r="AI747" s="621"/>
      <c r="AJ747" s="621"/>
      <c r="AK747" s="621"/>
    </row>
    <row r="748" spans="1:41" s="618" customFormat="1" thickTop="1">
      <c r="A748" s="736"/>
      <c r="B748" s="736"/>
      <c r="C748" s="737"/>
      <c r="D748" s="737"/>
      <c r="E748" s="736"/>
      <c r="F748" s="736"/>
      <c r="G748" s="736"/>
      <c r="H748" s="736"/>
      <c r="I748" s="736"/>
      <c r="J748" s="736"/>
      <c r="K748" s="736" t="s">
        <v>489</v>
      </c>
      <c r="L748" s="736"/>
      <c r="M748" s="736"/>
      <c r="N748" s="736"/>
      <c r="O748" s="738"/>
      <c r="P748" s="736"/>
      <c r="Q748" s="736"/>
      <c r="R748" s="736"/>
      <c r="S748" s="736"/>
      <c r="T748" s="736"/>
    </row>
    <row r="749" spans="1:41" s="618" customFormat="1" ht="12">
      <c r="A749" s="736"/>
      <c r="B749" s="736"/>
      <c r="C749" s="736" t="s">
        <v>490</v>
      </c>
      <c r="D749" s="739"/>
      <c r="E749" s="736"/>
      <c r="F749" s="736"/>
      <c r="G749" s="736"/>
      <c r="H749" s="736"/>
      <c r="I749" s="736"/>
      <c r="J749" s="736"/>
      <c r="K749" s="736"/>
      <c r="L749" s="736"/>
      <c r="M749" s="736"/>
      <c r="N749" s="736"/>
      <c r="O749" s="738"/>
      <c r="P749" s="736"/>
      <c r="Q749" s="736"/>
      <c r="R749" s="736"/>
      <c r="S749" s="736"/>
      <c r="T749" s="736"/>
    </row>
    <row r="750" spans="1:41" s="618" customFormat="1" ht="12">
      <c r="A750" s="736"/>
      <c r="B750" s="736"/>
      <c r="C750" s="736"/>
      <c r="D750" s="739" t="s">
        <v>423</v>
      </c>
      <c r="E750" s="736"/>
      <c r="F750" s="736"/>
      <c r="G750" s="736"/>
      <c r="H750" s="736"/>
      <c r="I750" s="736"/>
      <c r="J750" s="736"/>
      <c r="K750" s="736"/>
      <c r="L750" s="736"/>
      <c r="M750" s="736"/>
      <c r="N750" s="736"/>
      <c r="O750" s="738"/>
      <c r="P750" s="736"/>
      <c r="Q750" s="736"/>
      <c r="R750" s="736"/>
      <c r="S750" s="740"/>
      <c r="T750" s="740"/>
    </row>
    <row r="751" spans="1:41" s="3" customFormat="1" thickBot="1">
      <c r="A751" s="741"/>
      <c r="B751" s="737"/>
      <c r="C751" s="737"/>
      <c r="D751" s="737"/>
      <c r="E751" s="737"/>
      <c r="F751" s="737"/>
      <c r="G751" s="737"/>
      <c r="H751" s="737"/>
      <c r="I751" s="737"/>
      <c r="J751" s="737"/>
      <c r="K751" s="737"/>
      <c r="L751" s="737"/>
      <c r="M751" s="737"/>
      <c r="N751" s="737"/>
      <c r="O751" s="742"/>
      <c r="P751" s="737"/>
      <c r="Q751" s="737"/>
      <c r="R751" s="737"/>
      <c r="S751" s="737"/>
      <c r="T751" s="737"/>
    </row>
    <row r="752" spans="1:41" s="618" customFormat="1" ht="12" thickTop="1">
      <c r="A752" s="616"/>
      <c r="B752" s="622"/>
      <c r="C752" s="616"/>
      <c r="E752" s="37" t="s">
        <v>491</v>
      </c>
      <c r="F752" s="37" t="s">
        <v>492</v>
      </c>
      <c r="G752" s="616"/>
      <c r="H752" s="616"/>
      <c r="I752" s="616"/>
      <c r="J752" s="616"/>
      <c r="K752" s="616" t="s">
        <v>493</v>
      </c>
      <c r="L752" s="616"/>
      <c r="M752" s="616"/>
      <c r="N752" s="616"/>
      <c r="O752" s="617"/>
      <c r="P752" s="616"/>
      <c r="Q752" s="616"/>
      <c r="R752" s="616"/>
      <c r="S752" s="616"/>
      <c r="T752" s="622"/>
      <c r="AG752" s="623" t="s">
        <v>494</v>
      </c>
      <c r="AH752" s="623" t="s">
        <v>495</v>
      </c>
      <c r="AI752" s="623" t="s">
        <v>496</v>
      </c>
      <c r="AJ752" s="623" t="s">
        <v>497</v>
      </c>
      <c r="AK752" s="623" t="s">
        <v>498</v>
      </c>
      <c r="AM752" s="624" t="s">
        <v>499</v>
      </c>
      <c r="AN752" s="625" t="s">
        <v>500</v>
      </c>
      <c r="AO752" s="626" t="s">
        <v>501</v>
      </c>
    </row>
    <row r="753" spans="1:41" s="618" customFormat="1" ht="12" customHeight="1">
      <c r="A753" s="627">
        <v>1</v>
      </c>
      <c r="B753" s="628" t="s">
        <v>255</v>
      </c>
      <c r="C753" s="629"/>
      <c r="D753" s="630" t="s">
        <v>576</v>
      </c>
      <c r="E753" s="631">
        <f>IF(AND($A753=0,$A$1="DIF"),0, ROUND(ROUND(($R758*$S$2+($T758*$T$2))/A753,2)*$C$2,2))</f>
        <v>0</v>
      </c>
      <c r="F753" s="632">
        <f>ROUND($A753*$E753,2)</f>
        <v>0</v>
      </c>
      <c r="G753" s="88" t="s">
        <v>135</v>
      </c>
      <c r="H753" s="2"/>
      <c r="I753" s="633"/>
      <c r="J753" s="2"/>
      <c r="K753" s="2" t="s">
        <v>3</v>
      </c>
      <c r="L753" s="634" t="s">
        <v>136</v>
      </c>
      <c r="M753" s="634"/>
      <c r="N753" s="634"/>
      <c r="O753" s="634"/>
      <c r="P753" s="634"/>
      <c r="Q753" s="616" t="s">
        <v>256</v>
      </c>
      <c r="T753" s="635" t="str">
        <f>IF(AND($R758=0,$T758=0),"0.00","mu :" &amp; ROUND($F753/$C$2/($R758+$T758*$D$9),2))</f>
        <v>0.00</v>
      </c>
      <c r="W753" s="636"/>
      <c r="AG753" s="637">
        <f>IF($E753=0,0,ROUND($R758*$S$2*$C$2/$A753,2))</f>
        <v>0</v>
      </c>
      <c r="AH753" s="637">
        <f>$AG753*$A753</f>
        <v>0</v>
      </c>
      <c r="AI753" s="638">
        <f>$E753-$AG753</f>
        <v>0</v>
      </c>
      <c r="AJ753" s="638">
        <f>$A753*$AI753</f>
        <v>0</v>
      </c>
      <c r="AK753" s="639">
        <f>ROUND(($AG753+$AI753)*$A753,2)</f>
        <v>0</v>
      </c>
      <c r="AM753" s="640">
        <f>ROUND(R758,2)</f>
        <v>0</v>
      </c>
      <c r="AN753" s="641">
        <f>ROUND(T758,2)</f>
        <v>0</v>
      </c>
      <c r="AO753" s="642">
        <f>ROUND(AM753+AN753,2)*A753</f>
        <v>0</v>
      </c>
    </row>
    <row r="754" spans="1:41" s="618" customFormat="1" ht="13.2">
      <c r="A754" s="629"/>
      <c r="B754"/>
      <c r="C754" s="629"/>
      <c r="D754" s="630" t="s">
        <v>279</v>
      </c>
      <c r="F754" s="2"/>
      <c r="G754" s="3"/>
      <c r="H754" s="2"/>
      <c r="I754" s="633"/>
      <c r="J754" s="2"/>
      <c r="K754" s="2" t="s">
        <v>502</v>
      </c>
      <c r="L754" s="2"/>
      <c r="M754" s="2"/>
      <c r="N754" s="2"/>
      <c r="O754" s="2"/>
      <c r="P754" s="2"/>
      <c r="Q754" s="616"/>
      <c r="R754" s="643"/>
      <c r="S754" s="644"/>
      <c r="T754" s="2"/>
    </row>
    <row r="755" spans="1:41" s="618" customFormat="1" ht="12">
      <c r="A755" s="616"/>
      <c r="B755" s="645"/>
      <c r="C755" s="645"/>
      <c r="D755" s="645"/>
      <c r="E755" s="645"/>
      <c r="F755" s="2"/>
      <c r="G755" s="645"/>
      <c r="H755" s="645"/>
      <c r="I755" s="646"/>
      <c r="J755" s="645"/>
      <c r="K755" s="645"/>
      <c r="L755" s="645"/>
      <c r="M755" s="645"/>
      <c r="N755" s="645"/>
      <c r="O755" s="645"/>
      <c r="P755" s="645"/>
      <c r="Q755" s="646"/>
      <c r="R755" s="647">
        <f t="shared" ref="R755:R757" si="178">$A755*Q755</f>
        <v>0</v>
      </c>
      <c r="S755" s="646"/>
      <c r="T755" s="648">
        <f t="shared" ref="T755:T757" si="179">$A755*S755*$T$1</f>
        <v>0</v>
      </c>
    </row>
    <row r="756" spans="1:41" s="618" customFormat="1" ht="12">
      <c r="A756" s="616"/>
      <c r="B756" s="645"/>
      <c r="C756" s="645"/>
      <c r="D756" s="645" t="s">
        <v>256</v>
      </c>
      <c r="E756" s="645"/>
      <c r="F756" s="2"/>
      <c r="G756" s="645"/>
      <c r="H756" s="645"/>
      <c r="I756" s="646"/>
      <c r="J756" s="645"/>
      <c r="K756" s="645"/>
      <c r="L756" s="645"/>
      <c r="M756" s="645"/>
      <c r="N756" s="645"/>
      <c r="O756" s="645"/>
      <c r="P756" s="645"/>
      <c r="Q756" s="646"/>
      <c r="R756" s="647">
        <f t="shared" si="178"/>
        <v>0</v>
      </c>
      <c r="S756" s="646"/>
      <c r="T756" s="648">
        <f t="shared" si="179"/>
        <v>0</v>
      </c>
    </row>
    <row r="757" spans="1:41" s="618" customFormat="1" ht="12">
      <c r="A757" s="645"/>
      <c r="B757" s="645"/>
      <c r="C757" s="645"/>
      <c r="D757" s="645"/>
      <c r="E757" s="645"/>
      <c r="F757" s="2"/>
      <c r="G757" s="645"/>
      <c r="H757" s="645"/>
      <c r="I757" s="646"/>
      <c r="J757" s="645"/>
      <c r="K757" s="645"/>
      <c r="L757" s="645"/>
      <c r="M757" s="645"/>
      <c r="N757" s="645"/>
      <c r="O757" s="645"/>
      <c r="P757" s="645"/>
      <c r="Q757" s="646"/>
      <c r="R757" s="647">
        <f t="shared" si="178"/>
        <v>0</v>
      </c>
      <c r="S757" s="646"/>
      <c r="T757" s="648">
        <f t="shared" si="179"/>
        <v>0</v>
      </c>
    </row>
    <row r="758" spans="1:41" s="618" customFormat="1" ht="12.6" thickBot="1">
      <c r="A758" s="649" t="s">
        <v>137</v>
      </c>
      <c r="B758" s="650">
        <f>(R757+T757)</f>
        <v>0</v>
      </c>
      <c r="C758" s="651"/>
      <c r="D758" s="651"/>
      <c r="E758" s="651"/>
      <c r="F758" s="652"/>
      <c r="G758" s="651" t="s">
        <v>503</v>
      </c>
      <c r="H758" s="651"/>
      <c r="I758" s="653"/>
      <c r="J758" s="651"/>
      <c r="K758" s="651" t="s">
        <v>3</v>
      </c>
      <c r="L758" s="654" t="s">
        <v>136</v>
      </c>
      <c r="M758" s="654"/>
      <c r="N758" s="654"/>
      <c r="O758" s="654"/>
      <c r="P758" s="654"/>
      <c r="Q758" s="655"/>
      <c r="R758" s="656">
        <f>SUM(R754:R757)</f>
        <v>0</v>
      </c>
      <c r="S758" s="651"/>
      <c r="T758" s="656">
        <f>SUM(T754:T757)</f>
        <v>0</v>
      </c>
      <c r="U758" s="621"/>
      <c r="V758" s="621"/>
      <c r="W758" s="621"/>
      <c r="X758" s="621"/>
      <c r="Y758" s="621"/>
      <c r="Z758" s="621"/>
      <c r="AA758" s="621"/>
      <c r="AB758" s="621"/>
      <c r="AC758" s="621"/>
      <c r="AD758" s="621"/>
      <c r="AE758" s="621"/>
      <c r="AF758" s="621"/>
      <c r="AG758" s="621"/>
      <c r="AH758" s="621"/>
      <c r="AI758" s="621"/>
      <c r="AJ758" s="621"/>
      <c r="AK758" s="621"/>
      <c r="AL758" s="621"/>
      <c r="AM758" s="621"/>
      <c r="AN758" s="621"/>
      <c r="AO758" s="621"/>
    </row>
    <row r="759" spans="1:41" s="618" customFormat="1" thickTop="1">
      <c r="A759" s="616"/>
      <c r="B759" s="616"/>
      <c r="C759" s="3"/>
      <c r="D759" s="3"/>
      <c r="E759" s="616"/>
      <c r="F759" s="616"/>
      <c r="G759" s="616"/>
      <c r="H759" s="616"/>
      <c r="I759" s="616"/>
      <c r="J759" s="616"/>
      <c r="K759" s="616" t="s">
        <v>489</v>
      </c>
      <c r="L759" s="616"/>
      <c r="M759" s="616"/>
      <c r="N759" s="616"/>
      <c r="O759" s="617"/>
      <c r="P759" s="616"/>
      <c r="Q759" s="616"/>
      <c r="R759" s="616"/>
      <c r="S759" s="616"/>
      <c r="T759" s="616"/>
    </row>
    <row r="760" spans="1:41" s="618" customFormat="1" ht="12">
      <c r="A760" s="616"/>
      <c r="B760" s="616"/>
      <c r="C760" s="616" t="s">
        <v>490</v>
      </c>
      <c r="D760" s="619"/>
      <c r="E760" s="616"/>
      <c r="F760" s="616"/>
      <c r="G760" s="616"/>
      <c r="H760" s="616"/>
      <c r="I760" s="616"/>
      <c r="J760" s="616"/>
      <c r="K760" s="616"/>
      <c r="L760" s="616"/>
      <c r="M760" s="616"/>
      <c r="N760" s="616"/>
      <c r="O760" s="617"/>
      <c r="P760" s="616"/>
      <c r="Q760" s="616"/>
      <c r="R760" s="616"/>
      <c r="S760" s="616"/>
      <c r="T760" s="616"/>
    </row>
    <row r="761" spans="1:41" s="618" customFormat="1" ht="24">
      <c r="A761" s="616"/>
      <c r="B761" s="616"/>
      <c r="C761" s="616"/>
      <c r="D761" s="744" t="s">
        <v>424</v>
      </c>
      <c r="E761" s="744"/>
      <c r="F761" s="744"/>
      <c r="G761" s="744"/>
      <c r="H761" s="744"/>
      <c r="I761" s="744"/>
      <c r="J761" s="744"/>
      <c r="K761" s="744"/>
      <c r="L761" s="744"/>
      <c r="M761" s="744"/>
      <c r="N761" s="744"/>
      <c r="O761" s="744"/>
      <c r="P761" s="744"/>
      <c r="Q761" s="744"/>
      <c r="R761" s="669"/>
      <c r="S761" s="669"/>
      <c r="T761" s="669"/>
    </row>
    <row r="762" spans="1:41" s="3" customFormat="1" thickBot="1">
      <c r="A762" s="621"/>
      <c r="O762" s="96"/>
    </row>
    <row r="763" spans="1:41" s="618" customFormat="1" ht="12" thickTop="1">
      <c r="A763" s="616"/>
      <c r="B763" s="622"/>
      <c r="C763" s="616"/>
      <c r="E763" s="37" t="s">
        <v>491</v>
      </c>
      <c r="F763" s="37" t="s">
        <v>492</v>
      </c>
      <c r="G763" s="616"/>
      <c r="H763" s="616"/>
      <c r="I763" s="616"/>
      <c r="J763" s="616"/>
      <c r="K763" s="616" t="s">
        <v>493</v>
      </c>
      <c r="L763" s="616"/>
      <c r="M763" s="616"/>
      <c r="N763" s="616"/>
      <c r="O763" s="617"/>
      <c r="P763" s="616"/>
      <c r="Q763" s="616"/>
      <c r="R763" s="616"/>
      <c r="S763" s="616"/>
      <c r="T763" s="622"/>
      <c r="AG763" s="623" t="s">
        <v>494</v>
      </c>
      <c r="AH763" s="623" t="s">
        <v>495</v>
      </c>
      <c r="AI763" s="623" t="s">
        <v>496</v>
      </c>
      <c r="AJ763" s="623" t="s">
        <v>497</v>
      </c>
      <c r="AK763" s="623" t="s">
        <v>498</v>
      </c>
      <c r="AM763" s="624" t="s">
        <v>499</v>
      </c>
      <c r="AN763" s="625" t="s">
        <v>500</v>
      </c>
      <c r="AO763" s="626" t="s">
        <v>501</v>
      </c>
    </row>
    <row r="764" spans="1:41" s="618" customFormat="1" ht="12" customHeight="1">
      <c r="A764" s="627">
        <v>5</v>
      </c>
      <c r="B764" s="628" t="s">
        <v>294</v>
      </c>
      <c r="C764" s="629"/>
      <c r="D764" s="630" t="s">
        <v>577</v>
      </c>
      <c r="E764" s="631">
        <f>IF(AND($A764=0,$A$1="DIF"),0, ROUND(ROUND(($R768*$S$2+($T768*$T$2))/A764,2)*$C$2,2))</f>
        <v>17.39</v>
      </c>
      <c r="F764" s="632">
        <f>ROUND($A764*$E764,2)</f>
        <v>86.95</v>
      </c>
      <c r="G764" s="88" t="s">
        <v>135</v>
      </c>
      <c r="H764" s="2"/>
      <c r="I764" s="633"/>
      <c r="J764" s="2"/>
      <c r="K764" s="2" t="s">
        <v>3</v>
      </c>
      <c r="L764" s="634" t="s">
        <v>136</v>
      </c>
      <c r="M764" s="634"/>
      <c r="N764" s="634"/>
      <c r="O764" s="634"/>
      <c r="P764" s="634"/>
      <c r="Q764" s="616"/>
      <c r="T764" s="635" t="str">
        <f>IF(AND($R768=0,$T768=0),"0.00","mu :" &amp; ROUND($F764/$C$2/($R768+$T768*$D$9),2))</f>
        <v>mu :1</v>
      </c>
      <c r="W764" s="636"/>
      <c r="AG764" s="637">
        <f>IF($E764=0,0,ROUND($R768*$S$2*$C$2/$A764,2))</f>
        <v>4.2300000000000004</v>
      </c>
      <c r="AH764" s="637">
        <f>$AG764*$A764</f>
        <v>21.150000000000002</v>
      </c>
      <c r="AI764" s="638">
        <f>$E764-$AG764</f>
        <v>13.16</v>
      </c>
      <c r="AJ764" s="638">
        <f>$A764*$AI764</f>
        <v>65.8</v>
      </c>
      <c r="AK764" s="639">
        <f>ROUND(($AG764+$AI764)*$A764,2)</f>
        <v>86.95</v>
      </c>
      <c r="AM764" s="640">
        <f>ROUND(R768,2)</f>
        <v>21.15</v>
      </c>
      <c r="AN764" s="641">
        <f>ROUND(T768,2)</f>
        <v>2.2799999999999998</v>
      </c>
      <c r="AO764" s="642">
        <f>ROUND(AM764+AN764,2)*A764</f>
        <v>117.15</v>
      </c>
    </row>
    <row r="765" spans="1:41" s="618" customFormat="1" ht="13.2">
      <c r="A765" s="629"/>
      <c r="B765"/>
      <c r="C765" s="629"/>
      <c r="D765" s="630" t="s">
        <v>425</v>
      </c>
      <c r="F765" s="2"/>
      <c r="G765" s="3"/>
      <c r="H765" s="2"/>
      <c r="I765" s="633"/>
      <c r="J765" s="2"/>
      <c r="K765" s="2" t="s">
        <v>502</v>
      </c>
      <c r="L765" s="2"/>
      <c r="M765" s="2"/>
      <c r="N765" s="2"/>
      <c r="O765" s="2"/>
      <c r="P765" s="2"/>
      <c r="Q765" s="616"/>
      <c r="R765" s="643"/>
      <c r="S765" s="644"/>
      <c r="T765" s="2"/>
    </row>
    <row r="766" spans="1:41" s="783" customFormat="1" ht="11.4">
      <c r="A766" s="616">
        <v>15</v>
      </c>
      <c r="B766" s="783" t="s">
        <v>284</v>
      </c>
      <c r="D766" s="783" t="s">
        <v>635</v>
      </c>
      <c r="G766" s="784" t="s">
        <v>636</v>
      </c>
      <c r="H766" s="785">
        <v>700</v>
      </c>
      <c r="I766" s="783" t="s">
        <v>623</v>
      </c>
      <c r="J766" s="783" t="s">
        <v>637</v>
      </c>
      <c r="O766" s="786">
        <v>1</v>
      </c>
      <c r="P766" s="787">
        <v>42213</v>
      </c>
      <c r="Q766" s="788">
        <v>1.41</v>
      </c>
      <c r="R766" s="789">
        <f>$A766*Q766</f>
        <v>21.15</v>
      </c>
      <c r="S766" s="788">
        <f>0.845 *(0.18)</f>
        <v>0.15209999999999999</v>
      </c>
      <c r="T766" s="790">
        <f>$A766*S766*$T$1</f>
        <v>2.2814999999999999</v>
      </c>
    </row>
    <row r="767" spans="1:41" s="618" customFormat="1" ht="12">
      <c r="A767" s="645"/>
      <c r="B767" s="645"/>
      <c r="C767" s="645"/>
      <c r="D767" s="645"/>
      <c r="E767" s="645"/>
      <c r="F767" s="2"/>
      <c r="G767" s="645"/>
      <c r="H767" s="645"/>
      <c r="I767" s="646"/>
      <c r="J767" s="645"/>
      <c r="K767" s="645"/>
      <c r="L767" s="645"/>
      <c r="M767" s="645"/>
      <c r="N767" s="645"/>
      <c r="O767" s="645"/>
      <c r="P767" s="645"/>
      <c r="Q767" s="646"/>
      <c r="R767" s="647">
        <f t="shared" ref="R767" si="180">$A767*Q767</f>
        <v>0</v>
      </c>
      <c r="S767" s="646"/>
      <c r="T767" s="648">
        <f t="shared" ref="T767" si="181">$A767*S767*$T$1</f>
        <v>0</v>
      </c>
    </row>
    <row r="768" spans="1:41" s="618" customFormat="1" ht="12.6" thickBot="1">
      <c r="A768" s="649" t="s">
        <v>137</v>
      </c>
      <c r="B768" s="650">
        <f>(R767+T767)</f>
        <v>0</v>
      </c>
      <c r="C768" s="651"/>
      <c r="D768" s="651"/>
      <c r="E768" s="651"/>
      <c r="F768" s="652"/>
      <c r="G768" s="651" t="s">
        <v>503</v>
      </c>
      <c r="H768" s="651"/>
      <c r="I768" s="653"/>
      <c r="J768" s="651"/>
      <c r="K768" s="651" t="s">
        <v>3</v>
      </c>
      <c r="L768" s="654" t="s">
        <v>136</v>
      </c>
      <c r="M768" s="654"/>
      <c r="N768" s="654"/>
      <c r="O768" s="654"/>
      <c r="P768" s="654"/>
      <c r="Q768" s="655"/>
      <c r="R768" s="656">
        <f>SUM(R765:R767)</f>
        <v>21.15</v>
      </c>
      <c r="S768" s="651"/>
      <c r="T768" s="656">
        <f>SUM(T765:T767)</f>
        <v>2.2814999999999999</v>
      </c>
      <c r="U768" s="621"/>
      <c r="V768" s="621"/>
      <c r="W768" s="621"/>
      <c r="X768" s="621"/>
      <c r="Y768" s="621"/>
      <c r="Z768" s="621"/>
      <c r="AA768" s="621"/>
      <c r="AB768" s="621"/>
      <c r="AC768" s="621"/>
      <c r="AD768" s="621"/>
      <c r="AE768" s="621"/>
      <c r="AF768" s="621"/>
      <c r="AG768" s="621"/>
      <c r="AH768" s="621"/>
      <c r="AI768" s="621"/>
      <c r="AJ768" s="621"/>
      <c r="AK768" s="621"/>
      <c r="AL768" s="621"/>
      <c r="AM768" s="621"/>
      <c r="AN768" s="621"/>
      <c r="AO768" s="621"/>
    </row>
    <row r="769" spans="1:41" s="618" customFormat="1" thickTop="1">
      <c r="A769" s="616"/>
      <c r="B769" s="616"/>
      <c r="C769" s="3"/>
      <c r="D769" s="3"/>
      <c r="E769" s="616"/>
      <c r="F769" s="616"/>
      <c r="G769" s="616"/>
      <c r="H769" s="616"/>
      <c r="I769" s="616"/>
      <c r="J769" s="616"/>
      <c r="K769" s="616" t="s">
        <v>489</v>
      </c>
      <c r="L769" s="616"/>
      <c r="M769" s="616"/>
      <c r="N769" s="616"/>
      <c r="O769" s="617"/>
      <c r="P769" s="616"/>
      <c r="Q769" s="616"/>
      <c r="R769" s="616"/>
      <c r="S769" s="616"/>
      <c r="T769" s="616"/>
    </row>
    <row r="770" spans="1:41" s="618" customFormat="1" ht="12">
      <c r="A770" s="616"/>
      <c r="B770" s="616"/>
      <c r="C770" s="616" t="s">
        <v>490</v>
      </c>
      <c r="D770" s="619"/>
      <c r="E770" s="616"/>
      <c r="F770" s="616"/>
      <c r="G770" s="616"/>
      <c r="H770" s="616"/>
      <c r="I770" s="616"/>
      <c r="J770" s="616"/>
      <c r="K770" s="616"/>
      <c r="L770" s="616"/>
      <c r="M770" s="616"/>
      <c r="N770" s="616"/>
      <c r="O770" s="617"/>
      <c r="P770" s="616"/>
      <c r="Q770" s="616"/>
      <c r="R770" s="616"/>
      <c r="S770" s="616"/>
      <c r="T770" s="616"/>
    </row>
    <row r="771" spans="1:41" s="618" customFormat="1" ht="36">
      <c r="A771" s="616"/>
      <c r="B771" s="616"/>
      <c r="C771" s="616"/>
      <c r="D771" s="744" t="s">
        <v>426</v>
      </c>
      <c r="E771" s="744"/>
      <c r="F771" s="744"/>
      <c r="G771" s="744"/>
      <c r="H771" s="744"/>
      <c r="I771" s="744"/>
      <c r="J771" s="744"/>
      <c r="K771" s="744"/>
      <c r="L771" s="744"/>
      <c r="M771" s="744"/>
      <c r="N771" s="744"/>
      <c r="O771" s="744"/>
      <c r="P771" s="744"/>
      <c r="Q771" s="744"/>
      <c r="R771" s="669"/>
      <c r="S771" s="669"/>
      <c r="T771" s="669"/>
    </row>
    <row r="772" spans="1:41" s="3" customFormat="1" thickBot="1">
      <c r="A772" s="621"/>
      <c r="O772" s="96"/>
    </row>
    <row r="773" spans="1:41" s="618" customFormat="1" ht="12" thickTop="1">
      <c r="A773" s="616"/>
      <c r="B773" s="622"/>
      <c r="C773" s="616"/>
      <c r="E773" s="37" t="s">
        <v>491</v>
      </c>
      <c r="F773" s="37" t="s">
        <v>492</v>
      </c>
      <c r="G773" s="616"/>
      <c r="H773" s="616"/>
      <c r="I773" s="616"/>
      <c r="J773" s="616"/>
      <c r="K773" s="616" t="s">
        <v>493</v>
      </c>
      <c r="L773" s="616"/>
      <c r="M773" s="616"/>
      <c r="N773" s="616"/>
      <c r="O773" s="617"/>
      <c r="P773" s="616"/>
      <c r="Q773" s="616"/>
      <c r="R773" s="616"/>
      <c r="S773" s="616"/>
      <c r="T773" s="622"/>
      <c r="AG773" s="623" t="s">
        <v>494</v>
      </c>
      <c r="AH773" s="623" t="s">
        <v>495</v>
      </c>
      <c r="AI773" s="623" t="s">
        <v>496</v>
      </c>
      <c r="AJ773" s="623" t="s">
        <v>497</v>
      </c>
      <c r="AK773" s="623" t="s">
        <v>498</v>
      </c>
      <c r="AM773" s="624" t="s">
        <v>499</v>
      </c>
      <c r="AN773" s="625" t="s">
        <v>500</v>
      </c>
      <c r="AO773" s="626" t="s">
        <v>501</v>
      </c>
    </row>
    <row r="774" spans="1:41" s="618" customFormat="1" ht="12" customHeight="1">
      <c r="A774" s="627">
        <v>5</v>
      </c>
      <c r="B774" s="628" t="s">
        <v>294</v>
      </c>
      <c r="C774" s="629"/>
      <c r="D774" s="630" t="s">
        <v>578</v>
      </c>
      <c r="E774" s="907">
        <f>IF(AND($A774=0,$A$1="DIF"),0, ROUND(ROUND(($R778*$S$5+($T778*$T$5))/$A774,2)*$C$5,2))</f>
        <v>3.3</v>
      </c>
      <c r="F774" s="908">
        <f>ROUND($A774*$E774,2)</f>
        <v>16.5</v>
      </c>
      <c r="G774" s="88" t="s">
        <v>135</v>
      </c>
      <c r="H774" s="2"/>
      <c r="I774" s="633"/>
      <c r="J774" s="2"/>
      <c r="K774" s="2" t="s">
        <v>10</v>
      </c>
      <c r="L774" s="634" t="s">
        <v>136</v>
      </c>
      <c r="M774" s="634"/>
      <c r="N774" s="634"/>
      <c r="O774" s="634"/>
      <c r="P774" s="634"/>
      <c r="Q774" s="616"/>
      <c r="T774" s="912" t="str">
        <f>IF(AND($R778=0,$T778=0),"0.00","mu: "&amp; ROUND(F774/$C$5/($R778+$T778*$D$9),2))</f>
        <v>mu: 1</v>
      </c>
      <c r="W774" s="636"/>
      <c r="AG774" s="909">
        <f>IF($E774=0,0,ROUND($R778*$S$5*$C$5/$A774,2))</f>
        <v>3.3</v>
      </c>
      <c r="AH774" s="909">
        <f>$AG774*$A774</f>
        <v>16.5</v>
      </c>
      <c r="AI774" s="910">
        <f>$E774-$AG774</f>
        <v>0</v>
      </c>
      <c r="AJ774" s="910">
        <f>$A774*$AI774</f>
        <v>0</v>
      </c>
      <c r="AK774" s="911">
        <f>ROUND(($AG774+$AI774)*$A774,2)</f>
        <v>16.5</v>
      </c>
      <c r="AM774" s="640">
        <f>ROUND(R778,2)</f>
        <v>16.5</v>
      </c>
      <c r="AN774" s="641">
        <f>ROUND(T778,2)</f>
        <v>0</v>
      </c>
      <c r="AO774" s="642">
        <f>ROUND(AM774+AN774,2)*A774</f>
        <v>82.5</v>
      </c>
    </row>
    <row r="775" spans="1:41" s="618" customFormat="1" ht="13.2">
      <c r="A775" s="629"/>
      <c r="B775"/>
      <c r="C775" s="629"/>
      <c r="D775" s="630" t="s">
        <v>427</v>
      </c>
      <c r="F775" s="2"/>
      <c r="G775" s="3"/>
      <c r="H775" s="2"/>
      <c r="I775" s="633"/>
      <c r="J775" s="2"/>
      <c r="K775" s="2" t="s">
        <v>502</v>
      </c>
      <c r="L775" s="2"/>
      <c r="M775" s="2"/>
      <c r="N775" s="2"/>
      <c r="O775" s="2"/>
      <c r="P775" s="2"/>
      <c r="Q775" s="616"/>
      <c r="R775" s="643"/>
      <c r="S775" s="644"/>
      <c r="T775" s="2"/>
    </row>
    <row r="776" spans="1:41" s="783" customFormat="1" ht="13.2">
      <c r="A776" s="105">
        <v>5</v>
      </c>
      <c r="B776" s="783" t="s">
        <v>134</v>
      </c>
      <c r="D776" s="783" t="s">
        <v>705</v>
      </c>
      <c r="G776" s="784" t="s">
        <v>704</v>
      </c>
      <c r="H776" s="785">
        <v>725</v>
      </c>
      <c r="I776" s="783" t="s">
        <v>627</v>
      </c>
      <c r="O776" s="786">
        <v>3</v>
      </c>
      <c r="P776" s="787"/>
      <c r="Q776" s="788">
        <v>3.3</v>
      </c>
      <c r="R776" s="789">
        <f>$A776*Q776</f>
        <v>16.5</v>
      </c>
      <c r="S776" s="788"/>
      <c r="T776" s="790">
        <f>$A776*S776*$T$1</f>
        <v>0</v>
      </c>
    </row>
    <row r="777" spans="1:41" s="618" customFormat="1" ht="12">
      <c r="A777" s="645"/>
      <c r="B777" s="645"/>
      <c r="C777" s="645"/>
      <c r="D777" s="645"/>
      <c r="E777" s="645"/>
      <c r="F777" s="2"/>
      <c r="G777" s="645"/>
      <c r="H777" s="645"/>
      <c r="I777" s="646"/>
      <c r="J777" s="645"/>
      <c r="K777" s="645"/>
      <c r="L777" s="645"/>
      <c r="M777" s="645"/>
      <c r="N777" s="645"/>
      <c r="O777" s="645"/>
      <c r="P777" s="645"/>
      <c r="Q777" s="646"/>
      <c r="R777" s="647">
        <f t="shared" ref="R777" si="182">$A777*Q777</f>
        <v>0</v>
      </c>
      <c r="S777" s="646"/>
      <c r="T777" s="648">
        <f t="shared" ref="T777" si="183">$A777*S777*$T$1</f>
        <v>0</v>
      </c>
    </row>
    <row r="778" spans="1:41" s="618" customFormat="1" ht="12.6" thickBot="1">
      <c r="A778" s="649" t="s">
        <v>137</v>
      </c>
      <c r="B778" s="650">
        <f>(R777+T777)</f>
        <v>0</v>
      </c>
      <c r="C778" s="651"/>
      <c r="D778" s="651"/>
      <c r="E778" s="651"/>
      <c r="F778" s="652"/>
      <c r="G778" s="651" t="s">
        <v>503</v>
      </c>
      <c r="H778" s="651"/>
      <c r="I778" s="653"/>
      <c r="J778" s="651"/>
      <c r="K778" s="651" t="s">
        <v>10</v>
      </c>
      <c r="L778" s="654" t="s">
        <v>136</v>
      </c>
      <c r="M778" s="654"/>
      <c r="N778" s="654"/>
      <c r="O778" s="654"/>
      <c r="P778" s="654"/>
      <c r="Q778" s="655"/>
      <c r="R778" s="656">
        <f>SUM(R775:R777)</f>
        <v>16.5</v>
      </c>
      <c r="S778" s="651"/>
      <c r="T778" s="656">
        <f>SUM(T775:T777)</f>
        <v>0</v>
      </c>
      <c r="U778" s="621"/>
      <c r="V778" s="621"/>
      <c r="W778" s="621"/>
      <c r="X778" s="621"/>
      <c r="Y778" s="621"/>
      <c r="Z778" s="621"/>
      <c r="AA778" s="621"/>
      <c r="AB778" s="621"/>
      <c r="AC778" s="621"/>
      <c r="AD778" s="621"/>
      <c r="AE778" s="621"/>
      <c r="AF778" s="621"/>
      <c r="AG778" s="621"/>
      <c r="AH778" s="621"/>
      <c r="AI778" s="621"/>
      <c r="AJ778" s="621"/>
      <c r="AK778" s="621"/>
      <c r="AL778" s="621"/>
      <c r="AM778" s="621"/>
      <c r="AN778" s="621"/>
      <c r="AO778" s="621"/>
    </row>
    <row r="779" spans="1:41" s="618" customFormat="1" thickTop="1">
      <c r="A779" s="616"/>
      <c r="B779" s="616"/>
      <c r="C779" s="3"/>
      <c r="D779" s="3"/>
      <c r="E779" s="616"/>
      <c r="F779" s="616"/>
      <c r="G779" s="616"/>
      <c r="H779" s="616"/>
      <c r="I779" s="616"/>
      <c r="J779" s="616"/>
      <c r="K779" s="616" t="s">
        <v>489</v>
      </c>
      <c r="L779" s="616"/>
      <c r="M779" s="616"/>
      <c r="N779" s="616"/>
      <c r="O779" s="617"/>
      <c r="P779" s="616"/>
      <c r="Q779" s="616"/>
      <c r="R779" s="616"/>
      <c r="S779" s="616"/>
      <c r="T779" s="616"/>
    </row>
    <row r="780" spans="1:41" s="618" customFormat="1" ht="12">
      <c r="A780" s="616"/>
      <c r="B780" s="616"/>
      <c r="C780" s="616" t="s">
        <v>490</v>
      </c>
      <c r="D780" s="619"/>
      <c r="E780" s="616"/>
      <c r="F780" s="616"/>
      <c r="G780" s="616"/>
      <c r="H780" s="616"/>
      <c r="I780" s="616"/>
      <c r="J780" s="616"/>
      <c r="K780" s="616"/>
      <c r="L780" s="616"/>
      <c r="M780" s="616"/>
      <c r="N780" s="616"/>
      <c r="O780" s="617"/>
      <c r="P780" s="616"/>
      <c r="Q780" s="616"/>
      <c r="R780" s="616"/>
      <c r="S780" s="616"/>
      <c r="T780" s="616"/>
    </row>
    <row r="781" spans="1:41" s="618" customFormat="1" ht="12">
      <c r="A781" s="616"/>
      <c r="B781" s="616"/>
      <c r="C781" s="616"/>
      <c r="D781" s="619" t="s">
        <v>428</v>
      </c>
      <c r="E781" s="616"/>
      <c r="F781" s="616"/>
      <c r="G781" s="616"/>
      <c r="H781" s="616"/>
      <c r="I781" s="616"/>
      <c r="J781" s="616"/>
      <c r="K781" s="616"/>
      <c r="L781" s="616"/>
      <c r="M781" s="616"/>
      <c r="N781" s="616"/>
      <c r="O781" s="617"/>
      <c r="P781" s="616"/>
      <c r="Q781" s="616"/>
      <c r="R781" s="616"/>
      <c r="S781" s="620"/>
      <c r="T781" s="620"/>
    </row>
    <row r="782" spans="1:41" s="3" customFormat="1" thickBot="1">
      <c r="A782" s="621"/>
      <c r="O782" s="96"/>
    </row>
    <row r="783" spans="1:41" s="618" customFormat="1" ht="12" thickTop="1">
      <c r="A783" s="616"/>
      <c r="B783" s="622"/>
      <c r="C783" s="616"/>
      <c r="E783" s="37" t="s">
        <v>491</v>
      </c>
      <c r="F783" s="37" t="s">
        <v>492</v>
      </c>
      <c r="G783" s="616"/>
      <c r="H783" s="616"/>
      <c r="I783" s="616"/>
      <c r="J783" s="616"/>
      <c r="K783" s="616" t="s">
        <v>493</v>
      </c>
      <c r="L783" s="616"/>
      <c r="M783" s="616"/>
      <c r="N783" s="616"/>
      <c r="O783" s="617"/>
      <c r="P783" s="616"/>
      <c r="Q783" s="616"/>
      <c r="R783" s="616"/>
      <c r="S783" s="616"/>
      <c r="T783" s="622"/>
      <c r="AG783" s="623" t="s">
        <v>494</v>
      </c>
      <c r="AH783" s="623" t="s">
        <v>495</v>
      </c>
      <c r="AI783" s="623" t="s">
        <v>496</v>
      </c>
      <c r="AJ783" s="623" t="s">
        <v>497</v>
      </c>
      <c r="AK783" s="623" t="s">
        <v>498</v>
      </c>
      <c r="AM783" s="624" t="s">
        <v>499</v>
      </c>
      <c r="AN783" s="625" t="s">
        <v>500</v>
      </c>
      <c r="AO783" s="626" t="s">
        <v>501</v>
      </c>
    </row>
    <row r="784" spans="1:41" s="618" customFormat="1" ht="12" customHeight="1">
      <c r="A784" s="627">
        <v>1</v>
      </c>
      <c r="B784" s="628" t="s">
        <v>294</v>
      </c>
      <c r="C784" s="629"/>
      <c r="D784" s="630" t="s">
        <v>579</v>
      </c>
      <c r="E784" s="907">
        <f>IF(AND($A784=0,$A$1="DIF"),0, ROUND(ROUND(($R788*$S$5+($T788*$T$5))/$A784,2)*$C$5,2))</f>
        <v>43.5</v>
      </c>
      <c r="F784" s="908">
        <f>ROUND($A784*$E784,2)</f>
        <v>43.5</v>
      </c>
      <c r="G784" s="88" t="s">
        <v>135</v>
      </c>
      <c r="H784" s="2"/>
      <c r="I784" s="633"/>
      <c r="J784" s="2"/>
      <c r="K784" s="2" t="s">
        <v>10</v>
      </c>
      <c r="L784" s="634" t="s">
        <v>136</v>
      </c>
      <c r="M784" s="634"/>
      <c r="N784" s="634"/>
      <c r="O784" s="634"/>
      <c r="P784" s="634"/>
      <c r="Q784" s="616"/>
      <c r="T784" s="912" t="str">
        <f>IF(AND($R788=0,$T788=0),"0.00","mu: "&amp; ROUND(F784/$C$5/($R788+$T788*$D$9),2))</f>
        <v>mu: 1</v>
      </c>
      <c r="W784" s="636"/>
      <c r="AG784" s="909">
        <f>IF($E784=0,0,ROUND($R788*$S$5*$C$5/$A784,2))</f>
        <v>43.5</v>
      </c>
      <c r="AH784" s="909">
        <f>$AG784*$A784</f>
        <v>43.5</v>
      </c>
      <c r="AI784" s="910">
        <f>$E784-$AG784</f>
        <v>0</v>
      </c>
      <c r="AJ784" s="910">
        <f>$A784*$AI784</f>
        <v>0</v>
      </c>
      <c r="AK784" s="911">
        <f>ROUND(($AG784+$AI784)*$A784,2)</f>
        <v>43.5</v>
      </c>
      <c r="AM784" s="640">
        <f>ROUND(R788,2)</f>
        <v>43.5</v>
      </c>
      <c r="AN784" s="641">
        <f>ROUND(T788,2)</f>
        <v>0</v>
      </c>
      <c r="AO784" s="642">
        <f>ROUND(AM784+AN784,2)*A784</f>
        <v>43.5</v>
      </c>
    </row>
    <row r="785" spans="1:41" s="618" customFormat="1" ht="13.2">
      <c r="A785" s="629"/>
      <c r="B785"/>
      <c r="C785" s="629"/>
      <c r="D785" s="630" t="s">
        <v>429</v>
      </c>
      <c r="F785" s="2"/>
      <c r="G785" s="3"/>
      <c r="H785" s="2"/>
      <c r="I785" s="633"/>
      <c r="J785" s="2"/>
      <c r="K785" s="2" t="s">
        <v>502</v>
      </c>
      <c r="L785" s="2"/>
      <c r="M785" s="2"/>
      <c r="N785" s="2"/>
      <c r="O785" s="2"/>
      <c r="P785" s="2"/>
      <c r="Q785" s="616"/>
      <c r="R785" s="643"/>
      <c r="S785" s="644"/>
      <c r="T785" s="2"/>
    </row>
    <row r="786" spans="1:41" s="783" customFormat="1" ht="13.2">
      <c r="A786" s="105">
        <v>1</v>
      </c>
      <c r="B786" s="783" t="s">
        <v>134</v>
      </c>
      <c r="D786" s="783" t="s">
        <v>706</v>
      </c>
      <c r="G786" s="784" t="s">
        <v>704</v>
      </c>
      <c r="H786" s="785">
        <v>725</v>
      </c>
      <c r="I786" s="783" t="s">
        <v>627</v>
      </c>
      <c r="O786" s="786">
        <v>3</v>
      </c>
      <c r="P786" s="787"/>
      <c r="Q786" s="788">
        <v>43.5</v>
      </c>
      <c r="R786" s="789">
        <f>$A786*Q786</f>
        <v>43.5</v>
      </c>
      <c r="S786" s="788"/>
      <c r="T786" s="790">
        <f>$A786*S786*$T$1</f>
        <v>0</v>
      </c>
    </row>
    <row r="787" spans="1:41" s="618" customFormat="1" ht="12">
      <c r="A787" s="645"/>
      <c r="B787" s="645"/>
      <c r="C787" s="645"/>
      <c r="D787" s="645"/>
      <c r="E787" s="645"/>
      <c r="F787" s="2"/>
      <c r="G787" s="645"/>
      <c r="H787" s="645"/>
      <c r="I787" s="646"/>
      <c r="J787" s="645"/>
      <c r="K787" s="645"/>
      <c r="L787" s="645"/>
      <c r="M787" s="645"/>
      <c r="N787" s="645"/>
      <c r="O787" s="645"/>
      <c r="P787" s="645"/>
      <c r="Q787" s="646"/>
      <c r="R787" s="647">
        <f t="shared" ref="R787" si="184">$A787*Q787</f>
        <v>0</v>
      </c>
      <c r="S787" s="646"/>
      <c r="T787" s="648">
        <f t="shared" ref="T787" si="185">$A787*S787*$T$1</f>
        <v>0</v>
      </c>
    </row>
    <row r="788" spans="1:41" s="618" customFormat="1" ht="12.6" thickBot="1">
      <c r="A788" s="649" t="s">
        <v>137</v>
      </c>
      <c r="B788" s="650">
        <f>(R787+T787)</f>
        <v>0</v>
      </c>
      <c r="C788" s="651"/>
      <c r="D788" s="651"/>
      <c r="E788" s="651"/>
      <c r="F788" s="652"/>
      <c r="G788" s="651" t="s">
        <v>503</v>
      </c>
      <c r="H788" s="651"/>
      <c r="I788" s="653"/>
      <c r="J788" s="651"/>
      <c r="K788" s="651" t="s">
        <v>10</v>
      </c>
      <c r="L788" s="654" t="s">
        <v>136</v>
      </c>
      <c r="M788" s="654"/>
      <c r="N788" s="654"/>
      <c r="O788" s="654"/>
      <c r="P788" s="654"/>
      <c r="Q788" s="655"/>
      <c r="R788" s="656">
        <f>SUM(R785:R787)</f>
        <v>43.5</v>
      </c>
      <c r="S788" s="651"/>
      <c r="T788" s="656">
        <f>SUM(T785:T787)</f>
        <v>0</v>
      </c>
      <c r="U788" s="621"/>
      <c r="V788" s="621"/>
      <c r="W788" s="621"/>
      <c r="X788" s="621"/>
      <c r="Y788" s="621"/>
      <c r="Z788" s="621"/>
      <c r="AA788" s="621"/>
      <c r="AB788" s="621"/>
      <c r="AC788" s="621"/>
      <c r="AD788" s="621"/>
      <c r="AE788" s="621"/>
      <c r="AF788" s="621"/>
      <c r="AG788" s="621"/>
      <c r="AH788" s="621"/>
      <c r="AI788" s="621"/>
      <c r="AJ788" s="621"/>
      <c r="AK788" s="621"/>
      <c r="AL788" s="621"/>
      <c r="AM788" s="621"/>
      <c r="AN788" s="621"/>
      <c r="AO788" s="621"/>
    </row>
    <row r="789" spans="1:41" s="618" customFormat="1" ht="12" thickTop="1">
      <c r="A789" s="616"/>
      <c r="B789" s="622"/>
      <c r="C789" s="616"/>
      <c r="E789" s="37" t="s">
        <v>491</v>
      </c>
      <c r="F789" s="37" t="s">
        <v>492</v>
      </c>
      <c r="G789" s="616"/>
      <c r="H789" s="616"/>
      <c r="I789" s="616"/>
      <c r="J789" s="616"/>
      <c r="K789" s="616" t="s">
        <v>493</v>
      </c>
      <c r="L789" s="616"/>
      <c r="M789" s="616"/>
      <c r="N789" s="616"/>
      <c r="O789" s="617"/>
      <c r="P789" s="616"/>
      <c r="Q789" s="616"/>
      <c r="R789" s="616"/>
      <c r="S789" s="616"/>
      <c r="T789" s="622"/>
      <c r="AG789" s="623" t="s">
        <v>494</v>
      </c>
      <c r="AH789" s="623" t="s">
        <v>495</v>
      </c>
      <c r="AI789" s="623" t="s">
        <v>496</v>
      </c>
      <c r="AJ789" s="623" t="s">
        <v>497</v>
      </c>
      <c r="AK789" s="623" t="s">
        <v>498</v>
      </c>
      <c r="AM789" s="624" t="s">
        <v>499</v>
      </c>
      <c r="AN789" s="625" t="s">
        <v>500</v>
      </c>
      <c r="AO789" s="626" t="s">
        <v>501</v>
      </c>
    </row>
    <row r="790" spans="1:41" s="618" customFormat="1" ht="12" customHeight="1">
      <c r="A790" s="627">
        <v>1</v>
      </c>
      <c r="B790" s="628" t="s">
        <v>294</v>
      </c>
      <c r="C790" s="629"/>
      <c r="D790" s="630" t="s">
        <v>580</v>
      </c>
      <c r="E790" s="907">
        <f>IF(AND($A790=0,$A$1="DIF"),0, ROUND(ROUND(($R794*$S$5+($T794*$T$5))/$A790,2)*$C$5,2))</f>
        <v>68.2</v>
      </c>
      <c r="F790" s="908">
        <f>ROUND($A790*$E790,2)</f>
        <v>68.2</v>
      </c>
      <c r="G790" s="88" t="s">
        <v>135</v>
      </c>
      <c r="H790" s="2"/>
      <c r="I790" s="633"/>
      <c r="J790" s="2"/>
      <c r="K790" s="2" t="s">
        <v>10</v>
      </c>
      <c r="L790" s="634" t="s">
        <v>136</v>
      </c>
      <c r="M790" s="634"/>
      <c r="N790" s="634"/>
      <c r="O790" s="634"/>
      <c r="P790" s="634"/>
      <c r="Q790" s="616"/>
      <c r="T790" s="912" t="str">
        <f>IF(AND($R794=0,$T794=0),"0.00","mu: "&amp; ROUND(F790/$C$5/($R794+$T794*$D$9),2))</f>
        <v>mu: 1</v>
      </c>
      <c r="W790" s="636"/>
      <c r="AG790" s="909">
        <f>IF($E790=0,0,ROUND($R794*$S$5*$C$5/$A790,2))</f>
        <v>68.2</v>
      </c>
      <c r="AH790" s="909">
        <f>$AG790*$A790</f>
        <v>68.2</v>
      </c>
      <c r="AI790" s="910">
        <f>$E790-$AG790</f>
        <v>0</v>
      </c>
      <c r="AJ790" s="910">
        <f>$A790*$AI790</f>
        <v>0</v>
      </c>
      <c r="AK790" s="911">
        <f>ROUND(($AG790+$AI790)*$A790,2)</f>
        <v>68.2</v>
      </c>
      <c r="AM790" s="640">
        <f>ROUND(R794,2)</f>
        <v>68.2</v>
      </c>
      <c r="AN790" s="641">
        <f>ROUND(T794,2)</f>
        <v>0</v>
      </c>
      <c r="AO790" s="642">
        <f>ROUND(AM790+AN790,2)*A790</f>
        <v>68.2</v>
      </c>
    </row>
    <row r="791" spans="1:41" s="618" customFormat="1" ht="13.2">
      <c r="A791" s="629"/>
      <c r="B791"/>
      <c r="C791" s="629"/>
      <c r="D791" s="630" t="s">
        <v>430</v>
      </c>
      <c r="F791" s="2"/>
      <c r="G791" s="3"/>
      <c r="H791" s="2"/>
      <c r="I791" s="633"/>
      <c r="J791" s="2"/>
      <c r="K791" s="2" t="s">
        <v>502</v>
      </c>
      <c r="L791" s="2"/>
      <c r="M791" s="2"/>
      <c r="N791" s="2"/>
      <c r="O791" s="2"/>
      <c r="P791" s="2"/>
      <c r="Q791" s="616"/>
      <c r="R791" s="643"/>
      <c r="S791" s="644"/>
      <c r="T791" s="2"/>
    </row>
    <row r="792" spans="1:41" s="783" customFormat="1" ht="13.2">
      <c r="A792" s="105">
        <v>1</v>
      </c>
      <c r="B792" s="783" t="s">
        <v>134</v>
      </c>
      <c r="D792" s="783" t="s">
        <v>430</v>
      </c>
      <c r="G792" s="784" t="s">
        <v>704</v>
      </c>
      <c r="H792" s="785">
        <v>725</v>
      </c>
      <c r="I792" s="783" t="s">
        <v>627</v>
      </c>
      <c r="O792" s="786">
        <v>3</v>
      </c>
      <c r="P792" s="787"/>
      <c r="Q792" s="788">
        <v>68.2</v>
      </c>
      <c r="R792" s="789">
        <f>$A792*Q792</f>
        <v>68.2</v>
      </c>
      <c r="S792" s="788"/>
      <c r="T792" s="790">
        <f>$A792*S792*$T$1</f>
        <v>0</v>
      </c>
    </row>
    <row r="793" spans="1:41" s="618" customFormat="1" ht="12">
      <c r="A793" s="645"/>
      <c r="B793" s="645"/>
      <c r="C793" s="645"/>
      <c r="D793" s="645"/>
      <c r="E793" s="645"/>
      <c r="F793" s="2"/>
      <c r="G793" s="645"/>
      <c r="H793" s="645"/>
      <c r="I793" s="646"/>
      <c r="J793" s="645"/>
      <c r="K793" s="645"/>
      <c r="L793" s="645"/>
      <c r="M793" s="645"/>
      <c r="N793" s="645"/>
      <c r="O793" s="645"/>
      <c r="P793" s="645"/>
      <c r="Q793" s="646"/>
      <c r="R793" s="647">
        <f t="shared" ref="R793" si="186">$A793*Q793</f>
        <v>0</v>
      </c>
      <c r="S793" s="646"/>
      <c r="T793" s="648">
        <f t="shared" ref="T793" si="187">$A793*S793*$T$1</f>
        <v>0</v>
      </c>
    </row>
    <row r="794" spans="1:41" s="618" customFormat="1" ht="12.6" thickBot="1">
      <c r="A794" s="649" t="s">
        <v>137</v>
      </c>
      <c r="B794" s="650">
        <f>(R793+T793)</f>
        <v>0</v>
      </c>
      <c r="C794" s="651"/>
      <c r="D794" s="651"/>
      <c r="E794" s="651"/>
      <c r="F794" s="652"/>
      <c r="G794" s="651" t="s">
        <v>503</v>
      </c>
      <c r="H794" s="651"/>
      <c r="I794" s="653"/>
      <c r="J794" s="651"/>
      <c r="K794" s="651" t="s">
        <v>10</v>
      </c>
      <c r="L794" s="654" t="s">
        <v>136</v>
      </c>
      <c r="M794" s="654"/>
      <c r="N794" s="654"/>
      <c r="O794" s="654"/>
      <c r="P794" s="654"/>
      <c r="Q794" s="655"/>
      <c r="R794" s="656">
        <f>SUM(R791:R793)</f>
        <v>68.2</v>
      </c>
      <c r="S794" s="651"/>
      <c r="T794" s="656">
        <f>SUM(T791:T793)</f>
        <v>0</v>
      </c>
      <c r="U794" s="621"/>
      <c r="V794" s="621"/>
      <c r="W794" s="621"/>
      <c r="X794" s="621"/>
      <c r="Y794" s="621"/>
      <c r="Z794" s="621"/>
      <c r="AA794" s="621"/>
      <c r="AB794" s="621"/>
      <c r="AC794" s="621"/>
      <c r="AD794" s="621"/>
      <c r="AE794" s="621"/>
      <c r="AF794" s="621"/>
      <c r="AG794" s="621"/>
      <c r="AH794" s="621"/>
      <c r="AI794" s="621"/>
      <c r="AJ794" s="621"/>
      <c r="AK794" s="621"/>
      <c r="AL794" s="621"/>
      <c r="AM794" s="621"/>
      <c r="AN794" s="621"/>
      <c r="AO794" s="621"/>
    </row>
    <row r="795" spans="1:41" s="618" customFormat="1" ht="12" thickTop="1">
      <c r="A795" s="616"/>
      <c r="B795" s="622"/>
      <c r="C795" s="616"/>
      <c r="E795" s="37" t="s">
        <v>491</v>
      </c>
      <c r="F795" s="37" t="s">
        <v>492</v>
      </c>
      <c r="G795" s="616"/>
      <c r="H795" s="616"/>
      <c r="I795" s="616"/>
      <c r="J795" s="616"/>
      <c r="K795" s="616" t="s">
        <v>493</v>
      </c>
      <c r="L795" s="616"/>
      <c r="M795" s="616"/>
      <c r="N795" s="616"/>
      <c r="O795" s="617"/>
      <c r="P795" s="616"/>
      <c r="Q795" s="616"/>
      <c r="R795" s="616"/>
      <c r="S795" s="616"/>
      <c r="T795" s="622"/>
      <c r="AG795" s="623" t="s">
        <v>494</v>
      </c>
      <c r="AH795" s="623" t="s">
        <v>495</v>
      </c>
      <c r="AI795" s="623" t="s">
        <v>496</v>
      </c>
      <c r="AJ795" s="623" t="s">
        <v>497</v>
      </c>
      <c r="AK795" s="623" t="s">
        <v>498</v>
      </c>
      <c r="AM795" s="624" t="s">
        <v>499</v>
      </c>
      <c r="AN795" s="625" t="s">
        <v>500</v>
      </c>
      <c r="AO795" s="626" t="s">
        <v>501</v>
      </c>
    </row>
    <row r="796" spans="1:41" s="618" customFormat="1" ht="12" customHeight="1">
      <c r="A796" s="627">
        <v>2</v>
      </c>
      <c r="B796" s="628" t="s">
        <v>294</v>
      </c>
      <c r="C796" s="629"/>
      <c r="D796" s="630" t="s">
        <v>581</v>
      </c>
      <c r="E796" s="907">
        <f>IF(AND($A796=0,$A$1="DIF"),0, ROUND(ROUND(($R800*$S$5+($T800*$T$5))/$A796,2)*$C$5,2))</f>
        <v>55.13</v>
      </c>
      <c r="F796" s="908">
        <f>ROUND($A796*$E796,2)</f>
        <v>110.26</v>
      </c>
      <c r="G796" s="88" t="s">
        <v>135</v>
      </c>
      <c r="H796" s="2"/>
      <c r="I796" s="633"/>
      <c r="J796" s="2"/>
      <c r="K796" s="2" t="s">
        <v>10</v>
      </c>
      <c r="L796" s="634" t="s">
        <v>136</v>
      </c>
      <c r="M796" s="634"/>
      <c r="N796" s="634"/>
      <c r="O796" s="634"/>
      <c r="P796" s="634"/>
      <c r="Q796" s="616"/>
      <c r="T796" s="912" t="str">
        <f>IF(AND($R800=0,$T800=0),"0.00","mu: "&amp; ROUND(F796/$C$5/($R800+$T800*$D$9),2))</f>
        <v>mu: 1</v>
      </c>
      <c r="W796" s="636"/>
      <c r="AG796" s="909">
        <f>IF($E796=0,0,ROUND($R800*$S$5*$C$5/$A796,2))</f>
        <v>55.13</v>
      </c>
      <c r="AH796" s="909">
        <f>$AG796*$A796</f>
        <v>110.26</v>
      </c>
      <c r="AI796" s="910">
        <f>$E796-$AG796</f>
        <v>0</v>
      </c>
      <c r="AJ796" s="910">
        <f>$A796*$AI796</f>
        <v>0</v>
      </c>
      <c r="AK796" s="911">
        <f>ROUND(($AG796+$AI796)*$A796,2)</f>
        <v>110.26</v>
      </c>
      <c r="AM796" s="640">
        <f>ROUND(R800,2)</f>
        <v>110.26</v>
      </c>
      <c r="AN796" s="641">
        <f>ROUND(T800,2)</f>
        <v>0</v>
      </c>
      <c r="AO796" s="642">
        <f>ROUND(AM796+AN796,2)*A796</f>
        <v>220.52</v>
      </c>
    </row>
    <row r="797" spans="1:41" s="618" customFormat="1" ht="13.2">
      <c r="A797" s="629"/>
      <c r="B797"/>
      <c r="C797" s="629"/>
      <c r="D797" s="630" t="s">
        <v>431</v>
      </c>
      <c r="F797" s="2"/>
      <c r="G797" s="3"/>
      <c r="H797" s="2"/>
      <c r="I797" s="633"/>
      <c r="J797" s="2"/>
      <c r="K797" s="2" t="s">
        <v>502</v>
      </c>
      <c r="L797" s="2"/>
      <c r="M797" s="2"/>
      <c r="N797" s="2"/>
      <c r="O797" s="2"/>
      <c r="P797" s="2"/>
      <c r="Q797" s="616"/>
      <c r="R797" s="643"/>
      <c r="S797" s="644"/>
      <c r="T797" s="2"/>
    </row>
    <row r="798" spans="1:41" s="783" customFormat="1" ht="13.2">
      <c r="A798" s="105">
        <v>2</v>
      </c>
      <c r="B798" s="783" t="s">
        <v>134</v>
      </c>
      <c r="D798" s="783" t="s">
        <v>431</v>
      </c>
      <c r="G798" s="784" t="s">
        <v>704</v>
      </c>
      <c r="H798" s="785">
        <v>725</v>
      </c>
      <c r="I798" s="783" t="s">
        <v>627</v>
      </c>
      <c r="O798" s="786">
        <v>3</v>
      </c>
      <c r="P798" s="787"/>
      <c r="Q798" s="788">
        <v>55.13</v>
      </c>
      <c r="R798" s="789">
        <f>$A798*Q798</f>
        <v>110.26</v>
      </c>
      <c r="S798" s="788"/>
      <c r="T798" s="790">
        <f>$A798*S798*$T$1</f>
        <v>0</v>
      </c>
    </row>
    <row r="799" spans="1:41" s="618" customFormat="1" ht="12">
      <c r="A799" s="645"/>
      <c r="B799" s="645"/>
      <c r="C799" s="645"/>
      <c r="D799" s="645"/>
      <c r="E799" s="645"/>
      <c r="F799" s="2"/>
      <c r="G799" s="645"/>
      <c r="H799" s="645"/>
      <c r="I799" s="646"/>
      <c r="J799" s="645"/>
      <c r="K799" s="645"/>
      <c r="L799" s="645"/>
      <c r="M799" s="645"/>
      <c r="N799" s="645"/>
      <c r="O799" s="645"/>
      <c r="P799" s="645"/>
      <c r="Q799" s="646"/>
      <c r="R799" s="647">
        <f t="shared" ref="R799" si="188">$A799*Q799</f>
        <v>0</v>
      </c>
      <c r="S799" s="646"/>
      <c r="T799" s="648">
        <f t="shared" ref="T799" si="189">$A799*S799*$T$1</f>
        <v>0</v>
      </c>
    </row>
    <row r="800" spans="1:41" s="618" customFormat="1" ht="12.6" thickBot="1">
      <c r="A800" s="649" t="s">
        <v>137</v>
      </c>
      <c r="B800" s="650">
        <f>(R799+T799)</f>
        <v>0</v>
      </c>
      <c r="C800" s="651"/>
      <c r="D800" s="651"/>
      <c r="E800" s="651"/>
      <c r="F800" s="652"/>
      <c r="G800" s="651" t="s">
        <v>503</v>
      </c>
      <c r="H800" s="651"/>
      <c r="I800" s="653"/>
      <c r="J800" s="651"/>
      <c r="K800" s="651" t="s">
        <v>10</v>
      </c>
      <c r="L800" s="654" t="s">
        <v>136</v>
      </c>
      <c r="M800" s="654"/>
      <c r="N800" s="654"/>
      <c r="O800" s="654"/>
      <c r="P800" s="654"/>
      <c r="Q800" s="655"/>
      <c r="R800" s="656">
        <f>SUM(R797:R799)</f>
        <v>110.26</v>
      </c>
      <c r="S800" s="651"/>
      <c r="T800" s="656">
        <f>SUM(T797:T799)</f>
        <v>0</v>
      </c>
      <c r="U800" s="621"/>
      <c r="V800" s="621"/>
      <c r="W800" s="621"/>
      <c r="X800" s="621"/>
      <c r="Y800" s="621"/>
      <c r="Z800" s="621"/>
      <c r="AA800" s="621"/>
      <c r="AB800" s="621"/>
      <c r="AC800" s="621"/>
      <c r="AD800" s="621"/>
      <c r="AE800" s="621"/>
      <c r="AF800" s="621"/>
      <c r="AG800" s="621"/>
      <c r="AH800" s="621"/>
      <c r="AI800" s="621"/>
      <c r="AJ800" s="621"/>
      <c r="AK800" s="621"/>
      <c r="AL800" s="621"/>
      <c r="AM800" s="621"/>
      <c r="AN800" s="621"/>
      <c r="AO800" s="621"/>
    </row>
    <row r="801" spans="1:37" s="618" customFormat="1" ht="12" thickTop="1">
      <c r="A801" s="43" t="s">
        <v>542</v>
      </c>
      <c r="D801" s="13"/>
      <c r="E801" s="37"/>
      <c r="O801" s="657"/>
    </row>
    <row r="802" spans="1:37" s="618" customFormat="1" ht="13.2">
      <c r="B802" s="3"/>
      <c r="O802" s="657"/>
    </row>
    <row r="803" spans="1:37" s="618" customFormat="1" ht="12">
      <c r="B803" s="658">
        <f>$F803/$C$2-($R803*$S$2+$T803*$T$2)</f>
        <v>1.7510499999957574E-2</v>
      </c>
      <c r="D803" s="659" t="s">
        <v>618</v>
      </c>
      <c r="E803" s="660"/>
      <c r="F803" s="661">
        <f>SUMIF($L748:$L801,"ITEM",F748:F801)</f>
        <v>325.40999999999997</v>
      </c>
      <c r="G803" s="645"/>
      <c r="H803" s="645"/>
      <c r="I803" s="646"/>
      <c r="J803" s="645"/>
      <c r="K803" s="645"/>
      <c r="L803" s="634" t="s">
        <v>543</v>
      </c>
      <c r="M803" s="634"/>
      <c r="N803" s="634"/>
      <c r="O803" s="634"/>
      <c r="P803" s="634"/>
      <c r="R803" s="661">
        <f>SUMIF($L748:$L801,"ITEM",R748:R801)</f>
        <v>259.61</v>
      </c>
      <c r="S803" s="662"/>
      <c r="T803" s="661">
        <f>SUMIF($L748:$L801,"ITEM",T748:T801)</f>
        <v>2.2814999999999999</v>
      </c>
    </row>
    <row r="804" spans="1:37" s="618" customFormat="1" ht="13.2">
      <c r="A804" s="616"/>
      <c r="B804" s="663" t="s">
        <v>544</v>
      </c>
      <c r="C804" s="616"/>
      <c r="D804" s="3"/>
      <c r="F804" s="664" t="s">
        <v>545</v>
      </c>
      <c r="G804" s="645"/>
      <c r="H804" s="645"/>
      <c r="I804" s="646"/>
      <c r="J804" s="645"/>
      <c r="K804" s="645"/>
      <c r="L804" s="645"/>
      <c r="M804" s="645"/>
      <c r="N804" s="645"/>
      <c r="O804" s="645"/>
      <c r="P804" s="645"/>
      <c r="Q804" s="665"/>
      <c r="R804" s="664" t="s">
        <v>546</v>
      </c>
      <c r="S804" s="620"/>
      <c r="T804" s="664" t="s">
        <v>547</v>
      </c>
    </row>
    <row r="805" spans="1:37" s="618" customFormat="1" ht="13.2">
      <c r="A805" s="645"/>
      <c r="B805" s="3"/>
      <c r="C805" s="645"/>
      <c r="D805" s="3"/>
      <c r="E805" s="3"/>
      <c r="G805" s="3"/>
      <c r="H805" s="3"/>
      <c r="I805" s="3"/>
      <c r="J805" s="3"/>
      <c r="K805" s="3"/>
      <c r="L805" s="3"/>
      <c r="M805" s="3"/>
      <c r="N805" s="3"/>
      <c r="O805" s="96"/>
      <c r="P805" s="3"/>
      <c r="Q805" s="3"/>
      <c r="R805" s="3"/>
      <c r="S805" s="3"/>
      <c r="T805" s="3"/>
    </row>
    <row r="806" spans="1:37" s="618" customFormat="1" ht="12" thickBot="1">
      <c r="A806" s="621"/>
      <c r="B806" s="651"/>
      <c r="C806" s="651"/>
      <c r="D806" s="621"/>
      <c r="E806" s="666"/>
      <c r="F806" s="667"/>
      <c r="G806" s="651"/>
      <c r="H806" s="651"/>
      <c r="I806" s="653"/>
      <c r="J806" s="651"/>
      <c r="K806" s="651"/>
      <c r="L806" s="654"/>
      <c r="M806" s="654"/>
      <c r="N806" s="654"/>
      <c r="O806" s="654"/>
      <c r="P806" s="654"/>
      <c r="Q806" s="655"/>
      <c r="R806" s="667"/>
      <c r="S806" s="668"/>
      <c r="T806" s="667"/>
      <c r="U806" s="621"/>
      <c r="V806" s="621"/>
      <c r="W806" s="621"/>
      <c r="X806" s="621"/>
      <c r="Y806" s="621"/>
      <c r="Z806" s="621"/>
      <c r="AA806" s="621"/>
      <c r="AB806" s="621"/>
      <c r="AC806" s="621"/>
      <c r="AD806" s="621"/>
      <c r="AE806" s="621"/>
      <c r="AF806" s="621"/>
      <c r="AG806" s="621"/>
      <c r="AH806" s="621"/>
      <c r="AI806" s="621"/>
      <c r="AJ806" s="621"/>
      <c r="AK806" s="621"/>
    </row>
    <row r="807" spans="1:37" s="618" customFormat="1" ht="14.4" thickTop="1" thickBot="1">
      <c r="A807" s="43"/>
      <c r="B807" s="3"/>
      <c r="C807" s="616"/>
      <c r="D807" s="3"/>
      <c r="E807" s="3"/>
      <c r="F807" s="3"/>
      <c r="G807" s="3"/>
      <c r="H807" s="3"/>
      <c r="I807" s="3"/>
      <c r="J807" s="3"/>
      <c r="K807" s="3"/>
      <c r="L807" s="3"/>
      <c r="M807" s="3"/>
      <c r="N807" s="3"/>
      <c r="O807" s="96"/>
      <c r="P807" s="3"/>
      <c r="Q807" s="3"/>
      <c r="R807" s="3"/>
      <c r="S807" s="3"/>
      <c r="T807" s="3"/>
      <c r="AH807" s="670">
        <f ca="1">SUM(AH$15:AH806)</f>
        <v>3141.5899999999992</v>
      </c>
      <c r="AI807" s="36"/>
      <c r="AJ807" s="670">
        <f ca="1">SUM(AJ$15:AJ806)</f>
        <v>2971.8700000000008</v>
      </c>
      <c r="AK807" s="670">
        <f ca="1">SUM(AK$15:AK806)</f>
        <v>6113.4599999999964</v>
      </c>
    </row>
    <row r="808" spans="1:37" s="618" customFormat="1" ht="12" thickTop="1">
      <c r="B808" s="671">
        <f ca="1">$F808/$C$2-($R808*$S$2+$T808*$T$2)</f>
        <v>7.2255332784152415E-2</v>
      </c>
      <c r="C808" s="618" t="s">
        <v>73</v>
      </c>
      <c r="D808" s="672"/>
      <c r="E808" s="672" t="str">
        <f>$F$2 &amp; " (mu_A) :"</f>
        <v>Electrical (mu_A) :</v>
      </c>
      <c r="F808" s="673">
        <f ca="1">SUMIF($K$13:$K807,"mu_A",F$13:F807)</f>
        <v>4683.3999999999969</v>
      </c>
      <c r="O808" s="657"/>
      <c r="R808" s="674">
        <f ca="1">SUMIF($K$13:$K807,"mu_A",$R$13:$R807)</f>
        <v>1979.8908819672124</v>
      </c>
      <c r="T808" s="674">
        <f ca="1">SUMIF($K$13:$K807,"mu_A",$T$13:$T807)</f>
        <v>93.76190000000004</v>
      </c>
      <c r="AH808" s="675">
        <f ca="1">R808*$S$2</f>
        <v>1979.8908819672124</v>
      </c>
      <c r="AJ808" s="675">
        <f ca="1">T808*$T$2</f>
        <v>2703.4368627000008</v>
      </c>
    </row>
    <row r="809" spans="1:37" s="618" customFormat="1" ht="11.4">
      <c r="B809" s="671">
        <f>$F809/$C$3-($R809*$S$3+$T809*$T$3)</f>
        <v>1.999999999998181E-2</v>
      </c>
      <c r="C809" s="618" t="s">
        <v>73</v>
      </c>
      <c r="D809" s="672"/>
      <c r="E809" s="672" t="str">
        <f>$F$3&amp; " (mu_B) :"</f>
        <v>Controls Section (Guy) (mu_B) :</v>
      </c>
      <c r="F809" s="676">
        <f>SUMIF($K$13:$K807,"mu_B",F$13:F807)</f>
        <v>1071.5999999999999</v>
      </c>
      <c r="G809" s="645"/>
      <c r="H809" s="645"/>
      <c r="I809" s="646"/>
      <c r="J809" s="645"/>
      <c r="K809" s="645"/>
      <c r="L809" s="645"/>
      <c r="M809" s="645"/>
      <c r="N809" s="645"/>
      <c r="O809" s="645"/>
      <c r="P809" s="645"/>
      <c r="Q809" s="665"/>
      <c r="R809" s="677">
        <f>SUMIF($K$13:$K807,"mu_B",$R$13:$R807)</f>
        <v>923.07999999999993</v>
      </c>
      <c r="S809" s="678"/>
      <c r="T809" s="677">
        <f>SUMIF($K$13:$K807,"mu_B",$T$13:$T807)</f>
        <v>4.5</v>
      </c>
      <c r="AH809" s="679">
        <f>R809*$S$3</f>
        <v>923.07999999999993</v>
      </c>
      <c r="AJ809" s="679">
        <f>T809*$T$3</f>
        <v>148.5</v>
      </c>
    </row>
    <row r="810" spans="1:37" s="618" customFormat="1" ht="11.4">
      <c r="B810" s="671">
        <f ca="1">$F810/$C$4-($R810*$S$4+$T810*$T$4)</f>
        <v>0</v>
      </c>
      <c r="C810" s="618" t="s">
        <v>73</v>
      </c>
      <c r="D810" s="672"/>
      <c r="E810" s="672" t="str">
        <f>$F$4&amp; " (mu_C) :"</f>
        <v>Controls Section (Engineer) (mu_C) :</v>
      </c>
      <c r="F810" s="680">
        <f ca="1">SUMIF($K$13:$K807,"mu_C",F$13:F807)</f>
        <v>120</v>
      </c>
      <c r="G810" s="645"/>
      <c r="H810" s="645"/>
      <c r="I810" s="646"/>
      <c r="J810" s="645"/>
      <c r="K810" s="645"/>
      <c r="L810" s="681"/>
      <c r="M810" s="681"/>
      <c r="N810" s="681"/>
      <c r="O810" s="681"/>
      <c r="P810" s="681"/>
      <c r="R810" s="677">
        <f>SUMIF($K$13:$K807,"mu_C",$R$13:$R807)</f>
        <v>0</v>
      </c>
      <c r="S810" s="662"/>
      <c r="T810" s="677">
        <f>SUMIF($K$13:$K807,"mu_C",$T$13:$T807)</f>
        <v>4</v>
      </c>
      <c r="AH810" s="682">
        <f>R810*$S$4</f>
        <v>0</v>
      </c>
      <c r="AJ810" s="682">
        <f>T810*$T$4</f>
        <v>120</v>
      </c>
    </row>
    <row r="811" spans="1:37" s="618" customFormat="1" ht="11.4">
      <c r="B811" s="671">
        <f>$F811/$C$5-($R811*$S$5+$T811*$T$5)</f>
        <v>0</v>
      </c>
      <c r="C811" s="618" t="s">
        <v>73</v>
      </c>
      <c r="D811" s="672"/>
      <c r="E811" s="672" t="str">
        <f>$F$5&amp; " (mu_D) :"</f>
        <v>Fire Alarm (Josef) (mu_D) :</v>
      </c>
      <c r="F811" s="683">
        <f>SUMIF($K$13:$K807,"mu_D",F$13:F807)</f>
        <v>238.45999999999998</v>
      </c>
      <c r="G811" s="645"/>
      <c r="H811" s="645"/>
      <c r="I811" s="646"/>
      <c r="J811" s="645"/>
      <c r="K811" s="645"/>
      <c r="L811" s="681"/>
      <c r="M811" s="681"/>
      <c r="N811" s="681"/>
      <c r="O811" s="681"/>
      <c r="P811" s="681"/>
      <c r="R811" s="677">
        <f>SUMIF($K$13:$K807,"mu_D",$R$13:$R807)</f>
        <v>238.45999999999998</v>
      </c>
      <c r="S811" s="662"/>
      <c r="T811" s="677">
        <f>SUMIF($K$13:$K807,"mu_D",$T$13:$T807)</f>
        <v>0</v>
      </c>
      <c r="AH811" s="684">
        <f>R811*$S$5</f>
        <v>238.45999999999998</v>
      </c>
      <c r="AJ811" s="684">
        <f>T811*$T$5</f>
        <v>0</v>
      </c>
    </row>
    <row r="812" spans="1:37" s="618" customFormat="1" ht="11.4">
      <c r="B812" s="671">
        <f>$F812/$C$6-($R812*$S$6+$T812*$T$6)</f>
        <v>0</v>
      </c>
      <c r="C812" s="618" t="s">
        <v>73</v>
      </c>
      <c r="D812" s="672"/>
      <c r="E812" s="672" t="str">
        <f>$F$6&amp; " (mu_E) :"</f>
        <v>0 (mu_E) :</v>
      </c>
      <c r="F812" s="685">
        <f>SUMIF($K$13:$K807,"mu_E",F$13:F807)</f>
        <v>0</v>
      </c>
      <c r="G812" s="645"/>
      <c r="H812" s="645"/>
      <c r="I812" s="646"/>
      <c r="J812" s="645"/>
      <c r="K812" s="645"/>
      <c r="L812" s="681"/>
      <c r="M812" s="681"/>
      <c r="N812" s="681"/>
      <c r="O812" s="681"/>
      <c r="P812" s="681"/>
      <c r="R812" s="677">
        <f>SUMIF($K$13:$K807,"mu_E",$R$13:$R807)</f>
        <v>0</v>
      </c>
      <c r="S812" s="662"/>
      <c r="T812" s="677">
        <f>SUMIF($K$13:$K807,"mu_E",$T$13:$T807)</f>
        <v>0</v>
      </c>
      <c r="AH812" s="686">
        <f>R812*$S$6</f>
        <v>0</v>
      </c>
      <c r="AJ812" s="686">
        <f>T812*$T$6</f>
        <v>0</v>
      </c>
    </row>
    <row r="813" spans="1:37" s="618" customFormat="1" ht="11.4">
      <c r="B813" s="671">
        <f>$F813/$C$7-($R813*$S$7+$T813*$T$7)</f>
        <v>0</v>
      </c>
      <c r="C813" s="618" t="s">
        <v>73</v>
      </c>
      <c r="D813" s="672"/>
      <c r="E813" s="672" t="str">
        <f>$F$7&amp; " (mu_F) :"</f>
        <v>0 (mu_F) :</v>
      </c>
      <c r="F813" s="687">
        <f>SUMIF($K$13:$K807,"mu_F",F$13:F807)</f>
        <v>0</v>
      </c>
      <c r="G813" s="645"/>
      <c r="H813" s="645"/>
      <c r="I813" s="646"/>
      <c r="J813" s="645"/>
      <c r="K813" s="645"/>
      <c r="L813" s="681"/>
      <c r="M813" s="681"/>
      <c r="N813" s="681"/>
      <c r="O813" s="681"/>
      <c r="P813" s="681"/>
      <c r="R813" s="677">
        <f>SUMIF($K$13:$K807,"mu_F",$R$13:$R807)</f>
        <v>0</v>
      </c>
      <c r="S813" s="662"/>
      <c r="T813" s="677">
        <f>SUMIF($K$13:$K807,"mu_F",$T$13:$T807)</f>
        <v>0</v>
      </c>
      <c r="AH813" s="688">
        <f>R813*$S$7</f>
        <v>0</v>
      </c>
      <c r="AJ813" s="688">
        <f>T813*$T$7</f>
        <v>0</v>
      </c>
    </row>
    <row r="814" spans="1:37" s="618" customFormat="1" ht="11.4">
      <c r="B814" s="671">
        <f>$F814/$C$8-($R814*$S$8+$T814*$T$8)</f>
        <v>0</v>
      </c>
      <c r="C814" s="618" t="s">
        <v>73</v>
      </c>
      <c r="D814" s="672"/>
      <c r="E814" s="672" t="str">
        <f>$F$8&amp; " (mu_G) :"</f>
        <v>0 (mu_G) :</v>
      </c>
      <c r="F814" s="689">
        <f>SUMIF($K$13:$K807,"mu_G",F$13:F807)</f>
        <v>0</v>
      </c>
      <c r="G814" s="645"/>
      <c r="H814" s="645"/>
      <c r="I814" s="646"/>
      <c r="J814" s="645"/>
      <c r="K814" s="645"/>
      <c r="L814" s="681"/>
      <c r="M814" s="681"/>
      <c r="N814" s="681"/>
      <c r="O814" s="681"/>
      <c r="P814" s="681"/>
      <c r="R814" s="677">
        <f>SUMIF($K$13:$K807,"mu_G",$R$13:$R807)</f>
        <v>0</v>
      </c>
      <c r="S814" s="662"/>
      <c r="T814" s="677">
        <f>SUMIF($K$13:$K807,"mu_G",$T$13:$T807)</f>
        <v>0</v>
      </c>
      <c r="AH814" s="690">
        <f>R814*$S$8</f>
        <v>0</v>
      </c>
      <c r="AJ814" s="690">
        <f>T814*$T$8</f>
        <v>0</v>
      </c>
    </row>
    <row r="815" spans="1:37" s="618" customFormat="1" ht="11.4">
      <c r="B815" s="671">
        <f>$F815/$C$9-($R815*$S$9+$T815*$T$9)</f>
        <v>0</v>
      </c>
      <c r="C815" s="618" t="s">
        <v>73</v>
      </c>
      <c r="D815" s="672"/>
      <c r="E815" s="672" t="str">
        <f>$F$9&amp; " (mu_H) :"</f>
        <v>0 (mu_H) :</v>
      </c>
      <c r="F815" s="691">
        <f>SUMIF($K$13:$K807,"mu_H",F$13:F807)</f>
        <v>0</v>
      </c>
      <c r="G815" s="645"/>
      <c r="H815" s="645"/>
      <c r="I815" s="646"/>
      <c r="J815" s="645"/>
      <c r="K815" s="645"/>
      <c r="L815" s="681"/>
      <c r="M815" s="681"/>
      <c r="N815" s="681"/>
      <c r="O815" s="681"/>
      <c r="P815" s="681"/>
      <c r="R815" s="677">
        <f>SUMIF($K$13:$K807,"mu_H",$R$13:$R807)</f>
        <v>0</v>
      </c>
      <c r="S815" s="662"/>
      <c r="T815" s="677">
        <f>SUMIF($K$13:$K807,"mu_H",$T$13:$T807)</f>
        <v>0</v>
      </c>
      <c r="AH815" s="692">
        <f>R815*$S$9</f>
        <v>0</v>
      </c>
      <c r="AJ815" s="692">
        <f>T815*$T$9</f>
        <v>0</v>
      </c>
    </row>
    <row r="816" spans="1:37" s="618" customFormat="1" ht="11.4">
      <c r="B816" s="671">
        <f>$F816/$C$10-($R816*$S$10+$T816*$T$10)</f>
        <v>0</v>
      </c>
      <c r="C816" s="618" t="s">
        <v>73</v>
      </c>
      <c r="D816" s="672"/>
      <c r="E816" s="672" t="str">
        <f>$F$10&amp; " (mu_I) :"</f>
        <v>0 (mu_I) :</v>
      </c>
      <c r="F816" s="693">
        <f>SUMIF($K$13:$K807,"mu_I",F$13:F807)</f>
        <v>0</v>
      </c>
      <c r="G816" s="645"/>
      <c r="H816" s="645"/>
      <c r="I816" s="646"/>
      <c r="J816" s="645"/>
      <c r="K816" s="645"/>
      <c r="L816" s="681"/>
      <c r="M816" s="681"/>
      <c r="N816" s="681"/>
      <c r="O816" s="681"/>
      <c r="P816" s="681"/>
      <c r="R816" s="677">
        <f>SUMIF($K$13:$K807,"mu_I",$R$13:$R807)</f>
        <v>0</v>
      </c>
      <c r="S816" s="662"/>
      <c r="T816" s="677">
        <f>SUMIF($K$13:$K807,"mu_I",$T$13:$T807)</f>
        <v>0</v>
      </c>
      <c r="AH816" s="694">
        <f>R816*$S$10</f>
        <v>0</v>
      </c>
      <c r="AJ816" s="694">
        <f>T816*$T$10</f>
        <v>0</v>
      </c>
    </row>
    <row r="817" spans="1:37" s="618" customFormat="1" ht="11.4">
      <c r="B817" s="671">
        <f>$F817/$C$11-($R817*$S$11+$T817*$T$11)</f>
        <v>0</v>
      </c>
      <c r="D817" s="672"/>
      <c r="E817" s="672" t="str">
        <f>$F$10&amp; " (mu_J) :"</f>
        <v>0 (mu_J) :</v>
      </c>
      <c r="F817" s="695">
        <f>SUMIF($K$13:$K807,"mu_J",F$13:F807)</f>
        <v>0</v>
      </c>
      <c r="G817" s="645"/>
      <c r="H817" s="645"/>
      <c r="I817" s="646"/>
      <c r="J817" s="645"/>
      <c r="K817" s="645"/>
      <c r="L817" s="681"/>
      <c r="M817" s="681"/>
      <c r="N817" s="681"/>
      <c r="O817" s="681"/>
      <c r="P817" s="681"/>
      <c r="R817" s="677">
        <f>SUMIF($K$13:$K807,"mu_J",$R$13:$R807)</f>
        <v>0</v>
      </c>
      <c r="S817" s="662"/>
      <c r="T817" s="677">
        <f>SUMIF($K$13:$K807,"mu_J",$T$13:$T807)</f>
        <v>0</v>
      </c>
      <c r="AH817" s="696">
        <f>R817*$S$11</f>
        <v>0</v>
      </c>
      <c r="AJ817" s="696">
        <f>T817*$T$11</f>
        <v>0</v>
      </c>
    </row>
    <row r="818" spans="1:37" s="618" customFormat="1" ht="14.4" thickBot="1">
      <c r="A818" s="697"/>
      <c r="B818" s="697"/>
      <c r="C818" s="698" t="s">
        <v>582</v>
      </c>
      <c r="D818" s="699"/>
      <c r="E818" s="700" t="s">
        <v>583</v>
      </c>
      <c r="F818" s="701">
        <f ca="1">SUM(F808:F817)</f>
        <v>6113.4599999999964</v>
      </c>
      <c r="G818" s="702"/>
      <c r="H818" s="702"/>
      <c r="I818" s="703"/>
      <c r="J818" s="702"/>
      <c r="K818" s="702"/>
      <c r="L818" s="704"/>
      <c r="M818" s="704"/>
      <c r="N818" s="704"/>
      <c r="O818" s="704"/>
      <c r="P818" s="704"/>
      <c r="Q818" s="705"/>
      <c r="R818" s="705">
        <f ca="1">SUM(R808:R817)</f>
        <v>3141.4308819672124</v>
      </c>
      <c r="S818" s="706"/>
      <c r="T818" s="705">
        <f ca="1">SUM(T808:T817)</f>
        <v>102.26190000000004</v>
      </c>
      <c r="U818" s="621"/>
      <c r="V818" s="621"/>
      <c r="W818" s="621"/>
      <c r="X818" s="621"/>
      <c r="Y818" s="621"/>
      <c r="Z818" s="621"/>
      <c r="AA818" s="621"/>
      <c r="AB818" s="621"/>
      <c r="AC818" s="621"/>
      <c r="AD818" s="621"/>
      <c r="AE818" s="621"/>
      <c r="AF818" s="621"/>
      <c r="AG818" s="621"/>
      <c r="AH818" s="670">
        <f ca="1">SUM(AH808:AH817)</f>
        <v>3141.4308819672124</v>
      </c>
      <c r="AI818" s="707"/>
      <c r="AJ818" s="670">
        <f ca="1">SUM(AJ808:AJ817)</f>
        <v>2971.9368627000008</v>
      </c>
      <c r="AK818" s="670">
        <f ca="1">AH818+AJ818</f>
        <v>6113.3677446672136</v>
      </c>
    </row>
    <row r="819" spans="1:37" s="618" customFormat="1" ht="14.4" thickTop="1">
      <c r="A819" s="495"/>
      <c r="B819" s="495"/>
      <c r="C819" s="708"/>
      <c r="D819" s="709"/>
      <c r="E819" s="664"/>
      <c r="F819" s="710"/>
      <c r="G819" s="633"/>
      <c r="H819" s="633"/>
      <c r="I819" s="633"/>
      <c r="J819" s="633"/>
      <c r="K819" s="633"/>
      <c r="L819" s="711"/>
      <c r="M819" s="711"/>
      <c r="N819" s="711"/>
      <c r="O819" s="711"/>
      <c r="P819" s="711"/>
      <c r="Q819" s="710"/>
      <c r="R819" s="710"/>
      <c r="S819" s="712"/>
      <c r="T819" s="710"/>
      <c r="AH819" s="713">
        <f ca="1">AH807-AH818</f>
        <v>0.15911803278686421</v>
      </c>
      <c r="AI819" s="36"/>
      <c r="AJ819" s="713">
        <f ca="1">AJ807-AJ818</f>
        <v>-6.6862700000001496E-2</v>
      </c>
      <c r="AK819" s="713">
        <f ca="1">AK807-AK818</f>
        <v>9.2255332782769983E-2</v>
      </c>
    </row>
    <row r="820" spans="1:37" s="618" customFormat="1" ht="12.6" thickBot="1">
      <c r="A820" s="714"/>
      <c r="B820" s="715" t="s">
        <v>584</v>
      </c>
      <c r="C820" s="616"/>
      <c r="D820" s="45"/>
      <c r="E820" s="620" t="s">
        <v>585</v>
      </c>
      <c r="F820" s="716"/>
      <c r="G820" s="643"/>
      <c r="H820" s="643"/>
      <c r="I820" s="643"/>
      <c r="J820" s="643"/>
      <c r="K820" s="643"/>
      <c r="L820" s="710" t="s">
        <v>586</v>
      </c>
      <c r="M820" s="710"/>
      <c r="N820" s="710"/>
      <c r="O820" s="710"/>
      <c r="P820" s="710"/>
      <c r="Q820" s="643"/>
      <c r="R820" s="717">
        <f ca="1">SUMIF($L$15:$L807,"",R$15:R807)</f>
        <v>3141.4308819672124</v>
      </c>
      <c r="S820" s="718"/>
      <c r="T820" s="717">
        <f ca="1">SUMIF($L$15:$L807,"",T$15:T807)</f>
        <v>102.26190000000008</v>
      </c>
    </row>
    <row r="821" spans="1:37" s="618" customFormat="1" ht="12">
      <c r="A821" s="714"/>
      <c r="B821" s="715" t="s">
        <v>587</v>
      </c>
      <c r="C821" s="616"/>
      <c r="D821" s="616"/>
      <c r="E821" s="678"/>
      <c r="F821" s="643"/>
      <c r="G821" s="643"/>
      <c r="H821" s="643"/>
      <c r="I821" s="643"/>
      <c r="J821" s="643"/>
      <c r="K821" s="643"/>
      <c r="L821" s="643"/>
      <c r="M821" s="643"/>
      <c r="N821" s="643"/>
      <c r="O821" s="643"/>
      <c r="P821" s="643"/>
      <c r="Q821" s="643"/>
      <c r="R821" s="643"/>
      <c r="S821" s="643"/>
      <c r="T821" s="643"/>
    </row>
    <row r="822" spans="1:37" s="618" customFormat="1" ht="12.6" thickBot="1">
      <c r="A822" s="719"/>
      <c r="B822" s="720">
        <f ca="1">$F822/$C$2-($R822*$S$2+$T822*$T$2)</f>
        <v>23.511755332782741</v>
      </c>
      <c r="C822" s="616"/>
      <c r="D822" s="45"/>
      <c r="E822" s="620" t="s">
        <v>588</v>
      </c>
      <c r="F822" s="721">
        <f ca="1">SUMIF($L$15:$L807,"ITEM",F$15:F807)</f>
        <v>6113.4599999999964</v>
      </c>
      <c r="G822" s="643"/>
      <c r="H822" s="643"/>
      <c r="I822" s="643"/>
      <c r="J822" s="643"/>
      <c r="K822" s="643"/>
      <c r="L822" s="710" t="s">
        <v>589</v>
      </c>
      <c r="M822" s="710"/>
      <c r="N822" s="710"/>
      <c r="O822" s="710"/>
      <c r="P822" s="710"/>
      <c r="Q822" s="718"/>
      <c r="R822" s="722">
        <f ca="1">SUMIF($L$15:$L807,"ITEM",R$15:R807)</f>
        <v>3141.4308819672124</v>
      </c>
      <c r="S822" s="723"/>
      <c r="T822" s="722">
        <f ca="1">SUMIF($L$15:$L807,"ITEM",T$15:T807)</f>
        <v>102.26190000000004</v>
      </c>
    </row>
    <row r="823" spans="1:37" s="618" customFormat="1" ht="11.4">
      <c r="A823" s="719"/>
      <c r="B823" s="724"/>
      <c r="C823" s="645"/>
      <c r="D823" s="616"/>
      <c r="E823" s="678"/>
      <c r="F823" s="643"/>
      <c r="G823" s="643"/>
      <c r="H823" s="643"/>
      <c r="I823" s="643"/>
      <c r="J823" s="643"/>
      <c r="K823" s="643"/>
      <c r="L823" s="643"/>
      <c r="M823" s="643"/>
      <c r="N823" s="643"/>
      <c r="O823" s="643"/>
      <c r="P823" s="643"/>
      <c r="Q823" s="643"/>
      <c r="R823" s="643"/>
      <c r="S823" s="643"/>
      <c r="T823" s="643"/>
    </row>
    <row r="824" spans="1:37" s="618" customFormat="1" thickBot="1">
      <c r="A824" s="719"/>
      <c r="B824" s="720">
        <f ca="1">$F824/$C$2-($R824*$S$2+$T824*$T$2)</f>
        <v>23.51175533278365</v>
      </c>
      <c r="C824" s="616"/>
      <c r="D824" s="725"/>
      <c r="E824" s="726" t="s">
        <v>590</v>
      </c>
      <c r="F824" s="727">
        <f ca="1">SUMIF($L$15:$L807,"PAGE",F$15:F807)</f>
        <v>6113.4599999999973</v>
      </c>
      <c r="G824" s="646"/>
      <c r="H824" s="646"/>
      <c r="I824" s="646"/>
      <c r="J824" s="646"/>
      <c r="K824" s="643"/>
      <c r="L824" s="711" t="s">
        <v>591</v>
      </c>
      <c r="M824" s="711"/>
      <c r="N824" s="711"/>
      <c r="O824" s="711"/>
      <c r="P824" s="711"/>
      <c r="Q824" s="718"/>
      <c r="R824" s="728">
        <f ca="1">SUMIF($L$15:$L807,"PAGE",R$15:R807)</f>
        <v>3141.4308819672128</v>
      </c>
      <c r="S824" s="729"/>
      <c r="T824" s="728">
        <f ca="1">SUMIF($L$15:$L807,"PAGE",T$15:T807)</f>
        <v>102.26190000000001</v>
      </c>
    </row>
    <row r="825" spans="1:37" s="618" customFormat="1" ht="11.4">
      <c r="A825" s="719"/>
      <c r="B825" s="720"/>
      <c r="C825" s="616"/>
      <c r="D825" s="616"/>
      <c r="E825" s="678"/>
      <c r="F825" s="643"/>
      <c r="G825" s="643"/>
      <c r="H825" s="643"/>
      <c r="I825" s="643"/>
      <c r="J825" s="643"/>
      <c r="K825" s="643"/>
      <c r="L825" s="643"/>
      <c r="M825" s="643"/>
      <c r="N825" s="643"/>
      <c r="O825" s="643"/>
      <c r="P825" s="643"/>
      <c r="Q825" s="643"/>
      <c r="R825" s="643"/>
      <c r="S825" s="643"/>
      <c r="T825" s="643"/>
    </row>
    <row r="826" spans="1:37" s="618" customFormat="1" ht="12.6" thickBot="1">
      <c r="A826" s="730" t="s">
        <v>542</v>
      </c>
      <c r="B826" s="720">
        <f>$F826/$C$2-($R826*$S$2+$T826*$T$2)</f>
        <v>0</v>
      </c>
      <c r="C826" s="616"/>
      <c r="D826" s="2"/>
      <c r="E826" s="726" t="s">
        <v>592</v>
      </c>
      <c r="F826" s="731">
        <f>SUMIF($L$15:$L807,"SECT",F$15:F807)</f>
        <v>0</v>
      </c>
      <c r="G826" s="646"/>
      <c r="H826" s="646"/>
      <c r="I826" s="646"/>
      <c r="J826" s="646"/>
      <c r="K826" s="643"/>
      <c r="L826" s="710" t="s">
        <v>593</v>
      </c>
      <c r="M826" s="710"/>
      <c r="N826" s="710"/>
      <c r="O826" s="710"/>
      <c r="P826" s="710"/>
      <c r="Q826" s="718"/>
      <c r="R826" s="732">
        <f>SUMIF($L$15:$L807,"SECT",R$15:R807)</f>
        <v>0</v>
      </c>
      <c r="S826" s="718"/>
      <c r="T826" s="732">
        <f>SUMIF($L$15:$L807,"SECT",T$15:T807)</f>
        <v>0</v>
      </c>
    </row>
    <row r="827" spans="1:37" s="618" customFormat="1" thickBot="1">
      <c r="A827" s="46" t="s">
        <v>139</v>
      </c>
      <c r="B827" s="666"/>
      <c r="C827" s="3"/>
      <c r="D827" s="666"/>
      <c r="E827" s="666"/>
      <c r="F827" s="733"/>
      <c r="G827" s="734"/>
      <c r="H827" s="734"/>
      <c r="I827" s="734"/>
      <c r="J827" s="734"/>
      <c r="K827" s="734"/>
      <c r="L827" s="734"/>
      <c r="M827" s="734"/>
      <c r="N827" s="734"/>
      <c r="O827" s="734"/>
      <c r="P827" s="734"/>
      <c r="Q827" s="734"/>
      <c r="R827" s="733"/>
      <c r="S827" s="735"/>
      <c r="T827" s="733"/>
      <c r="U827" s="621"/>
      <c r="V827" s="621"/>
      <c r="W827" s="621"/>
      <c r="X827" s="621"/>
      <c r="Y827" s="621"/>
      <c r="Z827" s="621"/>
      <c r="AA827" s="621"/>
      <c r="AB827" s="621"/>
      <c r="AC827" s="621"/>
      <c r="AD827" s="621"/>
      <c r="AE827" s="621"/>
      <c r="AF827" s="621"/>
      <c r="AG827" s="621"/>
      <c r="AH827" s="621"/>
      <c r="AI827" s="621"/>
      <c r="AJ827" s="621"/>
      <c r="AK827" s="621"/>
    </row>
    <row r="828" spans="1:37" s="753" customFormat="1" thickTop="1">
      <c r="A828" s="745"/>
      <c r="B828" s="746" t="s">
        <v>71</v>
      </c>
      <c r="C828" s="6"/>
      <c r="D828" s="747"/>
      <c r="E828" s="748" t="s">
        <v>140</v>
      </c>
      <c r="F828" s="263"/>
      <c r="G828" s="263"/>
      <c r="H828" s="263"/>
      <c r="I828" s="263"/>
      <c r="J828" s="263"/>
      <c r="K828" s="263"/>
      <c r="L828" s="263"/>
      <c r="M828" s="263"/>
      <c r="N828" s="263"/>
      <c r="O828" s="749"/>
      <c r="P828" s="263"/>
      <c r="Q828" s="750"/>
      <c r="R828" s="751">
        <f ca="1">SUM(R829:R884)</f>
        <v>3141.3865732644217</v>
      </c>
      <c r="S828" s="752"/>
      <c r="T828" s="751">
        <f ca="1">SUM(T829:T884)</f>
        <v>102.21470729720855</v>
      </c>
    </row>
    <row r="829" spans="1:37" s="753" customFormat="1" ht="13.2">
      <c r="A829" s="754"/>
      <c r="B829" s="755">
        <v>1</v>
      </c>
      <c r="C829" s="6" t="s">
        <v>73</v>
      </c>
      <c r="D829" t="s">
        <v>74</v>
      </c>
      <c r="E829"/>
      <c r="F829" s="756">
        <v>501</v>
      </c>
      <c r="G829"/>
      <c r="H829"/>
      <c r="I829"/>
      <c r="J829"/>
      <c r="K829"/>
      <c r="L829"/>
      <c r="M829"/>
      <c r="N829"/>
      <c r="O829" s="105"/>
      <c r="P829">
        <v>1</v>
      </c>
      <c r="Q829"/>
      <c r="R829" s="757">
        <f>SUMIF($H$13:$H$807,$F829,R$13:R$807)+Elec_Rates!R52</f>
        <v>0</v>
      </c>
      <c r="S829" s="758"/>
      <c r="T829" s="757">
        <f>SUMIF($H$13:$H$807,$F829,T$13:T$807)+Elec_Rates!T52</f>
        <v>0</v>
      </c>
    </row>
    <row r="830" spans="1:37" s="753" customFormat="1" ht="13.2">
      <c r="A830" s="754"/>
      <c r="B830" s="755">
        <v>2</v>
      </c>
      <c r="C830" s="6" t="s">
        <v>73</v>
      </c>
      <c r="D830" t="s">
        <v>75</v>
      </c>
      <c r="E830"/>
      <c r="F830" s="756">
        <v>505</v>
      </c>
      <c r="G830"/>
      <c r="H830"/>
      <c r="I830"/>
      <c r="J830"/>
      <c r="K830"/>
      <c r="L830"/>
      <c r="M830"/>
      <c r="N830"/>
      <c r="O830" s="105"/>
      <c r="P830">
        <v>1</v>
      </c>
      <c r="Q830"/>
      <c r="R830" s="757">
        <f>SUMIF($H$13:$H$807,$F830,R$13:R$807)+Elec_Rates!R53</f>
        <v>0</v>
      </c>
      <c r="S830" s="758"/>
      <c r="T830" s="757">
        <f>SUMIF($H$13:$H$807,$F830,T$13:T$807)+Elec_Rates!T53</f>
        <v>0</v>
      </c>
    </row>
    <row r="831" spans="1:37" s="753" customFormat="1" ht="13.2">
      <c r="A831" s="754"/>
      <c r="B831" s="755">
        <v>3</v>
      </c>
      <c r="C831" s="6" t="s">
        <v>73</v>
      </c>
      <c r="D831" t="s">
        <v>76</v>
      </c>
      <c r="E831"/>
      <c r="F831" s="756">
        <v>510</v>
      </c>
      <c r="G831"/>
      <c r="H831"/>
      <c r="I831"/>
      <c r="J831"/>
      <c r="K831"/>
      <c r="L831"/>
      <c r="M831"/>
      <c r="N831"/>
      <c r="O831" s="105"/>
      <c r="P831">
        <v>2</v>
      </c>
      <c r="Q831"/>
      <c r="R831" s="757">
        <f>SUMIF($H$13:$H$807,$F831,R$13:R$807)+Elec_Rates!R54</f>
        <v>388.32080000000008</v>
      </c>
      <c r="S831" s="758"/>
      <c r="T831" s="757">
        <f>SUMIF($H$13:$H$807,$F831,T$13:T$807)+Elec_Rates!T54</f>
        <v>6.76</v>
      </c>
    </row>
    <row r="832" spans="1:37" s="753" customFormat="1" ht="13.2">
      <c r="A832" s="754"/>
      <c r="B832" s="755">
        <v>4</v>
      </c>
      <c r="C832" s="6" t="s">
        <v>73</v>
      </c>
      <c r="D832" t="s">
        <v>77</v>
      </c>
      <c r="E832"/>
      <c r="F832" s="756">
        <v>511</v>
      </c>
      <c r="G832"/>
      <c r="H832"/>
      <c r="I832"/>
      <c r="J832"/>
      <c r="K832"/>
      <c r="L832"/>
      <c r="M832"/>
      <c r="N832"/>
      <c r="O832" s="105"/>
      <c r="P832">
        <v>2</v>
      </c>
      <c r="Q832"/>
      <c r="R832" s="757">
        <f>SUMIF($H$13:$H$807,$F832,R$13:R$807)+Elec_Rates!R55</f>
        <v>0</v>
      </c>
      <c r="S832" s="758"/>
      <c r="T832" s="757">
        <f>SUMIF($H$13:$H$807,$F832,T$13:T$807)+Elec_Rates!T55</f>
        <v>0</v>
      </c>
    </row>
    <row r="833" spans="1:20" s="753" customFormat="1" ht="13.2">
      <c r="A833" s="754"/>
      <c r="B833" s="755">
        <v>5</v>
      </c>
      <c r="C833" s="6" t="s">
        <v>73</v>
      </c>
      <c r="D833" t="s">
        <v>78</v>
      </c>
      <c r="E833"/>
      <c r="F833" s="756">
        <v>512</v>
      </c>
      <c r="G833"/>
      <c r="H833"/>
      <c r="I833"/>
      <c r="J833"/>
      <c r="K833"/>
      <c r="L833"/>
      <c r="M833"/>
      <c r="N833"/>
      <c r="O833" s="105"/>
      <c r="P833">
        <v>2</v>
      </c>
      <c r="Q833"/>
      <c r="R833" s="757">
        <f>SUMIF($H$13:$H$807,$F833,R$13:R$807)+Elec_Rates!R56</f>
        <v>0</v>
      </c>
      <c r="S833" s="758"/>
      <c r="T833" s="757">
        <f>SUMIF($H$13:$H$807,$F833,T$13:T$807)+Elec_Rates!T56</f>
        <v>0</v>
      </c>
    </row>
    <row r="834" spans="1:20" s="753" customFormat="1" ht="13.2">
      <c r="A834" s="754"/>
      <c r="B834" s="755">
        <v>6</v>
      </c>
      <c r="C834" s="6" t="s">
        <v>73</v>
      </c>
      <c r="D834" t="s">
        <v>79</v>
      </c>
      <c r="E834"/>
      <c r="F834" s="756">
        <v>520</v>
      </c>
      <c r="G834"/>
      <c r="H834"/>
      <c r="I834"/>
      <c r="J834"/>
      <c r="K834"/>
      <c r="L834"/>
      <c r="M834"/>
      <c r="N834"/>
      <c r="O834" s="105"/>
      <c r="P834">
        <v>1</v>
      </c>
      <c r="Q834"/>
      <c r="R834" s="757">
        <f>SUMIF($H$13:$H$807,$F834,R$13:R$807)+Elec_Rates!R57</f>
        <v>0</v>
      </c>
      <c r="S834" s="758"/>
      <c r="T834" s="757">
        <f>SUMIF($H$13:$H$807,$F834,T$13:T$807)+Elec_Rates!T57</f>
        <v>0</v>
      </c>
    </row>
    <row r="835" spans="1:20" s="753" customFormat="1" ht="13.2">
      <c r="A835" s="754"/>
      <c r="B835" s="755">
        <v>7</v>
      </c>
      <c r="C835" s="6" t="s">
        <v>73</v>
      </c>
      <c r="D835" t="s">
        <v>80</v>
      </c>
      <c r="E835"/>
      <c r="F835" s="756">
        <v>530</v>
      </c>
      <c r="G835"/>
      <c r="H835"/>
      <c r="I835"/>
      <c r="J835"/>
      <c r="K835"/>
      <c r="L835"/>
      <c r="M835"/>
      <c r="N835"/>
      <c r="O835" s="105"/>
      <c r="P835">
        <v>2</v>
      </c>
      <c r="Q835"/>
      <c r="R835" s="757">
        <f>SUMIF($H$13:$H$807,$F835,R$13:R$807)+Elec_Rates!R58</f>
        <v>0</v>
      </c>
      <c r="S835" s="758"/>
      <c r="T835" s="757">
        <f>SUMIF($H$13:$H$807,$F835,T$13:T$807)+Elec_Rates!T58</f>
        <v>0</v>
      </c>
    </row>
    <row r="836" spans="1:20" s="753" customFormat="1" ht="13.2">
      <c r="A836" s="754"/>
      <c r="B836" s="755">
        <v>8</v>
      </c>
      <c r="C836" s="6" t="s">
        <v>73</v>
      </c>
      <c r="D836" t="s">
        <v>81</v>
      </c>
      <c r="E836"/>
      <c r="F836" s="756">
        <v>550</v>
      </c>
      <c r="G836"/>
      <c r="H836"/>
      <c r="I836"/>
      <c r="J836"/>
      <c r="K836"/>
      <c r="L836"/>
      <c r="M836"/>
      <c r="N836"/>
      <c r="O836" s="105"/>
      <c r="P836">
        <v>2</v>
      </c>
      <c r="Q836"/>
      <c r="R836" s="757">
        <f>SUMIF($H$13:$H$807,$F836,R$13:R$807)+Elec_Rates!R59</f>
        <v>0</v>
      </c>
      <c r="S836" s="758"/>
      <c r="T836" s="757">
        <f>SUMIF($H$13:$H$807,$F836,T$13:T$807)+Elec_Rates!T59</f>
        <v>0</v>
      </c>
    </row>
    <row r="837" spans="1:20" s="753" customFormat="1" ht="13.2">
      <c r="A837" s="754"/>
      <c r="B837" s="755">
        <v>9</v>
      </c>
      <c r="C837" s="6" t="s">
        <v>73</v>
      </c>
      <c r="D837" t="s">
        <v>82</v>
      </c>
      <c r="E837"/>
      <c r="F837" s="756">
        <v>570</v>
      </c>
      <c r="G837"/>
      <c r="H837"/>
      <c r="I837"/>
      <c r="J837"/>
      <c r="K837"/>
      <c r="L837"/>
      <c r="M837"/>
      <c r="N837"/>
      <c r="O837" s="105"/>
      <c r="P837">
        <v>2</v>
      </c>
      <c r="Q837"/>
      <c r="R837" s="757">
        <f>SUMIF($H$13:$H$807,$F837,R$13:R$807)+Elec_Rates!R60</f>
        <v>0</v>
      </c>
      <c r="S837" s="758"/>
      <c r="T837" s="757">
        <f>SUMIF($H$13:$H$807,$F837,T$13:T$807)+Elec_Rates!T60</f>
        <v>0</v>
      </c>
    </row>
    <row r="838" spans="1:20" s="753" customFormat="1" ht="13.2">
      <c r="A838" s="754"/>
      <c r="B838" s="755">
        <v>10</v>
      </c>
      <c r="C838" s="6" t="s">
        <v>73</v>
      </c>
      <c r="D838" t="s">
        <v>83</v>
      </c>
      <c r="E838"/>
      <c r="F838" s="756">
        <v>615</v>
      </c>
      <c r="G838"/>
      <c r="H838"/>
      <c r="I838"/>
      <c r="J838"/>
      <c r="K838"/>
      <c r="L838"/>
      <c r="M838"/>
      <c r="N838"/>
      <c r="O838" s="105"/>
      <c r="P838">
        <v>2</v>
      </c>
      <c r="Q838"/>
      <c r="R838" s="757">
        <f ca="1">SUMIF($H$13:$H$807,$F838,R$13:R$807)+Elec_Rates!R61</f>
        <v>236.09494252873563</v>
      </c>
      <c r="S838" s="758"/>
      <c r="T838" s="757">
        <f ca="1">SUMIF($H$13:$H$807,$F838,T$13:T$807)+Elec_Rates!T61</f>
        <v>13.778647701149424</v>
      </c>
    </row>
    <row r="839" spans="1:20" s="753" customFormat="1" ht="13.2">
      <c r="A839" s="754"/>
      <c r="B839" s="755">
        <v>11</v>
      </c>
      <c r="C839" s="6" t="s">
        <v>73</v>
      </c>
      <c r="D839" t="s">
        <v>85</v>
      </c>
      <c r="E839"/>
      <c r="F839" s="756">
        <v>616</v>
      </c>
      <c r="G839"/>
      <c r="H839"/>
      <c r="I839"/>
      <c r="J839"/>
      <c r="K839"/>
      <c r="L839"/>
      <c r="M839"/>
      <c r="N839"/>
      <c r="O839" s="105"/>
      <c r="P839">
        <v>2</v>
      </c>
      <c r="Q839"/>
      <c r="R839" s="757">
        <f ca="1">SUMIF($H$13:$H$807,$F839,R$13:R$807)+Elec_Rates!R62</f>
        <v>174.39471428571429</v>
      </c>
      <c r="S839" s="758"/>
      <c r="T839" s="757">
        <f ca="1">SUMIF($H$13:$H$807,$F839,T$13:T$807)+Elec_Rates!T62</f>
        <v>4.1748552857142851</v>
      </c>
    </row>
    <row r="840" spans="1:20" s="753" customFormat="1" ht="13.2">
      <c r="A840" s="754"/>
      <c r="B840" s="755">
        <v>12</v>
      </c>
      <c r="C840" s="6" t="s">
        <v>73</v>
      </c>
      <c r="D840" t="s">
        <v>86</v>
      </c>
      <c r="E840"/>
      <c r="F840" s="756">
        <v>617</v>
      </c>
      <c r="G840"/>
      <c r="H840"/>
      <c r="I840"/>
      <c r="J840"/>
      <c r="K840"/>
      <c r="L840"/>
      <c r="M840"/>
      <c r="N840"/>
      <c r="O840" s="105"/>
      <c r="P840">
        <v>2</v>
      </c>
      <c r="Q840"/>
      <c r="R840" s="757">
        <f>SUMIF($H$13:$H$807,$F840,R$13:R$807)+Elec_Rates!R63</f>
        <v>24.295081967213111</v>
      </c>
      <c r="S840" s="758"/>
      <c r="T840" s="757">
        <f>SUMIF($H$13:$H$807,$F840,T$13:T$807)+Elec_Rates!T63</f>
        <v>1.2041250000000001</v>
      </c>
    </row>
    <row r="841" spans="1:20" s="753" customFormat="1" ht="13.2">
      <c r="A841" s="754"/>
      <c r="B841" s="755">
        <v>13</v>
      </c>
      <c r="C841" s="6" t="s">
        <v>73</v>
      </c>
      <c r="D841" t="s">
        <v>141</v>
      </c>
      <c r="E841"/>
      <c r="F841" s="756">
        <v>620</v>
      </c>
      <c r="G841"/>
      <c r="H841"/>
      <c r="I841"/>
      <c r="J841"/>
      <c r="K841"/>
      <c r="L841"/>
      <c r="M841"/>
      <c r="N841"/>
      <c r="O841" s="105"/>
      <c r="P841">
        <v>2</v>
      </c>
      <c r="Q841"/>
      <c r="R841" s="757">
        <f>SUMIF($H$13:$H$807,$F841,R$13:R$807)+Elec_Rates!R64</f>
        <v>1.76</v>
      </c>
      <c r="S841" s="758"/>
      <c r="T841" s="757">
        <f>SUMIF($H$13:$H$807,$F841,T$13:T$807)+Elec_Rates!T64</f>
        <v>0.65910000000000002</v>
      </c>
    </row>
    <row r="842" spans="1:20" s="753" customFormat="1" ht="13.2">
      <c r="A842" s="754"/>
      <c r="B842" s="755">
        <v>14</v>
      </c>
      <c r="C842" s="6" t="s">
        <v>73</v>
      </c>
      <c r="D842" t="s">
        <v>88</v>
      </c>
      <c r="E842"/>
      <c r="F842" s="756">
        <v>650</v>
      </c>
      <c r="G842"/>
      <c r="H842"/>
      <c r="I842"/>
      <c r="J842"/>
      <c r="K842"/>
      <c r="L842"/>
      <c r="M842"/>
      <c r="N842"/>
      <c r="O842" s="105"/>
      <c r="P842">
        <v>1</v>
      </c>
      <c r="Q842"/>
      <c r="R842" s="757">
        <f>SUMIF($H$13:$H$807,$F842,R$13:R$807)+Elec_Rates!R65</f>
        <v>0</v>
      </c>
      <c r="S842" s="758"/>
      <c r="T842" s="757">
        <f>SUMIF($H$13:$H$807,$F842,T$13:T$807)+Elec_Rates!T65</f>
        <v>0</v>
      </c>
    </row>
    <row r="843" spans="1:20" s="753" customFormat="1" ht="13.2">
      <c r="A843" s="754"/>
      <c r="B843" s="755">
        <v>15</v>
      </c>
      <c r="C843" s="6" t="s">
        <v>73</v>
      </c>
      <c r="D843" t="s">
        <v>89</v>
      </c>
      <c r="E843"/>
      <c r="F843" s="756">
        <v>651</v>
      </c>
      <c r="G843"/>
      <c r="H843"/>
      <c r="I843"/>
      <c r="J843"/>
      <c r="K843"/>
      <c r="L843"/>
      <c r="M843"/>
      <c r="N843"/>
      <c r="O843" s="105"/>
      <c r="P843">
        <v>1</v>
      </c>
      <c r="Q843"/>
      <c r="R843" s="757">
        <f>SUMIF($H$13:$H$807,$F843,R$13:R$807)+Elec_Rates!R66</f>
        <v>0</v>
      </c>
      <c r="S843" s="758"/>
      <c r="T843" s="757">
        <f>SUMIF($H$13:$H$807,$F843,T$13:T$807)+Elec_Rates!T66</f>
        <v>0</v>
      </c>
    </row>
    <row r="844" spans="1:20" s="753" customFormat="1" ht="13.2">
      <c r="A844" s="754"/>
      <c r="B844" s="755">
        <v>16</v>
      </c>
      <c r="C844" s="6" t="s">
        <v>73</v>
      </c>
      <c r="D844" t="s">
        <v>90</v>
      </c>
      <c r="E844"/>
      <c r="F844" s="756">
        <v>652</v>
      </c>
      <c r="G844"/>
      <c r="H844"/>
      <c r="I844"/>
      <c r="J844"/>
      <c r="K844"/>
      <c r="L844"/>
      <c r="M844"/>
      <c r="N844"/>
      <c r="O844" s="105"/>
      <c r="P844">
        <v>1</v>
      </c>
      <c r="Q844"/>
      <c r="R844" s="757">
        <f>SUMIF($H$13:$H$807,$F844,R$13:R$807)+Elec_Rates!R67</f>
        <v>0</v>
      </c>
      <c r="S844" s="758"/>
      <c r="T844" s="757">
        <f>SUMIF($H$13:$H$807,$F844,T$13:T$807)+Elec_Rates!T67</f>
        <v>0</v>
      </c>
    </row>
    <row r="845" spans="1:20" s="753" customFormat="1" ht="13.2">
      <c r="A845" s="754"/>
      <c r="B845" s="755">
        <v>17</v>
      </c>
      <c r="C845" s="6" t="s">
        <v>73</v>
      </c>
      <c r="D845" t="s">
        <v>91</v>
      </c>
      <c r="E845"/>
      <c r="F845" s="756">
        <v>654</v>
      </c>
      <c r="G845"/>
      <c r="H845"/>
      <c r="I845"/>
      <c r="J845"/>
      <c r="K845"/>
      <c r="L845"/>
      <c r="M845"/>
      <c r="N845"/>
      <c r="O845" s="105"/>
      <c r="P845">
        <v>1</v>
      </c>
      <c r="Q845"/>
      <c r="R845" s="757">
        <f>SUMIF($H$13:$H$807,$F845,R$13:R$807)+Elec_Rates!R68</f>
        <v>0</v>
      </c>
      <c r="S845" s="758"/>
      <c r="T845" s="757">
        <f>SUMIF($H$13:$H$807,$F845,T$13:T$807)+Elec_Rates!T68</f>
        <v>0</v>
      </c>
    </row>
    <row r="846" spans="1:20" s="753" customFormat="1" ht="13.2">
      <c r="A846" s="754"/>
      <c r="B846" s="755">
        <v>18</v>
      </c>
      <c r="C846" s="6" t="s">
        <v>73</v>
      </c>
      <c r="D846" t="s">
        <v>92</v>
      </c>
      <c r="E846"/>
      <c r="F846" s="756">
        <v>675</v>
      </c>
      <c r="G846"/>
      <c r="H846"/>
      <c r="I846"/>
      <c r="J846"/>
      <c r="K846"/>
      <c r="L846"/>
      <c r="M846"/>
      <c r="N846"/>
      <c r="O846" s="105"/>
      <c r="P846">
        <v>1</v>
      </c>
      <c r="Q846"/>
      <c r="R846" s="757">
        <f>SUMIF($H$13:$H$807,$F846,R$13:R$807)+Elec_Rates!R69</f>
        <v>0</v>
      </c>
      <c r="S846" s="758"/>
      <c r="T846" s="757">
        <f>SUMIF($H$13:$H$807,$F846,T$13:T$807)+Elec_Rates!T69</f>
        <v>0</v>
      </c>
    </row>
    <row r="847" spans="1:20" s="753" customFormat="1" ht="13.2">
      <c r="A847" s="754"/>
      <c r="B847" s="755">
        <v>19</v>
      </c>
      <c r="C847" s="6" t="s">
        <v>73</v>
      </c>
      <c r="D847" t="s">
        <v>93</v>
      </c>
      <c r="E847"/>
      <c r="F847" s="756">
        <v>676</v>
      </c>
      <c r="G847"/>
      <c r="H847"/>
      <c r="I847"/>
      <c r="J847"/>
      <c r="K847"/>
      <c r="L847"/>
      <c r="M847"/>
      <c r="N847"/>
      <c r="O847" s="105"/>
      <c r="P847">
        <v>1</v>
      </c>
      <c r="Q847"/>
      <c r="R847" s="757">
        <f>SUMIF($H$13:$H$807,$F847,R$13:R$807)+Elec_Rates!R70</f>
        <v>0</v>
      </c>
      <c r="S847" s="758"/>
      <c r="T847" s="757">
        <f>SUMIF($H$13:$H$807,$F847,T$13:T$807)+Elec_Rates!T70</f>
        <v>0</v>
      </c>
    </row>
    <row r="848" spans="1:20" s="753" customFormat="1" ht="13.2">
      <c r="A848" s="754"/>
      <c r="B848" s="755">
        <v>20</v>
      </c>
      <c r="C848" s="6" t="s">
        <v>73</v>
      </c>
      <c r="D848" t="s">
        <v>94</v>
      </c>
      <c r="E848"/>
      <c r="F848" s="756">
        <v>680</v>
      </c>
      <c r="G848"/>
      <c r="H848"/>
      <c r="I848"/>
      <c r="J848"/>
      <c r="K848"/>
      <c r="L848"/>
      <c r="M848"/>
      <c r="N848"/>
      <c r="O848" s="105"/>
      <c r="P848">
        <v>1</v>
      </c>
      <c r="Q848"/>
      <c r="R848" s="757">
        <f>SUMIF($H$13:$H$807,$F848,R$13:R$807)+Elec_Rates!R71</f>
        <v>0</v>
      </c>
      <c r="S848" s="758"/>
      <c r="T848" s="757">
        <f>SUMIF($H$13:$H$807,$F848,T$13:T$807)+Elec_Rates!T71</f>
        <v>0</v>
      </c>
    </row>
    <row r="849" spans="1:20" s="753" customFormat="1" ht="13.2">
      <c r="A849" s="754"/>
      <c r="B849" s="755">
        <v>21</v>
      </c>
      <c r="C849" s="6" t="s">
        <v>73</v>
      </c>
      <c r="D849" t="s">
        <v>96</v>
      </c>
      <c r="E849"/>
      <c r="F849" s="756">
        <v>681</v>
      </c>
      <c r="G849"/>
      <c r="H849"/>
      <c r="I849"/>
      <c r="J849"/>
      <c r="K849"/>
      <c r="L849"/>
      <c r="M849"/>
      <c r="N849"/>
      <c r="O849" s="105"/>
      <c r="P849">
        <v>1</v>
      </c>
      <c r="Q849"/>
      <c r="R849" s="757">
        <f>SUMIF($H$13:$H$807,$F849,R$13:R$807)+Elec_Rates!R72</f>
        <v>0</v>
      </c>
      <c r="S849" s="758"/>
      <c r="T849" s="757">
        <f>SUMIF($H$13:$H$807,$F849,T$13:T$807)+Elec_Rates!T72</f>
        <v>0</v>
      </c>
    </row>
    <row r="850" spans="1:20" s="753" customFormat="1" ht="13.2">
      <c r="A850" s="754"/>
      <c r="B850" s="755">
        <v>22</v>
      </c>
      <c r="C850" s="6" t="s">
        <v>73</v>
      </c>
      <c r="D850" t="s">
        <v>97</v>
      </c>
      <c r="E850"/>
      <c r="F850" s="756">
        <v>690</v>
      </c>
      <c r="G850"/>
      <c r="H850"/>
      <c r="I850"/>
      <c r="J850"/>
      <c r="K850"/>
      <c r="L850"/>
      <c r="M850"/>
      <c r="N850"/>
      <c r="O850" s="105"/>
      <c r="P850">
        <v>1</v>
      </c>
      <c r="Q850"/>
      <c r="R850" s="757">
        <f>SUMIF($H$13:$H$807,$F850,R$13:R$807)+Elec_Rates!R73</f>
        <v>0</v>
      </c>
      <c r="S850" s="758"/>
      <c r="T850" s="757">
        <f>SUMIF($H$13:$H$807,$F850,T$13:T$807)+Elec_Rates!T73</f>
        <v>0</v>
      </c>
    </row>
    <row r="851" spans="1:20" s="753" customFormat="1" ht="13.2">
      <c r="A851" s="754"/>
      <c r="B851" s="755">
        <v>23</v>
      </c>
      <c r="C851" s="6" t="s">
        <v>73</v>
      </c>
      <c r="D851" t="s">
        <v>98</v>
      </c>
      <c r="E851"/>
      <c r="F851" s="756">
        <v>700</v>
      </c>
      <c r="G851"/>
      <c r="H851"/>
      <c r="I851"/>
      <c r="J851"/>
      <c r="K851"/>
      <c r="L851"/>
      <c r="M851"/>
      <c r="N851"/>
      <c r="O851" s="105"/>
      <c r="P851">
        <v>1</v>
      </c>
      <c r="Q851"/>
      <c r="R851" s="757">
        <f ca="1">SUMIF($H$13:$H$807,$F851,R$13:R$807)+Elec_Rates!R74</f>
        <v>259.14103448275864</v>
      </c>
      <c r="S851" s="758"/>
      <c r="T851" s="757">
        <f ca="1">SUMIF($H$13:$H$807,$F851,T$13:T$807)+Elec_Rates!T74</f>
        <v>40.496479310344824</v>
      </c>
    </row>
    <row r="852" spans="1:20" s="753" customFormat="1" ht="13.2">
      <c r="A852" s="754"/>
      <c r="B852" s="755">
        <v>24</v>
      </c>
      <c r="C852" s="6" t="s">
        <v>73</v>
      </c>
      <c r="D852" t="s">
        <v>99</v>
      </c>
      <c r="E852"/>
      <c r="F852" s="756">
        <v>705</v>
      </c>
      <c r="G852"/>
      <c r="H852"/>
      <c r="I852"/>
      <c r="J852"/>
      <c r="K852"/>
      <c r="L852"/>
      <c r="M852"/>
      <c r="N852"/>
      <c r="O852" s="105"/>
      <c r="P852">
        <v>3</v>
      </c>
      <c r="Q852"/>
      <c r="R852" s="757">
        <f>SUMIF($H$13:$H$807,$F852,R$13:R$807)+Elec_Rates!R75</f>
        <v>702.85</v>
      </c>
      <c r="S852" s="758"/>
      <c r="T852" s="757">
        <f>SUMIF($H$13:$H$807,$F852,T$13:T$807)+Elec_Rates!T75</f>
        <v>4.9432500000000008</v>
      </c>
    </row>
    <row r="853" spans="1:20" s="753" customFormat="1" ht="13.2">
      <c r="A853" s="754"/>
      <c r="B853" s="755">
        <v>25</v>
      </c>
      <c r="C853" s="6" t="s">
        <v>73</v>
      </c>
      <c r="D853" t="s">
        <v>100</v>
      </c>
      <c r="E853"/>
      <c r="F853" s="756">
        <v>706</v>
      </c>
      <c r="G853"/>
      <c r="H853"/>
      <c r="I853"/>
      <c r="J853"/>
      <c r="K853"/>
      <c r="L853"/>
      <c r="M853"/>
      <c r="N853"/>
      <c r="O853" s="105"/>
      <c r="P853">
        <v>3</v>
      </c>
      <c r="Q853"/>
      <c r="R853" s="757">
        <f>SUMIF($H$13:$H$807,$F853,R$13:R$807)+Elec_Rates!R76</f>
        <v>0</v>
      </c>
      <c r="S853" s="758"/>
      <c r="T853" s="757">
        <f>SUMIF($H$13:$H$807,$F853,T$13:T$807)+Elec_Rates!T76</f>
        <v>0</v>
      </c>
    </row>
    <row r="854" spans="1:20" s="753" customFormat="1" ht="13.2">
      <c r="A854" s="754"/>
      <c r="B854" s="755">
        <v>26</v>
      </c>
      <c r="C854" s="6" t="s">
        <v>73</v>
      </c>
      <c r="D854" t="s">
        <v>101</v>
      </c>
      <c r="E854"/>
      <c r="F854" s="756">
        <v>725</v>
      </c>
      <c r="G854"/>
      <c r="H854"/>
      <c r="I854"/>
      <c r="J854"/>
      <c r="K854"/>
      <c r="L854"/>
      <c r="M854"/>
      <c r="N854"/>
      <c r="O854" s="105"/>
      <c r="P854">
        <v>3</v>
      </c>
      <c r="Q854"/>
      <c r="R854" s="757">
        <f>SUMIF($H$13:$H$807,$F854,R$13:R$807)+Elec_Rates!R77</f>
        <v>238.45999999999998</v>
      </c>
      <c r="S854" s="758"/>
      <c r="T854" s="757">
        <f>SUMIF($H$13:$H$807,$F854,T$13:T$807)+Elec_Rates!T77</f>
        <v>0</v>
      </c>
    </row>
    <row r="855" spans="1:20" s="753" customFormat="1" ht="13.2">
      <c r="A855" s="754"/>
      <c r="B855" s="755">
        <v>27</v>
      </c>
      <c r="C855" s="6" t="s">
        <v>73</v>
      </c>
      <c r="D855" t="s">
        <v>102</v>
      </c>
      <c r="E855"/>
      <c r="F855" s="756">
        <v>726</v>
      </c>
      <c r="G855"/>
      <c r="H855"/>
      <c r="I855"/>
      <c r="J855"/>
      <c r="K855"/>
      <c r="L855"/>
      <c r="M855"/>
      <c r="N855"/>
      <c r="O855" s="105"/>
      <c r="P855">
        <v>3</v>
      </c>
      <c r="Q855"/>
      <c r="R855" s="757">
        <f>SUMIF($H$13:$H$807,$F855,R$13:R$807)+Elec_Rates!R78</f>
        <v>131.09</v>
      </c>
      <c r="S855" s="758"/>
      <c r="T855" s="757">
        <f>SUMIF($H$13:$H$807,$F855,T$13:T$807)+Elec_Rates!T78</f>
        <v>2.4082499999999998</v>
      </c>
    </row>
    <row r="856" spans="1:20" s="753" customFormat="1" ht="13.2">
      <c r="A856" s="754"/>
      <c r="B856" s="755">
        <v>28</v>
      </c>
      <c r="C856" s="6" t="s">
        <v>73</v>
      </c>
      <c r="D856" t="s">
        <v>103</v>
      </c>
      <c r="E856"/>
      <c r="F856" s="756">
        <v>750</v>
      </c>
      <c r="G856"/>
      <c r="H856"/>
      <c r="I856"/>
      <c r="J856"/>
      <c r="K856"/>
      <c r="L856"/>
      <c r="M856"/>
      <c r="N856"/>
      <c r="O856" s="105"/>
      <c r="P856">
        <v>3</v>
      </c>
      <c r="Q856"/>
      <c r="R856" s="757">
        <f>SUMIF($H$13:$H$807,$F856,R$13:R$807)+Elec_Rates!R79</f>
        <v>0</v>
      </c>
      <c r="S856" s="758"/>
      <c r="T856" s="757">
        <f>SUMIF($H$13:$H$807,$F856,T$13:T$807)+Elec_Rates!T79</f>
        <v>0</v>
      </c>
    </row>
    <row r="857" spans="1:20" s="753" customFormat="1" ht="13.2">
      <c r="A857" s="754"/>
      <c r="B857" s="755">
        <v>29</v>
      </c>
      <c r="C857" s="6" t="s">
        <v>73</v>
      </c>
      <c r="D857" t="s">
        <v>104</v>
      </c>
      <c r="E857"/>
      <c r="F857" s="756">
        <v>751</v>
      </c>
      <c r="G857"/>
      <c r="H857"/>
      <c r="I857"/>
      <c r="J857"/>
      <c r="K857"/>
      <c r="L857"/>
      <c r="M857"/>
      <c r="N857"/>
      <c r="O857" s="105"/>
      <c r="P857">
        <v>3</v>
      </c>
      <c r="Q857"/>
      <c r="R857" s="757">
        <f>SUMIF($H$13:$H$807,$F857,R$13:R$807)+Elec_Rates!R80</f>
        <v>0</v>
      </c>
      <c r="S857" s="758"/>
      <c r="T857" s="757">
        <f>SUMIF($H$13:$H$807,$F857,T$13:T$807)+Elec_Rates!T80</f>
        <v>0</v>
      </c>
    </row>
    <row r="858" spans="1:20" s="753" customFormat="1" ht="13.2">
      <c r="A858" s="754"/>
      <c r="B858" s="755">
        <v>30</v>
      </c>
      <c r="C858" s="6" t="s">
        <v>73</v>
      </c>
      <c r="D858" t="s">
        <v>105</v>
      </c>
      <c r="E858"/>
      <c r="F858" s="756">
        <v>752</v>
      </c>
      <c r="G858"/>
      <c r="H858"/>
      <c r="I858"/>
      <c r="J858"/>
      <c r="K858"/>
      <c r="L858"/>
      <c r="M858"/>
      <c r="N858"/>
      <c r="O858" s="105"/>
      <c r="P858">
        <v>3</v>
      </c>
      <c r="Q858"/>
      <c r="R858" s="757">
        <f>SUMIF($H$13:$H$807,$F858,R$13:R$807)+Elec_Rates!R81</f>
        <v>923.07999999999993</v>
      </c>
      <c r="S858" s="758"/>
      <c r="T858" s="757">
        <f>SUMIF($H$13:$H$807,$F858,T$13:T$807)+Elec_Rates!T81</f>
        <v>8.5</v>
      </c>
    </row>
    <row r="859" spans="1:20" s="753" customFormat="1" ht="13.2">
      <c r="A859" s="754"/>
      <c r="B859" s="755">
        <v>31</v>
      </c>
      <c r="C859" s="6" t="s">
        <v>73</v>
      </c>
      <c r="D859" s="759" t="s">
        <v>241</v>
      </c>
      <c r="E859"/>
      <c r="F859" s="756">
        <v>753</v>
      </c>
      <c r="G859"/>
      <c r="H859"/>
      <c r="I859"/>
      <c r="J859"/>
      <c r="K859"/>
      <c r="L859"/>
      <c r="M859"/>
      <c r="N859"/>
      <c r="O859" s="105"/>
      <c r="P859">
        <v>3</v>
      </c>
      <c r="Q859"/>
      <c r="R859" s="757">
        <f>SUMIF($H$13:$H$807,$F859,R$13:R$807)+Elec_Rates!R82</f>
        <v>0</v>
      </c>
      <c r="S859" s="758"/>
      <c r="T859" s="757">
        <f>SUMIF($H$13:$H$807,$F859,T$13:T$807)+Elec_Rates!T82</f>
        <v>0</v>
      </c>
    </row>
    <row r="860" spans="1:20" s="753" customFormat="1" ht="13.2">
      <c r="A860" s="754"/>
      <c r="B860" s="755">
        <v>32</v>
      </c>
      <c r="C860" s="6" t="s">
        <v>73</v>
      </c>
      <c r="D860" t="s">
        <v>107</v>
      </c>
      <c r="E860"/>
      <c r="F860" s="756">
        <v>770</v>
      </c>
      <c r="G860"/>
      <c r="H860"/>
      <c r="I860"/>
      <c r="J860"/>
      <c r="K860"/>
      <c r="L860"/>
      <c r="M860"/>
      <c r="N860"/>
      <c r="O860" s="105"/>
      <c r="P860">
        <v>3</v>
      </c>
      <c r="Q860"/>
      <c r="R860" s="757">
        <f>SUMIF($H$13:$H$807,$F860,R$13:R$807)+Elec_Rates!R83</f>
        <v>0</v>
      </c>
      <c r="S860" s="758"/>
      <c r="T860" s="757">
        <f>SUMIF($H$13:$H$807,$F860,T$13:T$807)+Elec_Rates!T83</f>
        <v>0</v>
      </c>
    </row>
    <row r="861" spans="1:20" s="753" customFormat="1" ht="13.2">
      <c r="A861" s="754"/>
      <c r="B861" s="755">
        <v>33</v>
      </c>
      <c r="C861" s="6" t="s">
        <v>73</v>
      </c>
      <c r="D861" t="s">
        <v>108</v>
      </c>
      <c r="E861"/>
      <c r="F861" s="756">
        <v>790</v>
      </c>
      <c r="G861"/>
      <c r="H861"/>
      <c r="I861"/>
      <c r="J861"/>
      <c r="K861"/>
      <c r="L861"/>
      <c r="M861"/>
      <c r="N861"/>
      <c r="O861" s="105"/>
      <c r="P861">
        <v>3</v>
      </c>
      <c r="Q861"/>
      <c r="R861" s="757">
        <f>SUMIF($H$13:$H$807,$F861,R$13:R$807)+Elec_Rates!R84</f>
        <v>0</v>
      </c>
      <c r="S861" s="758"/>
      <c r="T861" s="757">
        <f>SUMIF($H$13:$H$807,$F861,T$13:T$807)+Elec_Rates!T84</f>
        <v>0</v>
      </c>
    </row>
    <row r="862" spans="1:20" s="753" customFormat="1" ht="13.2">
      <c r="A862" s="754"/>
      <c r="B862" s="755">
        <v>34</v>
      </c>
      <c r="C862" s="6" t="s">
        <v>73</v>
      </c>
      <c r="D862" t="s">
        <v>109</v>
      </c>
      <c r="E862"/>
      <c r="F862" s="756">
        <v>791</v>
      </c>
      <c r="G862"/>
      <c r="H862"/>
      <c r="I862"/>
      <c r="J862"/>
      <c r="K862"/>
      <c r="L862"/>
      <c r="M862"/>
      <c r="N862"/>
      <c r="O862" s="105"/>
      <c r="P862">
        <v>3</v>
      </c>
      <c r="Q862"/>
      <c r="R862" s="757">
        <f>SUMIF($H$13:$H$807,$F862,R$13:R$807)+Elec_Rates!R85</f>
        <v>0</v>
      </c>
      <c r="S862" s="758"/>
      <c r="T862" s="757">
        <f>SUMIF($H$13:$H$807,$F862,T$13:T$807)+Elec_Rates!T85</f>
        <v>0</v>
      </c>
    </row>
    <row r="863" spans="1:20" s="753" customFormat="1" ht="13.2">
      <c r="A863" s="754"/>
      <c r="B863" s="755">
        <v>35</v>
      </c>
      <c r="C863" s="6" t="s">
        <v>73</v>
      </c>
      <c r="D863" t="s">
        <v>110</v>
      </c>
      <c r="E863"/>
      <c r="F863" s="756">
        <v>810</v>
      </c>
      <c r="G863"/>
      <c r="H863"/>
      <c r="I863"/>
      <c r="J863"/>
      <c r="K863"/>
      <c r="L863"/>
      <c r="M863"/>
      <c r="N863"/>
      <c r="O863" s="105"/>
      <c r="P863">
        <v>3</v>
      </c>
      <c r="Q863"/>
      <c r="R863" s="757">
        <f>SUMIF($H$13:$H$807,$F863,R$13:R$807)+Elec_Rates!R86</f>
        <v>0</v>
      </c>
      <c r="S863" s="758"/>
      <c r="T863" s="757">
        <f>SUMIF($H$13:$H$807,$F863,T$13:T$807)+Elec_Rates!T86</f>
        <v>0</v>
      </c>
    </row>
    <row r="864" spans="1:20" s="753" customFormat="1" ht="13.2">
      <c r="A864" s="754"/>
      <c r="B864" s="755">
        <v>36</v>
      </c>
      <c r="C864" s="6" t="s">
        <v>73</v>
      </c>
      <c r="D864" t="s">
        <v>111</v>
      </c>
      <c r="E864"/>
      <c r="F864" s="756">
        <v>815</v>
      </c>
      <c r="G864"/>
      <c r="H864"/>
      <c r="I864"/>
      <c r="J864"/>
      <c r="K864"/>
      <c r="L864"/>
      <c r="M864"/>
      <c r="N864"/>
      <c r="O864" s="105"/>
      <c r="P864">
        <v>3</v>
      </c>
      <c r="Q864"/>
      <c r="R864" s="757">
        <f>SUMIF($H$13:$H$807,$F864,R$13:R$807)+Elec_Rates!R87</f>
        <v>0</v>
      </c>
      <c r="S864" s="758"/>
      <c r="T864" s="757">
        <f>SUMIF($H$13:$H$807,$F864,T$13:T$807)+Elec_Rates!T87</f>
        <v>0</v>
      </c>
    </row>
    <row r="865" spans="1:20" s="753" customFormat="1" ht="13.2">
      <c r="A865" s="754"/>
      <c r="B865" s="755">
        <v>37</v>
      </c>
      <c r="C865" s="6" t="s">
        <v>73</v>
      </c>
      <c r="D865" t="s">
        <v>112</v>
      </c>
      <c r="E865"/>
      <c r="F865" s="756">
        <v>820</v>
      </c>
      <c r="G865"/>
      <c r="H865"/>
      <c r="I865"/>
      <c r="J865"/>
      <c r="K865"/>
      <c r="L865"/>
      <c r="M865"/>
      <c r="N865"/>
      <c r="O865" s="105"/>
      <c r="P865">
        <v>2</v>
      </c>
      <c r="Q865"/>
      <c r="R865" s="757">
        <f>SUMIF($H$13:$H$807,$F865,R$13:R$807)+Elec_Rates!R88</f>
        <v>0</v>
      </c>
      <c r="S865" s="758"/>
      <c r="T865" s="757">
        <f>SUMIF($H$13:$H$807,$F865,T$13:T$807)+Elec_Rates!T88</f>
        <v>0</v>
      </c>
    </row>
    <row r="866" spans="1:20" s="753" customFormat="1" ht="13.2">
      <c r="A866" s="754"/>
      <c r="B866" s="755">
        <v>38</v>
      </c>
      <c r="C866" s="6" t="s">
        <v>73</v>
      </c>
      <c r="D866" t="s">
        <v>113</v>
      </c>
      <c r="E866"/>
      <c r="F866" s="756">
        <v>821</v>
      </c>
      <c r="G866"/>
      <c r="H866"/>
      <c r="I866"/>
      <c r="J866"/>
      <c r="K866"/>
      <c r="L866"/>
      <c r="M866"/>
      <c r="N866"/>
      <c r="O866" s="105"/>
      <c r="P866">
        <v>3</v>
      </c>
      <c r="Q866"/>
      <c r="R866" s="757">
        <f>SUMIF($H$13:$H$807,$F866,R$13:R$807)+Elec_Rates!R89</f>
        <v>54</v>
      </c>
      <c r="S866" s="758"/>
      <c r="T866" s="757">
        <f>SUMIF($H$13:$H$807,$F866,T$13:T$807)+Elec_Rates!T89</f>
        <v>0</v>
      </c>
    </row>
    <row r="867" spans="1:20" s="753" customFormat="1" ht="13.2">
      <c r="A867" s="754"/>
      <c r="B867" s="755">
        <v>39</v>
      </c>
      <c r="C867" s="6" t="s">
        <v>73</v>
      </c>
      <c r="D867" t="s">
        <v>114</v>
      </c>
      <c r="E867"/>
      <c r="F867" s="756">
        <v>835</v>
      </c>
      <c r="G867"/>
      <c r="H867"/>
      <c r="I867"/>
      <c r="J867"/>
      <c r="K867"/>
      <c r="L867"/>
      <c r="M867"/>
      <c r="N867"/>
      <c r="O867" s="105"/>
      <c r="P867">
        <v>3</v>
      </c>
      <c r="Q867"/>
      <c r="R867" s="757">
        <f>SUMIF($H$13:$H$807,$F867,R$13:R$807)+Elec_Rates!R90</f>
        <v>0</v>
      </c>
      <c r="S867" s="758"/>
      <c r="T867" s="757">
        <f>SUMIF($H$13:$H$807,$F867,T$13:T$807)+Elec_Rates!T90</f>
        <v>17.600000000000001</v>
      </c>
    </row>
    <row r="868" spans="1:20" s="753" customFormat="1" ht="13.2">
      <c r="A868" s="754"/>
      <c r="B868" s="755">
        <v>40</v>
      </c>
      <c r="C868" s="6" t="s">
        <v>73</v>
      </c>
      <c r="D868" t="s">
        <v>115</v>
      </c>
      <c r="E868"/>
      <c r="F868" s="756">
        <v>845</v>
      </c>
      <c r="G868"/>
      <c r="H868"/>
      <c r="I868"/>
      <c r="J868"/>
      <c r="K868"/>
      <c r="L868"/>
      <c r="M868"/>
      <c r="N868"/>
      <c r="O868" s="105"/>
      <c r="P868">
        <v>2</v>
      </c>
      <c r="Q868"/>
      <c r="R868" s="757">
        <f>SUMIF($H$13:$H$807,$F868,R$13:R$807)+Elec_Rates!R91</f>
        <v>0</v>
      </c>
      <c r="S868" s="758"/>
      <c r="T868" s="757">
        <f>SUMIF($H$13:$H$807,$F868,T$13:T$807)+Elec_Rates!T91</f>
        <v>0</v>
      </c>
    </row>
    <row r="869" spans="1:20" s="753" customFormat="1" ht="13.2">
      <c r="A869" s="754"/>
      <c r="B869" s="755">
        <v>41</v>
      </c>
      <c r="C869" s="6" t="s">
        <v>73</v>
      </c>
      <c r="D869" t="s">
        <v>117</v>
      </c>
      <c r="E869"/>
      <c r="F869" s="756">
        <v>855</v>
      </c>
      <c r="G869"/>
      <c r="H869"/>
      <c r="I869"/>
      <c r="J869"/>
      <c r="K869"/>
      <c r="L869"/>
      <c r="M869"/>
      <c r="N869"/>
      <c r="O869" s="105"/>
      <c r="P869">
        <v>3</v>
      </c>
      <c r="Q869"/>
      <c r="R869" s="757">
        <f>SUMIF($H$13:$H$807,$F869,R$13:R$807)+Elec_Rates!R92</f>
        <v>0</v>
      </c>
      <c r="S869" s="758"/>
      <c r="T869" s="757">
        <f>SUMIF($H$13:$H$807,$F869,T$13:T$807)+Elec_Rates!T92</f>
        <v>0</v>
      </c>
    </row>
    <row r="870" spans="1:20" s="753" customFormat="1" ht="13.2">
      <c r="A870" s="754"/>
      <c r="B870" s="755">
        <v>42</v>
      </c>
      <c r="C870" s="6" t="s">
        <v>73</v>
      </c>
      <c r="D870" t="s">
        <v>118</v>
      </c>
      <c r="E870"/>
      <c r="F870" s="756">
        <v>856</v>
      </c>
      <c r="G870"/>
      <c r="H870"/>
      <c r="I870"/>
      <c r="J870"/>
      <c r="K870"/>
      <c r="L870"/>
      <c r="M870"/>
      <c r="N870"/>
      <c r="O870" s="105"/>
      <c r="P870">
        <v>3</v>
      </c>
      <c r="Q870"/>
      <c r="R870" s="757">
        <f>SUMIF($H$13:$H$807,$F870,R$13:R$807)+Elec_Rates!R93</f>
        <v>0</v>
      </c>
      <c r="S870" s="758"/>
      <c r="T870" s="757">
        <f>SUMIF($H$13:$H$807,$F870,T$13:T$807)+Elec_Rates!T93</f>
        <v>0</v>
      </c>
    </row>
    <row r="871" spans="1:20" s="753" customFormat="1" ht="13.2">
      <c r="A871" s="754"/>
      <c r="B871" s="755">
        <v>43</v>
      </c>
      <c r="C871" s="6" t="s">
        <v>73</v>
      </c>
      <c r="D871" s="36" t="s">
        <v>230</v>
      </c>
      <c r="E871"/>
      <c r="F871" s="756">
        <v>857</v>
      </c>
      <c r="G871"/>
      <c r="H871"/>
      <c r="I871"/>
      <c r="J871"/>
      <c r="K871"/>
      <c r="L871"/>
      <c r="M871"/>
      <c r="N871"/>
      <c r="O871" s="105"/>
      <c r="P871">
        <v>4</v>
      </c>
      <c r="Q871"/>
      <c r="R871" s="757">
        <f>SUMIF($H$13:$H$807,$F871,R$13:R$807)+Elec_Rates!R94</f>
        <v>0</v>
      </c>
      <c r="S871" s="758"/>
      <c r="T871" s="757">
        <f>SUMIF($H$13:$H$807,$F871,T$13:T$807)+Elec_Rates!T94</f>
        <v>0</v>
      </c>
    </row>
    <row r="872" spans="1:20" s="753" customFormat="1" ht="13.2">
      <c r="A872" s="754"/>
      <c r="B872" s="755">
        <v>44</v>
      </c>
      <c r="C872" s="6" t="s">
        <v>73</v>
      </c>
      <c r="D872" t="s">
        <v>119</v>
      </c>
      <c r="E872"/>
      <c r="F872" s="756">
        <v>858</v>
      </c>
      <c r="G872"/>
      <c r="H872"/>
      <c r="I872"/>
      <c r="J872"/>
      <c r="K872"/>
      <c r="L872"/>
      <c r="M872"/>
      <c r="N872"/>
      <c r="O872" s="105"/>
      <c r="P872">
        <v>3</v>
      </c>
      <c r="Q872"/>
      <c r="R872" s="757">
        <f>SUMIF($H$13:$H$807,$F872,R$13:R$807)+Elec_Rates!R95</f>
        <v>0</v>
      </c>
      <c r="S872" s="758"/>
      <c r="T872" s="757">
        <f>SUMIF($H$13:$H$807,$F872,T$13:T$807)+Elec_Rates!T95</f>
        <v>0</v>
      </c>
    </row>
    <row r="873" spans="1:20" s="753" customFormat="1" ht="13.2">
      <c r="A873" s="754"/>
      <c r="B873" s="755">
        <v>45</v>
      </c>
      <c r="C873" s="6" t="s">
        <v>73</v>
      </c>
      <c r="D873" t="s">
        <v>120</v>
      </c>
      <c r="E873"/>
      <c r="F873" s="756">
        <v>865</v>
      </c>
      <c r="G873"/>
      <c r="H873"/>
      <c r="I873"/>
      <c r="J873"/>
      <c r="K873"/>
      <c r="L873"/>
      <c r="M873"/>
      <c r="N873"/>
      <c r="O873" s="105"/>
      <c r="P873">
        <v>3</v>
      </c>
      <c r="Q873"/>
      <c r="R873" s="757">
        <f>SUMIF($H$13:$H$807,$F873,R$13:R$807)+Elec_Rates!R96</f>
        <v>0</v>
      </c>
      <c r="S873" s="758"/>
      <c r="T873" s="757">
        <f>SUMIF($H$13:$H$807,$F873,T$13:T$807)+Elec_Rates!T96</f>
        <v>0</v>
      </c>
    </row>
    <row r="874" spans="1:20" s="753" customFormat="1" ht="13.2">
      <c r="A874" s="754"/>
      <c r="B874" s="755">
        <v>46</v>
      </c>
      <c r="C874" s="6" t="s">
        <v>73</v>
      </c>
      <c r="D874" t="s">
        <v>121</v>
      </c>
      <c r="E874"/>
      <c r="F874" s="756">
        <v>870</v>
      </c>
      <c r="G874"/>
      <c r="H874"/>
      <c r="I874"/>
      <c r="J874"/>
      <c r="K874"/>
      <c r="L874"/>
      <c r="M874"/>
      <c r="N874"/>
      <c r="O874" s="105"/>
      <c r="P874">
        <v>4</v>
      </c>
      <c r="Q874"/>
      <c r="R874" s="757">
        <f>SUMIF($H$13:$H$807,$F874,R$13:R$807)+Elec_Rates!R97</f>
        <v>0</v>
      </c>
      <c r="S874" s="758"/>
      <c r="T874" s="757">
        <f>SUMIF($H$13:$H$807,$F874,T$13:T$807)+Elec_Rates!T97</f>
        <v>0</v>
      </c>
    </row>
    <row r="875" spans="1:20" s="753" customFormat="1" ht="13.2">
      <c r="A875" s="754"/>
      <c r="B875" s="755">
        <v>47</v>
      </c>
      <c r="C875" s="6" t="s">
        <v>73</v>
      </c>
      <c r="D875" t="s">
        <v>122</v>
      </c>
      <c r="E875"/>
      <c r="F875" s="756">
        <v>875</v>
      </c>
      <c r="G875"/>
      <c r="H875"/>
      <c r="I875"/>
      <c r="J875"/>
      <c r="K875"/>
      <c r="L875"/>
      <c r="M875"/>
      <c r="N875"/>
      <c r="O875" s="105"/>
      <c r="P875">
        <v>1</v>
      </c>
      <c r="Q875"/>
      <c r="R875" s="757">
        <f>SUMIF($H$13:$H$807,$F875,R$13:R$807)+Elec_Rates!R98</f>
        <v>4.9000000000000004</v>
      </c>
      <c r="S875" s="758"/>
      <c r="T875" s="757">
        <f>SUMIF($H$13:$H$807,$F875,T$13:T$807)+Elec_Rates!T98</f>
        <v>0</v>
      </c>
    </row>
    <row r="876" spans="1:20" s="753" customFormat="1" ht="13.2">
      <c r="A876" s="754"/>
      <c r="B876" s="755">
        <v>48</v>
      </c>
      <c r="C876" s="6" t="s">
        <v>73</v>
      </c>
      <c r="D876" t="s">
        <v>123</v>
      </c>
      <c r="E876"/>
      <c r="F876" s="756">
        <v>880</v>
      </c>
      <c r="G876"/>
      <c r="H876"/>
      <c r="I876"/>
      <c r="J876"/>
      <c r="K876"/>
      <c r="L876"/>
      <c r="M876"/>
      <c r="N876"/>
      <c r="O876" s="105"/>
      <c r="P876">
        <v>3</v>
      </c>
      <c r="Q876"/>
      <c r="R876" s="757">
        <f>SUMIF($H$13:$H$807,$F876,R$13:R$807)+Elec_Rates!R99</f>
        <v>3</v>
      </c>
      <c r="S876" s="758"/>
      <c r="T876" s="757">
        <f>SUMIF($H$13:$H$807,$F876,T$13:T$807)+Elec_Rates!T99</f>
        <v>0</v>
      </c>
    </row>
    <row r="877" spans="1:20" s="753" customFormat="1" ht="13.2">
      <c r="A877" s="754"/>
      <c r="B877" s="755">
        <v>49</v>
      </c>
      <c r="C877" s="6" t="s">
        <v>73</v>
      </c>
      <c r="D877" t="s">
        <v>124</v>
      </c>
      <c r="E877"/>
      <c r="F877" s="756">
        <v>885</v>
      </c>
      <c r="G877"/>
      <c r="H877"/>
      <c r="I877"/>
      <c r="J877"/>
      <c r="K877"/>
      <c r="L877"/>
      <c r="M877"/>
      <c r="N877"/>
      <c r="O877" s="105"/>
      <c r="P877">
        <v>4</v>
      </c>
      <c r="Q877"/>
      <c r="R877" s="757">
        <f>SUMIF($H$13:$H$807,$F877,R$13:R$807)+Elec_Rates!R100</f>
        <v>0</v>
      </c>
      <c r="S877" s="758"/>
      <c r="T877" s="757">
        <f>SUMIF($H$13:$H$807,$F877,T$13:T$807)+Elec_Rates!T100</f>
        <v>0</v>
      </c>
    </row>
    <row r="878" spans="1:20" s="753" customFormat="1" ht="13.2">
      <c r="A878" s="754"/>
      <c r="B878" s="755">
        <v>50</v>
      </c>
      <c r="C878" s="6" t="s">
        <v>73</v>
      </c>
      <c r="D878" t="s">
        <v>68</v>
      </c>
      <c r="E878"/>
      <c r="F878" s="756">
        <v>900</v>
      </c>
      <c r="G878"/>
      <c r="H878"/>
      <c r="I878"/>
      <c r="J878"/>
      <c r="K878"/>
      <c r="L878"/>
      <c r="M878"/>
      <c r="N878"/>
      <c r="O878" s="105"/>
      <c r="P878">
        <v>3</v>
      </c>
      <c r="Q878"/>
      <c r="R878" s="757">
        <f>SUMIF($H$13:$H$807,$F878,R$13:R$807)+Elec_Rates!R101</f>
        <v>0</v>
      </c>
      <c r="S878" s="758"/>
      <c r="T878" s="757">
        <f>SUMIF($H$13:$H$807,$F878,T$13:T$807)+Elec_Rates!T101</f>
        <v>0</v>
      </c>
    </row>
    <row r="879" spans="1:20" s="753" customFormat="1" ht="13.2">
      <c r="A879" s="754"/>
      <c r="B879" s="755">
        <v>51</v>
      </c>
      <c r="C879" s="6" t="s">
        <v>73</v>
      </c>
      <c r="D879" t="s">
        <v>126</v>
      </c>
      <c r="E879"/>
      <c r="F879" s="756">
        <v>901</v>
      </c>
      <c r="G879"/>
      <c r="H879"/>
      <c r="I879"/>
      <c r="J879"/>
      <c r="K879"/>
      <c r="L879"/>
      <c r="M879"/>
      <c r="N879"/>
      <c r="O879" s="105"/>
      <c r="P879">
        <v>1</v>
      </c>
      <c r="Q879"/>
      <c r="R879" s="757">
        <f>SUMIF($H$13:$H$807,$F879,R$13:R$807)+Elec_Rates!R102</f>
        <v>0</v>
      </c>
      <c r="S879" s="758"/>
      <c r="T879" s="757">
        <f>SUMIF($H$13:$H$807,$F879,T$13:T$807)+Elec_Rates!T102</f>
        <v>0</v>
      </c>
    </row>
    <row r="880" spans="1:20" s="753" customFormat="1" ht="13.2">
      <c r="A880" s="754"/>
      <c r="B880" s="755">
        <v>52</v>
      </c>
      <c r="C880" s="6" t="s">
        <v>73</v>
      </c>
      <c r="D880" t="s">
        <v>127</v>
      </c>
      <c r="E880"/>
      <c r="F880" s="756">
        <v>902</v>
      </c>
      <c r="G880"/>
      <c r="H880"/>
      <c r="I880"/>
      <c r="J880"/>
      <c r="K880"/>
      <c r="L880"/>
      <c r="M880"/>
      <c r="N880"/>
      <c r="O880" s="105"/>
      <c r="P880">
        <v>3</v>
      </c>
      <c r="Q880"/>
      <c r="R880" s="757">
        <f>SUMIF($H$13:$H$807,$F880,R$13:R$807)+Elec_Rates!R103</f>
        <v>0</v>
      </c>
      <c r="S880" s="758"/>
      <c r="T880" s="757">
        <f>SUMIF($H$13:$H$807,$F880,T$13:T$807)+Elec_Rates!T103</f>
        <v>1.69</v>
      </c>
    </row>
    <row r="881" spans="1:37" s="753" customFormat="1" ht="13.2">
      <c r="A881" s="754"/>
      <c r="B881" s="755">
        <v>53</v>
      </c>
      <c r="C881" s="6" t="s">
        <v>73</v>
      </c>
      <c r="D881" s="753" t="s">
        <v>128</v>
      </c>
      <c r="E881"/>
      <c r="F881" s="756">
        <v>960</v>
      </c>
      <c r="G881"/>
      <c r="H881"/>
      <c r="I881"/>
      <c r="J881"/>
      <c r="K881"/>
      <c r="L881"/>
      <c r="M881"/>
      <c r="N881"/>
      <c r="O881" s="105"/>
      <c r="P881">
        <v>4</v>
      </c>
      <c r="Q881"/>
      <c r="R881" s="757">
        <f>SUMIF($H$13:$H$807,$F881,R$13:R$807)+Elec_Rates!R104</f>
        <v>0</v>
      </c>
      <c r="S881" s="758"/>
      <c r="T881" s="757">
        <f>SUMIF($H$13:$H$807,$F881,T$13:T$807)+Elec_Rates!T104</f>
        <v>0</v>
      </c>
    </row>
    <row r="882" spans="1:37" s="753" customFormat="1" ht="13.2">
      <c r="A882" s="754"/>
      <c r="B882" s="755">
        <v>54</v>
      </c>
      <c r="C882" s="6" t="s">
        <v>73</v>
      </c>
      <c r="D882" s="753" t="s">
        <v>129</v>
      </c>
      <c r="E882"/>
      <c r="F882" s="756">
        <v>961</v>
      </c>
      <c r="G882"/>
      <c r="H882"/>
      <c r="I882"/>
      <c r="J882"/>
      <c r="K882"/>
      <c r="L882"/>
      <c r="M882"/>
      <c r="N882"/>
      <c r="O882" s="105"/>
      <c r="P882">
        <v>3</v>
      </c>
      <c r="Q882"/>
      <c r="R882" s="757">
        <f>SUMIF($H$13:$H$807,$F882,R$13:R$807)+Elec_Rates!R105</f>
        <v>0</v>
      </c>
      <c r="S882" s="758"/>
      <c r="T882" s="757">
        <f>SUMIF($H$13:$H$807,$F882,T$13:T$807)+Elec_Rates!T105</f>
        <v>0</v>
      </c>
    </row>
    <row r="883" spans="1:37" s="753" customFormat="1" ht="13.2">
      <c r="A883" s="754"/>
      <c r="B883" s="755">
        <v>55</v>
      </c>
      <c r="C883" s="6" t="s">
        <v>73</v>
      </c>
      <c r="D883" s="753" t="s">
        <v>130</v>
      </c>
      <c r="E883"/>
      <c r="F883" s="756">
        <v>962</v>
      </c>
      <c r="G883"/>
      <c r="H883"/>
      <c r="I883"/>
      <c r="J883"/>
      <c r="K883"/>
      <c r="L883"/>
      <c r="M883"/>
      <c r="N883"/>
      <c r="O883" s="105"/>
      <c r="P883">
        <v>1</v>
      </c>
      <c r="Q883"/>
      <c r="R883" s="757">
        <f>SUMIF($H$13:$H$807,$F883,R$13:R$807)+Elec_Rates!R106</f>
        <v>0</v>
      </c>
      <c r="S883" s="758"/>
      <c r="T883" s="757">
        <f>SUMIF($H$13:$H$807,$F883,T$13:T$807)+Elec_Rates!T106</f>
        <v>0</v>
      </c>
    </row>
    <row r="884" spans="1:37" s="753" customFormat="1" ht="13.2">
      <c r="A884" s="754"/>
      <c r="B884" s="755">
        <v>56</v>
      </c>
      <c r="C884" s="6" t="s">
        <v>73</v>
      </c>
      <c r="D884" s="753" t="s">
        <v>131</v>
      </c>
      <c r="E884"/>
      <c r="F884" s="756">
        <v>970</v>
      </c>
      <c r="G884"/>
      <c r="H884"/>
      <c r="I884"/>
      <c r="J884"/>
      <c r="K884"/>
      <c r="L884"/>
      <c r="M884"/>
      <c r="N884"/>
      <c r="O884" s="105"/>
      <c r="P884">
        <v>4</v>
      </c>
      <c r="Q884"/>
      <c r="R884" s="757">
        <f>SUMIF($H$13:$H$807,$F884,R$13:R$807)+Elec_Rates!R107</f>
        <v>0</v>
      </c>
      <c r="S884" s="758"/>
      <c r="T884" s="757">
        <f>SUMIF($H$13:$H$807,$F884,T$13:T$807)+Elec_Rates!T107</f>
        <v>0</v>
      </c>
    </row>
    <row r="885" spans="1:37" s="753" customFormat="1" thickBot="1">
      <c r="A885" s="760"/>
      <c r="B885" s="761"/>
      <c r="C885" s="63"/>
      <c r="D885" s="762"/>
      <c r="E885" s="763"/>
      <c r="F885" s="764"/>
      <c r="G885" s="763"/>
      <c r="H885" s="763"/>
      <c r="I885" s="763"/>
      <c r="J885" s="763"/>
      <c r="K885" s="763"/>
      <c r="L885" s="763"/>
      <c r="M885" s="763"/>
      <c r="N885" s="763"/>
      <c r="O885" s="765"/>
      <c r="P885" s="763"/>
      <c r="Q885" s="763"/>
      <c r="R885" s="766"/>
      <c r="S885" s="767"/>
      <c r="T885" s="766"/>
      <c r="U885" s="762"/>
      <c r="V885" s="762"/>
      <c r="W885" s="762"/>
      <c r="X885" s="762"/>
      <c r="Y885" s="762"/>
      <c r="Z885" s="762"/>
      <c r="AA885" s="762"/>
      <c r="AB885" s="762"/>
      <c r="AC885" s="762"/>
      <c r="AD885" s="762"/>
      <c r="AE885" s="762"/>
      <c r="AF885" s="762"/>
      <c r="AG885" s="762"/>
      <c r="AH885" s="762"/>
      <c r="AI885" s="762"/>
      <c r="AJ885" s="762"/>
      <c r="AK885" s="762"/>
    </row>
    <row r="886" spans="1:37" s="753" customFormat="1" thickTop="1">
      <c r="A886" s="754"/>
      <c r="B886" s="756"/>
      <c r="C886" s="6" t="s">
        <v>73</v>
      </c>
      <c r="D886" s="768"/>
      <c r="E886"/>
      <c r="F886" s="769" t="s">
        <v>142</v>
      </c>
      <c r="G886" s="770"/>
      <c r="H886">
        <v>1</v>
      </c>
      <c r="I886"/>
      <c r="J886"/>
      <c r="K886"/>
      <c r="L886"/>
      <c r="M886"/>
      <c r="N886"/>
      <c r="O886" s="105"/>
      <c r="P886"/>
      <c r="Q886"/>
      <c r="R886" s="757">
        <f ca="1">SUMIF($P829:$P884,1,R829:R884)</f>
        <v>264.04103448275862</v>
      </c>
      <c r="S886"/>
      <c r="T886" s="757">
        <f ca="1">SUMIF($P829:$P884,1,T829:T884)</f>
        <v>40.496479310344824</v>
      </c>
    </row>
    <row r="887" spans="1:37" s="753" customFormat="1" ht="13.2">
      <c r="A887" s="754"/>
      <c r="B887" s="756"/>
      <c r="C887" s="6" t="s">
        <v>73</v>
      </c>
      <c r="D887" s="768"/>
      <c r="E887"/>
      <c r="F887" s="769" t="s">
        <v>143</v>
      </c>
      <c r="G887" s="770"/>
      <c r="H887">
        <v>2</v>
      </c>
      <c r="I887"/>
      <c r="J887"/>
      <c r="K887"/>
      <c r="L887"/>
      <c r="M887"/>
      <c r="N887"/>
      <c r="O887" s="105"/>
      <c r="P887"/>
      <c r="Q887"/>
      <c r="R887" s="757">
        <f ca="1">SUMIF($P829:$P884,2,R829:R884)</f>
        <v>824.86553878166308</v>
      </c>
      <c r="S887"/>
      <c r="T887" s="757">
        <f ca="1">SUMIF($P829:$P884,2,T829:T884)</f>
        <v>26.576727986863709</v>
      </c>
    </row>
    <row r="888" spans="1:37" s="753" customFormat="1" ht="13.2">
      <c r="A888" s="754"/>
      <c r="B888" s="756"/>
      <c r="C888" s="6" t="s">
        <v>73</v>
      </c>
      <c r="D888" s="768"/>
      <c r="E888"/>
      <c r="F888" s="769" t="s">
        <v>144</v>
      </c>
      <c r="G888" s="770"/>
      <c r="H888">
        <v>2</v>
      </c>
      <c r="I888"/>
      <c r="J888"/>
      <c r="K888"/>
      <c r="L888"/>
      <c r="M888"/>
      <c r="N888"/>
      <c r="O888" s="105"/>
      <c r="P888"/>
      <c r="Q888"/>
      <c r="R888" s="757">
        <f>SUMIF($P829:$P884,3,R829:R884)</f>
        <v>2052.4799999999996</v>
      </c>
      <c r="S888"/>
      <c r="T888" s="757">
        <f>SUMIF($P829:$P884,3,T829:T884)</f>
        <v>35.141500000000001</v>
      </c>
    </row>
    <row r="889" spans="1:37" s="753" customFormat="1" ht="13.2">
      <c r="A889" s="754"/>
      <c r="B889" s="756"/>
      <c r="C889" s="6" t="s">
        <v>73</v>
      </c>
      <c r="D889" s="768"/>
      <c r="E889"/>
      <c r="F889" s="769" t="s">
        <v>145</v>
      </c>
      <c r="G889" s="770"/>
      <c r="H889">
        <v>3</v>
      </c>
      <c r="I889"/>
      <c r="J889"/>
      <c r="K889"/>
      <c r="L889"/>
      <c r="M889"/>
      <c r="N889"/>
      <c r="O889" s="105"/>
      <c r="P889"/>
      <c r="Q889"/>
      <c r="R889" s="757">
        <f>SUMIF($P829:$P884,4,R829:R884)</f>
        <v>0</v>
      </c>
      <c r="S889"/>
      <c r="T889" s="757">
        <f>SUMIF($P829:$P884,4,T829:T884)</f>
        <v>0</v>
      </c>
    </row>
    <row r="890" spans="1:37" s="753" customFormat="1" thickBot="1">
      <c r="A890" s="760"/>
      <c r="B890" s="764"/>
      <c r="C890" s="63"/>
      <c r="D890" s="771"/>
      <c r="E890" s="763"/>
      <c r="F890" s="772" t="s">
        <v>146</v>
      </c>
      <c r="G890" s="773"/>
      <c r="H890" s="774"/>
      <c r="I890" s="774"/>
      <c r="J890" s="774"/>
      <c r="K890" s="774"/>
      <c r="L890" s="774"/>
      <c r="M890" s="774"/>
      <c r="N890" s="774"/>
      <c r="O890" s="775"/>
      <c r="P890" s="774"/>
      <c r="Q890" s="774"/>
      <c r="R890" s="776">
        <f ca="1">SUM(R886:R889)</f>
        <v>3141.3865732644213</v>
      </c>
      <c r="S890" s="777"/>
      <c r="T890" s="776">
        <f ca="1">SUM(T886:T889)</f>
        <v>102.21470729720855</v>
      </c>
      <c r="U890" s="762"/>
      <c r="V890" s="762"/>
      <c r="W890" s="762"/>
      <c r="X890" s="762"/>
      <c r="Y890" s="762"/>
      <c r="Z890" s="762"/>
      <c r="AA890" s="762"/>
      <c r="AB890" s="762"/>
      <c r="AC890" s="762"/>
      <c r="AD890" s="762"/>
      <c r="AE890" s="762"/>
      <c r="AF890" s="762"/>
      <c r="AG890" s="762"/>
      <c r="AH890" s="762"/>
      <c r="AI890" s="762"/>
      <c r="AJ890" s="762"/>
      <c r="AK890" s="762"/>
    </row>
    <row r="891" spans="1:37" customFormat="1" thickTop="1">
      <c r="A891" s="618"/>
      <c r="B891" s="779" t="s">
        <v>619</v>
      </c>
      <c r="C891" s="768" t="s">
        <v>619</v>
      </c>
      <c r="D891" s="768"/>
      <c r="O891" s="105"/>
    </row>
    <row r="892" spans="1:37" customFormat="1" ht="13.2">
      <c r="A892" s="753"/>
      <c r="O892" s="105"/>
    </row>
    <row r="893" spans="1:37" customFormat="1" ht="13.2">
      <c r="A893" s="753"/>
      <c r="B893" s="780">
        <f ca="1">SUMIF($D$13:$D$807,D893,$C$13:$C$807)</f>
        <v>12</v>
      </c>
      <c r="C893" s="753"/>
      <c r="D893" s="781" t="str">
        <f>Elec_Rates!$D$15</f>
        <v>001# REMS LSZH Conduit</v>
      </c>
      <c r="O893" s="105"/>
      <c r="Q893" s="616"/>
    </row>
    <row r="894" spans="1:37" customFormat="1" ht="13.2">
      <c r="A894" s="753"/>
      <c r="B894" s="780">
        <f ca="1">SUMIF($D$13:$D$807,D894,$C$13:$C$807)</f>
        <v>20</v>
      </c>
      <c r="C894" s="753"/>
      <c r="D894" s="781" t="str">
        <f>Elec_Rates!$D$24</f>
        <v>002# REMS LSZH Cable</v>
      </c>
      <c r="O894" s="105"/>
    </row>
    <row r="895" spans="1:37" customFormat="1" ht="13.2">
      <c r="A895" s="753"/>
      <c r="B895" s="780">
        <f ca="1">SUMIF($D$13:$D$807,D895,$C$13:$C$807)</f>
        <v>35</v>
      </c>
      <c r="C895" s="753"/>
      <c r="D895" s="781" t="str">
        <f>Elec_Rates!$D$30</f>
        <v>003# Lighting Point in LSZH Conduit</v>
      </c>
      <c r="O895" s="105"/>
    </row>
    <row r="896" spans="1:37" customFormat="1" ht="13.2">
      <c r="A896" s="753"/>
      <c r="B896" s="780">
        <f ca="1">SUMIF($D$13:$D$807,D896,$C$13:$C$807)</f>
        <v>21</v>
      </c>
      <c r="C896" s="753"/>
      <c r="D896" s="781" t="str">
        <f>Elec_Rates!$D$38</f>
        <v>004# Power Point in LSZH Conduit</v>
      </c>
      <c r="O896" s="105"/>
    </row>
    <row r="897" spans="1:37" customFormat="1" thickBot="1">
      <c r="A897" s="762"/>
      <c r="B897" s="763"/>
      <c r="C897" s="763"/>
      <c r="D897" s="763"/>
      <c r="E897" s="763"/>
      <c r="F897" s="763"/>
      <c r="G897" s="763"/>
      <c r="H897" s="763"/>
      <c r="I897" s="763"/>
      <c r="J897" s="763"/>
      <c r="K897" s="763"/>
      <c r="L897" s="763"/>
      <c r="M897" s="763"/>
      <c r="N897" s="763"/>
      <c r="O897" s="765"/>
      <c r="P897" s="763"/>
      <c r="Q897" s="763"/>
      <c r="R897" s="763"/>
      <c r="S897" s="763"/>
      <c r="T897" s="763"/>
      <c r="U897" s="763"/>
      <c r="V897" s="763"/>
      <c r="W897" s="763"/>
      <c r="X897" s="763"/>
      <c r="Y897" s="763"/>
      <c r="Z897" s="763"/>
      <c r="AA897" s="763"/>
      <c r="AB897" s="763"/>
      <c r="AC897" s="763"/>
      <c r="AD897" s="763"/>
      <c r="AE897" s="763"/>
      <c r="AF897" s="763"/>
      <c r="AG897" s="763"/>
      <c r="AH897" s="763"/>
      <c r="AI897" s="763"/>
      <c r="AJ897" s="763"/>
      <c r="AK897" s="763"/>
    </row>
    <row r="898" spans="1:37" ht="14.4" thickTop="1"/>
  </sheetData>
  <sheetProtection formatCells="0" formatColumns="0" formatRows="0" insertColumns="0" insertRows="0" insertHyperlinks="0" deleteColumns="0" deleteRows="0" sort="0" autoFilter="0" pivotTables="0"/>
  <autoFilter ref="H1:H898" xr:uid="{00000000-0001-0000-0200-000000000000}"/>
  <phoneticPr fontId="29"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indexed="10"/>
  </sheetPr>
  <dimension ref="A1:AD176"/>
  <sheetViews>
    <sheetView zoomScaleNormal="100" workbookViewId="0">
      <selection activeCell="E7" sqref="E7"/>
    </sheetView>
  </sheetViews>
  <sheetFormatPr defaultColWidth="9.109375" defaultRowHeight="13.2"/>
  <cols>
    <col min="1" max="1" width="8.33203125" style="36" customWidth="1"/>
    <col min="2" max="2" width="12.44140625" style="129" customWidth="1"/>
    <col min="3" max="3" width="6.6640625" style="36" hidden="1" customWidth="1"/>
    <col min="4" max="4" width="11.5546875" style="36" customWidth="1"/>
    <col min="5" max="5" width="13" style="36" customWidth="1"/>
    <col min="6" max="6" width="13.109375" style="36" customWidth="1"/>
    <col min="7" max="7" width="10" style="36" hidden="1" customWidth="1"/>
    <col min="8" max="14" width="8.6640625" style="36" hidden="1" customWidth="1"/>
    <col min="15" max="15" width="5.33203125" style="36" hidden="1" customWidth="1"/>
    <col min="16" max="16" width="7.6640625" style="36" hidden="1" customWidth="1"/>
    <col min="17" max="17" width="8" style="36" customWidth="1"/>
    <col min="18" max="18" width="12.109375" style="36" customWidth="1"/>
    <col min="19" max="19" width="11.109375" style="36" customWidth="1"/>
    <col min="20" max="20" width="10.5546875" style="36" customWidth="1"/>
    <col min="21" max="21" width="8.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450" t="s">
        <v>0</v>
      </c>
      <c r="C1" s="447">
        <v>1</v>
      </c>
      <c r="D1" s="1018" t="s">
        <v>476</v>
      </c>
      <c r="E1" s="1019"/>
      <c r="G1" s="448" t="b">
        <v>1</v>
      </c>
      <c r="H1" s="448" t="b">
        <v>1</v>
      </c>
      <c r="I1" s="261">
        <v>1</v>
      </c>
      <c r="J1" s="262">
        <f t="shared" ref="J1:J10" si="0">$Q109</f>
        <v>1</v>
      </c>
      <c r="K1" s="262">
        <f t="shared" ref="K1:K10" si="1">$Q119</f>
        <v>1</v>
      </c>
      <c r="L1" s="262">
        <f t="shared" ref="L1:L10" si="2">$Q129</f>
        <v>1</v>
      </c>
      <c r="M1" s="262">
        <f t="shared" ref="M1:M10" si="3">$Q139</f>
        <v>1</v>
      </c>
      <c r="N1" s="262">
        <f t="shared" ref="N1:N9" si="4">$Q149</f>
        <v>1</v>
      </c>
      <c r="O1" s="262">
        <f t="shared" ref="O1:O6" si="5">$Q159</f>
        <v>1</v>
      </c>
      <c r="P1" s="11"/>
      <c r="Q1" s="419" t="str">
        <f>IF(C1=1,"€","Curr?")</f>
        <v>€</v>
      </c>
      <c r="R1" s="356" t="s">
        <v>197</v>
      </c>
      <c r="S1" s="438" t="str">
        <f>IF($S$39="PRINT","R","Do Not Print")</f>
        <v>R</v>
      </c>
      <c r="T1" s="463">
        <v>1</v>
      </c>
      <c r="V1" s="117">
        <f t="array" ref="V1">IF(OR(X1=AREAS),1,0)</f>
        <v>1</v>
      </c>
      <c r="W1" s="435" t="s">
        <v>165</v>
      </c>
      <c r="X1" s="118" t="s">
        <v>162</v>
      </c>
      <c r="Y1" s="118" t="s">
        <v>162</v>
      </c>
      <c r="Z1" s="118" t="s">
        <v>162</v>
      </c>
      <c r="AA1" s="118" t="s">
        <v>162</v>
      </c>
      <c r="AB1" s="118" t="s">
        <v>162</v>
      </c>
      <c r="AC1" s="118" t="s">
        <v>162</v>
      </c>
      <c r="AD1" s="118" t="s">
        <v>162</v>
      </c>
    </row>
    <row r="2" spans="1:30" ht="21.75" customHeight="1">
      <c r="A2" s="440"/>
      <c r="B2" s="450" t="s">
        <v>2</v>
      </c>
      <c r="C2" s="446">
        <f>IF($D$6="VAT INCLUDED",1.18,1)*(1-$Q2)*$C$1</f>
        <v>1</v>
      </c>
      <c r="D2" s="1018" t="s">
        <v>477</v>
      </c>
      <c r="E2" s="1019"/>
      <c r="F2" s="349" t="s">
        <v>180</v>
      </c>
      <c r="G2" s="448" t="b">
        <v>1</v>
      </c>
      <c r="I2" s="261">
        <v>2</v>
      </c>
      <c r="J2" s="262">
        <f t="shared" si="0"/>
        <v>1</v>
      </c>
      <c r="K2" s="262">
        <f t="shared" si="1"/>
        <v>1</v>
      </c>
      <c r="L2" s="262">
        <f t="shared" si="2"/>
        <v>1</v>
      </c>
      <c r="M2" s="262">
        <f t="shared" si="3"/>
        <v>1</v>
      </c>
      <c r="N2" s="262">
        <f t="shared" si="4"/>
        <v>1</v>
      </c>
      <c r="O2" s="262">
        <f t="shared" si="5"/>
        <v>1</v>
      </c>
      <c r="P2" s="11"/>
      <c r="Q2" s="300"/>
      <c r="R2" s="313" t="str">
        <f>"A) " &amp; IF($S2=0,"",ROUND($S2,2) &amp; "-" &amp; ROUND($T2/$D$9,2))</f>
        <v>A) 1-1</v>
      </c>
      <c r="S2" s="291">
        <v>1</v>
      </c>
      <c r="T2" s="291">
        <f>$S2*$D$9</f>
        <v>28.832999999999998</v>
      </c>
      <c r="V2" s="126"/>
      <c r="W2" s="126"/>
      <c r="X2" s="118" t="s">
        <v>162</v>
      </c>
      <c r="Y2" s="118" t="s">
        <v>162</v>
      </c>
      <c r="Z2" s="118" t="s">
        <v>162</v>
      </c>
      <c r="AA2" s="118" t="s">
        <v>162</v>
      </c>
      <c r="AB2" s="118" t="s">
        <v>162</v>
      </c>
      <c r="AC2" s="118" t="s">
        <v>162</v>
      </c>
      <c r="AD2" s="118" t="s">
        <v>162</v>
      </c>
    </row>
    <row r="3" spans="1:30" ht="21" customHeight="1">
      <c r="A3" s="441"/>
      <c r="B3" s="450" t="s">
        <v>4</v>
      </c>
      <c r="C3" s="446">
        <f t="shared" ref="C3:C12" si="6">IF($D$6="VAT INCLUDED",1.18,1)*(1-$Q3)*$C$1</f>
        <v>1</v>
      </c>
      <c r="D3" s="1018" t="s">
        <v>478</v>
      </c>
      <c r="E3" s="1019"/>
      <c r="F3" s="349" t="s">
        <v>693</v>
      </c>
      <c r="G3" s="448" t="b">
        <v>1</v>
      </c>
      <c r="I3" s="261">
        <v>3</v>
      </c>
      <c r="J3" s="262">
        <f t="shared" si="0"/>
        <v>1</v>
      </c>
      <c r="K3" s="262">
        <f t="shared" si="1"/>
        <v>1</v>
      </c>
      <c r="L3" s="262">
        <f t="shared" si="2"/>
        <v>1</v>
      </c>
      <c r="M3" s="262">
        <f t="shared" si="3"/>
        <v>1</v>
      </c>
      <c r="N3" s="262">
        <f t="shared" si="4"/>
        <v>1</v>
      </c>
      <c r="O3" s="262">
        <f t="shared" si="5"/>
        <v>1</v>
      </c>
      <c r="P3" s="11"/>
      <c r="Q3" s="300"/>
      <c r="R3" s="314" t="str">
        <f>"B) " &amp; IF($S3=0,"",ROUND($S3,2) &amp; "-" &amp; ROUND($T3/$D$9,2))</f>
        <v>B) 1-1.14</v>
      </c>
      <c r="S3" s="291">
        <v>1</v>
      </c>
      <c r="T3" s="291">
        <f>$S3*$D$10</f>
        <v>33</v>
      </c>
      <c r="V3" s="126"/>
      <c r="W3" s="126"/>
      <c r="X3" s="118" t="s">
        <v>162</v>
      </c>
      <c r="Y3" s="118" t="s">
        <v>162</v>
      </c>
      <c r="Z3" s="118" t="s">
        <v>162</v>
      </c>
      <c r="AA3" s="118" t="s">
        <v>162</v>
      </c>
      <c r="AB3" s="118" t="s">
        <v>162</v>
      </c>
      <c r="AC3" s="118" t="s">
        <v>162</v>
      </c>
      <c r="AD3" s="118" t="s">
        <v>162</v>
      </c>
    </row>
    <row r="4" spans="1:30" ht="15.75" customHeight="1">
      <c r="A4" s="442"/>
      <c r="B4" s="451" t="s">
        <v>232</v>
      </c>
      <c r="C4" s="370">
        <f t="shared" si="6"/>
        <v>1</v>
      </c>
      <c r="D4" s="13" t="s">
        <v>849</v>
      </c>
      <c r="E4" s="277"/>
      <c r="F4" s="349" t="s">
        <v>836</v>
      </c>
      <c r="G4" s="448" t="b">
        <v>1</v>
      </c>
      <c r="I4" s="261">
        <v>4</v>
      </c>
      <c r="J4" s="262">
        <f t="shared" si="0"/>
        <v>1</v>
      </c>
      <c r="K4" s="262">
        <f t="shared" si="1"/>
        <v>1</v>
      </c>
      <c r="L4" s="262">
        <f t="shared" si="2"/>
        <v>1</v>
      </c>
      <c r="M4" s="262">
        <f t="shared" si="3"/>
        <v>1</v>
      </c>
      <c r="N4" s="262">
        <f t="shared" si="4"/>
        <v>1</v>
      </c>
      <c r="O4" s="262">
        <f t="shared" si="5"/>
        <v>1</v>
      </c>
      <c r="P4" s="11"/>
      <c r="Q4" s="300"/>
      <c r="R4" s="315" t="str">
        <f>"C) " &amp; IF($S4=0,"",ROUND($S4,2) &amp; "-" &amp; ROUND($T4/$D$9,2))</f>
        <v>C) 1-1.04</v>
      </c>
      <c r="S4" s="291">
        <v>1</v>
      </c>
      <c r="T4" s="291">
        <f>$S4*$D$11</f>
        <v>30</v>
      </c>
      <c r="V4" s="126"/>
      <c r="W4" s="126"/>
      <c r="X4" s="118" t="s">
        <v>162</v>
      </c>
      <c r="Y4" s="118" t="s">
        <v>162</v>
      </c>
      <c r="Z4" s="118" t="s">
        <v>162</v>
      </c>
      <c r="AA4" s="118" t="s">
        <v>162</v>
      </c>
      <c r="AB4" s="118" t="s">
        <v>162</v>
      </c>
      <c r="AC4" s="118" t="s">
        <v>162</v>
      </c>
      <c r="AD4" s="118" t="s">
        <v>162</v>
      </c>
    </row>
    <row r="5" spans="1:30" ht="13.8">
      <c r="A5" s="440"/>
      <c r="B5" s="452" t="s">
        <v>175</v>
      </c>
      <c r="C5" s="370">
        <f t="shared" si="6"/>
        <v>1</v>
      </c>
      <c r="D5" s="13" t="s">
        <v>480</v>
      </c>
      <c r="E5" s="301"/>
      <c r="F5" s="349" t="s">
        <v>703</v>
      </c>
      <c r="G5" s="448" t="b">
        <v>1</v>
      </c>
      <c r="I5" s="261">
        <v>5</v>
      </c>
      <c r="J5" s="262">
        <f t="shared" si="0"/>
        <v>1</v>
      </c>
      <c r="K5" s="262">
        <f t="shared" si="1"/>
        <v>1</v>
      </c>
      <c r="L5" s="262">
        <f t="shared" si="2"/>
        <v>1</v>
      </c>
      <c r="M5" s="262">
        <f t="shared" si="3"/>
        <v>1</v>
      </c>
      <c r="N5" s="262">
        <f t="shared" si="4"/>
        <v>1</v>
      </c>
      <c r="O5" s="262">
        <f t="shared" si="5"/>
        <v>1</v>
      </c>
      <c r="P5" s="12"/>
      <c r="Q5" s="300"/>
      <c r="R5" s="316" t="str">
        <f>"D) " &amp; IF($S5=0,"",ROUND($S5,2) &amp; "-" &amp; ROUND($T5/$D$9,2))</f>
        <v>D) 1-1</v>
      </c>
      <c r="S5" s="291">
        <v>1</v>
      </c>
      <c r="T5" s="291">
        <f>$S5*$D$9</f>
        <v>28.832999999999998</v>
      </c>
      <c r="V5" s="126"/>
      <c r="W5" s="126"/>
      <c r="X5" s="118" t="s">
        <v>162</v>
      </c>
      <c r="Y5" s="118" t="s">
        <v>162</v>
      </c>
      <c r="Z5" s="118" t="s">
        <v>162</v>
      </c>
      <c r="AA5" s="118" t="s">
        <v>162</v>
      </c>
      <c r="AB5" s="118" t="s">
        <v>162</v>
      </c>
      <c r="AC5" s="118" t="s">
        <v>162</v>
      </c>
      <c r="AD5" s="118" t="s">
        <v>162</v>
      </c>
    </row>
    <row r="6" spans="1:30" ht="13.8">
      <c r="A6" s="442"/>
      <c r="B6" s="452" t="s">
        <v>228</v>
      </c>
      <c r="C6" s="370">
        <f t="shared" si="6"/>
        <v>1</v>
      </c>
      <c r="D6" s="371" t="s">
        <v>192</v>
      </c>
      <c r="E6"/>
      <c r="F6" s="349"/>
      <c r="G6" s="448" t="b">
        <v>1</v>
      </c>
      <c r="I6" s="261">
        <v>6</v>
      </c>
      <c r="J6" s="262">
        <f t="shared" si="0"/>
        <v>1</v>
      </c>
      <c r="K6" s="262">
        <f t="shared" si="1"/>
        <v>1</v>
      </c>
      <c r="L6" s="262">
        <f t="shared" si="2"/>
        <v>1</v>
      </c>
      <c r="M6" s="262">
        <f t="shared" si="3"/>
        <v>1</v>
      </c>
      <c r="N6" s="262">
        <f t="shared" si="4"/>
        <v>1</v>
      </c>
      <c r="O6" s="262">
        <f t="shared" si="5"/>
        <v>1</v>
      </c>
      <c r="P6" s="12"/>
      <c r="Q6" s="300"/>
      <c r="R6" s="317" t="str">
        <f>"E) " &amp; IF($S6=0,"",ROUND($S6,2) &amp; "-" &amp; ROUND($T6/$D$9,2))</f>
        <v xml:space="preserve">E) </v>
      </c>
      <c r="S6" s="291"/>
      <c r="T6" s="291"/>
      <c r="V6" s="126"/>
      <c r="W6" s="126"/>
      <c r="X6" s="118" t="s">
        <v>162</v>
      </c>
      <c r="Y6" s="118" t="s">
        <v>162</v>
      </c>
      <c r="Z6" s="118" t="s">
        <v>162</v>
      </c>
      <c r="AA6" s="118" t="s">
        <v>162</v>
      </c>
      <c r="AB6" s="118" t="s">
        <v>162</v>
      </c>
      <c r="AC6" s="118" t="s">
        <v>162</v>
      </c>
      <c r="AD6" s="118" t="s">
        <v>162</v>
      </c>
    </row>
    <row r="7" spans="1:30" ht="13.8">
      <c r="A7" s="442"/>
      <c r="B7" s="452" t="s">
        <v>12</v>
      </c>
      <c r="C7" s="370">
        <f t="shared" si="6"/>
        <v>1</v>
      </c>
      <c r="D7" s="14">
        <v>45978</v>
      </c>
      <c r="E7"/>
      <c r="F7" s="349"/>
      <c r="G7" s="448" t="b">
        <v>1</v>
      </c>
      <c r="I7" s="261">
        <v>7</v>
      </c>
      <c r="J7" s="262">
        <f t="shared" si="0"/>
        <v>1</v>
      </c>
      <c r="K7" s="262">
        <f t="shared" si="1"/>
        <v>1</v>
      </c>
      <c r="L7" s="262">
        <f t="shared" si="2"/>
        <v>1</v>
      </c>
      <c r="M7" s="262">
        <f t="shared" si="3"/>
        <v>1</v>
      </c>
      <c r="N7" s="262">
        <f t="shared" si="4"/>
        <v>1</v>
      </c>
      <c r="O7" s="262"/>
      <c r="P7" s="128"/>
      <c r="Q7" s="300"/>
      <c r="R7" s="318" t="str">
        <f>"F) " &amp; IF($S7=0,"",ROUND($S7,2) &amp; "-" &amp; ROUND($T7/$D$9,2))</f>
        <v xml:space="preserve">F) </v>
      </c>
      <c r="S7" s="291"/>
      <c r="T7" s="291"/>
      <c r="V7" s="126"/>
      <c r="W7" s="126"/>
      <c r="X7" s="118" t="s">
        <v>162</v>
      </c>
      <c r="Y7" s="118" t="s">
        <v>162</v>
      </c>
      <c r="Z7" s="118" t="s">
        <v>162</v>
      </c>
      <c r="AA7" s="118" t="s">
        <v>162</v>
      </c>
      <c r="AB7" s="118" t="s">
        <v>162</v>
      </c>
      <c r="AC7" s="118" t="s">
        <v>162</v>
      </c>
      <c r="AD7" s="118" t="s">
        <v>162</v>
      </c>
    </row>
    <row r="8" spans="1:30" ht="13.8">
      <c r="A8" s="440"/>
      <c r="B8" s="452" t="s">
        <v>14</v>
      </c>
      <c r="C8" s="370">
        <f t="shared" si="6"/>
        <v>1</v>
      </c>
      <c r="D8" s="15" t="s">
        <v>479</v>
      </c>
      <c r="E8"/>
      <c r="F8" s="349"/>
      <c r="G8" s="448" t="b">
        <v>1</v>
      </c>
      <c r="I8" s="261">
        <v>8</v>
      </c>
      <c r="J8" s="262">
        <f t="shared" si="0"/>
        <v>1</v>
      </c>
      <c r="K8" s="262">
        <f t="shared" si="1"/>
        <v>1</v>
      </c>
      <c r="L8" s="262">
        <f t="shared" si="2"/>
        <v>1</v>
      </c>
      <c r="M8" s="262">
        <f t="shared" si="3"/>
        <v>1</v>
      </c>
      <c r="N8" s="262">
        <f t="shared" si="4"/>
        <v>1</v>
      </c>
      <c r="O8" s="262"/>
      <c r="P8" s="16"/>
      <c r="Q8" s="300"/>
      <c r="R8" s="319" t="str">
        <f>"G) " &amp; IF($S8=0,"",ROUND($S8,2) &amp; "-" &amp; ROUND($T8/$D$9,2))</f>
        <v xml:space="preserve">G) </v>
      </c>
      <c r="S8" s="291"/>
      <c r="T8" s="291"/>
      <c r="V8" s="126"/>
      <c r="W8" s="126"/>
      <c r="X8" s="118" t="s">
        <v>162</v>
      </c>
      <c r="Y8" s="118" t="s">
        <v>162</v>
      </c>
      <c r="Z8" s="118" t="s">
        <v>162</v>
      </c>
      <c r="AA8" s="118" t="s">
        <v>162</v>
      </c>
      <c r="AB8" s="118" t="s">
        <v>162</v>
      </c>
      <c r="AC8" s="118" t="s">
        <v>162</v>
      </c>
      <c r="AD8" s="118" t="s">
        <v>162</v>
      </c>
    </row>
    <row r="9" spans="1:30" ht="13.8">
      <c r="A9" s="442"/>
      <c r="B9" s="452" t="s">
        <v>229</v>
      </c>
      <c r="C9" s="370">
        <f t="shared" si="6"/>
        <v>1</v>
      </c>
      <c r="D9" s="501">
        <v>28.832999999999998</v>
      </c>
      <c r="E9" s="125" t="s">
        <v>835</v>
      </c>
      <c r="F9" s="349"/>
      <c r="G9" s="448" t="b">
        <v>1</v>
      </c>
      <c r="I9" s="261">
        <v>9</v>
      </c>
      <c r="J9" s="262">
        <f t="shared" si="0"/>
        <v>1</v>
      </c>
      <c r="K9" s="262">
        <f t="shared" si="1"/>
        <v>1</v>
      </c>
      <c r="L9" s="262">
        <f t="shared" si="2"/>
        <v>1</v>
      </c>
      <c r="M9" s="262">
        <f t="shared" si="3"/>
        <v>1</v>
      </c>
      <c r="N9" s="262">
        <f t="shared" si="4"/>
        <v>1</v>
      </c>
      <c r="O9" s="262"/>
      <c r="P9" s="16"/>
      <c r="Q9" s="300"/>
      <c r="R9" s="320" t="str">
        <f>"H) " &amp; IF($S9=0,"",ROUND($S9,2) &amp; "-" &amp; ROUND($T9/$D$9,2))</f>
        <v xml:space="preserve">H) </v>
      </c>
      <c r="S9" s="291"/>
      <c r="T9" s="291"/>
      <c r="V9" s="126"/>
      <c r="W9" s="126"/>
      <c r="X9" s="118" t="s">
        <v>162</v>
      </c>
      <c r="Y9" s="118" t="s">
        <v>162</v>
      </c>
      <c r="Z9" s="118" t="s">
        <v>162</v>
      </c>
      <c r="AA9" s="118" t="s">
        <v>162</v>
      </c>
      <c r="AB9" s="118" t="s">
        <v>162</v>
      </c>
      <c r="AC9" s="118" t="s">
        <v>162</v>
      </c>
      <c r="AD9" s="118" t="s">
        <v>162</v>
      </c>
    </row>
    <row r="10" spans="1:30" ht="13.8">
      <c r="A10" s="442"/>
      <c r="B10" s="453"/>
      <c r="C10" s="370">
        <f t="shared" si="6"/>
        <v>1</v>
      </c>
      <c r="D10" s="905">
        <v>33</v>
      </c>
      <c r="E10" s="906" t="s">
        <v>844</v>
      </c>
      <c r="F10" s="349"/>
      <c r="G10" s="448" t="b">
        <v>1</v>
      </c>
      <c r="I10" s="261">
        <v>10</v>
      </c>
      <c r="J10" s="262">
        <f t="shared" si="0"/>
        <v>1</v>
      </c>
      <c r="K10" s="262">
        <f t="shared" si="1"/>
        <v>1</v>
      </c>
      <c r="L10" s="262">
        <f t="shared" si="2"/>
        <v>1</v>
      </c>
      <c r="M10" s="262">
        <f t="shared" si="3"/>
        <v>1</v>
      </c>
      <c r="N10" s="262">
        <f>$Q158</f>
        <v>1</v>
      </c>
      <c r="O10" s="262">
        <f>Q108</f>
        <v>1</v>
      </c>
      <c r="P10" s="16"/>
      <c r="Q10" s="300"/>
      <c r="R10" s="321" t="str">
        <f>" I) " &amp; IF($S10=0,"",ROUND($S10,2) &amp; "-" &amp; ROUND($T10/$D$9,2))</f>
        <v xml:space="preserve"> I) </v>
      </c>
      <c r="S10" s="291"/>
      <c r="T10" s="291"/>
      <c r="V10" s="126"/>
      <c r="W10" s="126"/>
      <c r="X10" s="118" t="s">
        <v>162</v>
      </c>
      <c r="Y10" s="118" t="s">
        <v>162</v>
      </c>
      <c r="Z10" s="118" t="s">
        <v>162</v>
      </c>
      <c r="AA10" s="118" t="s">
        <v>162</v>
      </c>
      <c r="AB10" s="118" t="s">
        <v>162</v>
      </c>
      <c r="AC10" s="118" t="s">
        <v>162</v>
      </c>
      <c r="AD10" s="118" t="s">
        <v>162</v>
      </c>
    </row>
    <row r="11" spans="1:30" ht="14.4">
      <c r="A11" s="443"/>
      <c r="B11" s="454"/>
      <c r="C11" s="370">
        <f t="shared" si="6"/>
        <v>1</v>
      </c>
      <c r="D11" s="905">
        <v>30</v>
      </c>
      <c r="E11" s="906" t="s">
        <v>843</v>
      </c>
      <c r="F11" s="444"/>
      <c r="H11"/>
      <c r="I11" s="263"/>
      <c r="J11" s="263"/>
      <c r="K11" s="263"/>
      <c r="L11" s="263"/>
      <c r="M11" s="263"/>
      <c r="N11" s="263"/>
      <c r="O11" s="263"/>
      <c r="P11" s="124"/>
      <c r="Q11" s="300"/>
      <c r="R11" s="322" t="str">
        <f>"J) " &amp; IF($S11=0,"",ROUND($S11,2) &amp; "-" &amp; ROUND($T11/$D$9,2))</f>
        <v xml:space="preserve">J) </v>
      </c>
      <c r="S11" s="291"/>
      <c r="T11" s="291"/>
      <c r="X11" s="118" t="s">
        <v>162</v>
      </c>
      <c r="Y11" s="118" t="s">
        <v>162</v>
      </c>
      <c r="Z11" s="118" t="s">
        <v>162</v>
      </c>
      <c r="AA11" s="118" t="s">
        <v>162</v>
      </c>
      <c r="AB11" s="118" t="s">
        <v>162</v>
      </c>
      <c r="AC11" s="118" t="s">
        <v>162</v>
      </c>
      <c r="AD11" s="118" t="s">
        <v>162</v>
      </c>
    </row>
    <row r="12" spans="1:30" ht="12.75" customHeight="1" thickBot="1">
      <c r="A12" s="440"/>
      <c r="B12"/>
      <c r="C12" s="370">
        <f t="shared" si="6"/>
        <v>1</v>
      </c>
      <c r="F12" s="350"/>
      <c r="G12" s="276" t="s">
        <v>29</v>
      </c>
      <c r="H12" s="276" t="s">
        <v>29</v>
      </c>
      <c r="I12" s="276" t="s">
        <v>29</v>
      </c>
      <c r="J12" s="276" t="s">
        <v>29</v>
      </c>
      <c r="K12" s="276" t="s">
        <v>29</v>
      </c>
      <c r="L12" s="276" t="s">
        <v>29</v>
      </c>
      <c r="M12" s="276" t="s">
        <v>29</v>
      </c>
      <c r="N12" s="276" t="s">
        <v>29</v>
      </c>
      <c r="O12" s="276" t="s">
        <v>29</v>
      </c>
      <c r="P12" s="276" t="s">
        <v>29</v>
      </c>
      <c r="Q12" s="387"/>
      <c r="R12" s="354" t="s">
        <v>198</v>
      </c>
      <c r="S12" s="421" t="s">
        <v>31</v>
      </c>
      <c r="T12" s="422" t="s">
        <v>32</v>
      </c>
      <c r="X12" s="118" t="s">
        <v>162</v>
      </c>
      <c r="Y12" s="118" t="s">
        <v>162</v>
      </c>
      <c r="Z12" s="118" t="s">
        <v>162</v>
      </c>
      <c r="AA12" s="118" t="s">
        <v>162</v>
      </c>
      <c r="AB12" s="118" t="s">
        <v>162</v>
      </c>
      <c r="AC12" s="118" t="s">
        <v>162</v>
      </c>
      <c r="AD12" s="118" t="s">
        <v>162</v>
      </c>
    </row>
    <row r="13" spans="1:30" ht="17.25" customHeight="1" thickBot="1">
      <c r="A13" s="381"/>
      <c r="B13" s="382" t="s">
        <v>205</v>
      </c>
      <c r="C13" s="383"/>
      <c r="D13" s="384"/>
      <c r="E13" s="385"/>
      <c r="F13" s="386"/>
      <c r="G13" s="307" t="s">
        <v>188</v>
      </c>
      <c r="H13" s="308" t="s">
        <v>189</v>
      </c>
      <c r="I13" s="309" t="s">
        <v>21</v>
      </c>
      <c r="J13" s="309" t="s">
        <v>22</v>
      </c>
      <c r="K13" s="310" t="s">
        <v>23</v>
      </c>
      <c r="L13" s="307" t="s">
        <v>24</v>
      </c>
      <c r="M13" s="307" t="s">
        <v>25</v>
      </c>
      <c r="N13" s="308" t="s">
        <v>190</v>
      </c>
      <c r="O13" s="307" t="s">
        <v>27</v>
      </c>
      <c r="P13" s="311" t="s">
        <v>28</v>
      </c>
      <c r="Q13" s="379" t="s">
        <v>186</v>
      </c>
      <c r="R13" s="355" t="s">
        <v>199</v>
      </c>
      <c r="S13" s="423" t="s">
        <v>224</v>
      </c>
      <c r="T13" s="455">
        <f>SUM(Q108:Q164)/57</f>
        <v>1</v>
      </c>
      <c r="X13" s="118"/>
      <c r="Y13" s="118"/>
      <c r="Z13" s="118"/>
      <c r="AA13" s="118"/>
      <c r="AB13" s="118"/>
      <c r="AC13" s="118"/>
      <c r="AD13" s="118"/>
    </row>
    <row r="14" spans="1:30" ht="27.75" customHeight="1">
      <c r="A14" s="127"/>
      <c r="B14" s="1021" t="str">
        <f>IF($D$6&lt;&gt;"VAT EXCL.", "QUOTE ISSUED WITH                    VAT INCLUDED", "")</f>
        <v/>
      </c>
      <c r="C14" s="1021"/>
      <c r="D14" s="1021"/>
      <c r="E14" s="1021"/>
      <c r="F14" s="7"/>
      <c r="G14" s="7"/>
      <c r="H14" s="7"/>
      <c r="I14" s="7"/>
      <c r="J14" s="7"/>
      <c r="K14" s="7"/>
      <c r="L14" s="7"/>
      <c r="M14" s="7"/>
      <c r="N14" s="7"/>
      <c r="O14" s="7"/>
      <c r="P14" s="7"/>
      <c r="Q14" s="7"/>
      <c r="R14" s="130"/>
      <c r="S14"/>
      <c r="T14" s="131"/>
      <c r="X14" s="118" t="s">
        <v>162</v>
      </c>
      <c r="Y14" s="118" t="s">
        <v>162</v>
      </c>
      <c r="Z14" s="118" t="s">
        <v>162</v>
      </c>
      <c r="AA14" s="118" t="s">
        <v>162</v>
      </c>
      <c r="AB14" s="118" t="s">
        <v>162</v>
      </c>
      <c r="AC14" s="118" t="s">
        <v>162</v>
      </c>
      <c r="AD14" s="118" t="s">
        <v>162</v>
      </c>
    </row>
    <row r="15" spans="1:30" ht="14.25" customHeight="1">
      <c r="A15" s="299"/>
      <c r="B15" s="1021"/>
      <c r="C15" s="1021"/>
      <c r="D15" s="1021"/>
      <c r="E15" s="1021"/>
      <c r="F15" s="299"/>
      <c r="G15" s="299"/>
      <c r="H15" s="299"/>
      <c r="I15" s="299"/>
      <c r="J15" s="299"/>
      <c r="K15" s="299"/>
      <c r="L15" s="299"/>
      <c r="M15" s="299"/>
      <c r="N15" s="299"/>
      <c r="O15" s="299"/>
      <c r="P15" s="299"/>
      <c r="Q15" s="398">
        <f ca="1">(C72-F35)/C72</f>
        <v>0</v>
      </c>
      <c r="R15" s="286" t="s">
        <v>203</v>
      </c>
      <c r="S15" s="284"/>
      <c r="T15" s="285"/>
      <c r="X15" s="118" t="s">
        <v>162</v>
      </c>
      <c r="Y15" s="118" t="s">
        <v>162</v>
      </c>
      <c r="Z15" s="118" t="s">
        <v>162</v>
      </c>
      <c r="AA15" s="118" t="s">
        <v>162</v>
      </c>
      <c r="AB15" s="118" t="s">
        <v>162</v>
      </c>
      <c r="AC15" s="118" t="s">
        <v>162</v>
      </c>
      <c r="AD15" s="118" t="s">
        <v>162</v>
      </c>
    </row>
    <row r="16" spans="1:30" ht="13.5" customHeight="1">
      <c r="A16" s="127"/>
      <c r="B16" s="1020" t="str">
        <f>IF($W$1&lt;&gt;"BOQ", "DIFF SET TO " &amp; W1,"")</f>
        <v/>
      </c>
      <c r="C16" s="1020"/>
      <c r="D16" s="1020"/>
      <c r="E16" s="1020"/>
      <c r="F16" s="125"/>
      <c r="G16" s="125"/>
      <c r="H16" s="125"/>
      <c r="I16" s="125"/>
      <c r="J16" s="125"/>
      <c r="K16" s="125"/>
      <c r="L16" s="125"/>
      <c r="M16" s="125"/>
      <c r="N16" s="125"/>
      <c r="O16" s="125"/>
      <c r="P16" s="125"/>
      <c r="Q16" s="399">
        <f ca="1">(F35-E35)/F35</f>
        <v>0</v>
      </c>
      <c r="R16" s="292" t="s">
        <v>204</v>
      </c>
      <c r="S16" s="293"/>
      <c r="T16" s="294"/>
      <c r="X16" s="118" t="s">
        <v>162</v>
      </c>
      <c r="Y16" s="118" t="s">
        <v>162</v>
      </c>
      <c r="Z16" s="118" t="s">
        <v>162</v>
      </c>
      <c r="AA16" s="118" t="s">
        <v>162</v>
      </c>
      <c r="AB16" s="118" t="s">
        <v>162</v>
      </c>
      <c r="AC16" s="118" t="s">
        <v>162</v>
      </c>
      <c r="AD16" s="118" t="s">
        <v>162</v>
      </c>
    </row>
    <row r="17" spans="1:24" ht="13.5" customHeight="1">
      <c r="B17" s="1020"/>
      <c r="C17" s="1020"/>
      <c r="D17" s="1020"/>
      <c r="E17" s="1020"/>
      <c r="G17" s="8"/>
      <c r="H17" s="8"/>
      <c r="I17" s="8"/>
      <c r="J17" s="8"/>
      <c r="K17" s="8"/>
      <c r="L17" s="8"/>
      <c r="M17" s="8"/>
      <c r="N17" s="8"/>
      <c r="O17" s="8"/>
      <c r="P17" s="8"/>
      <c r="Q17" s="400">
        <f ca="1">F74</f>
        <v>0</v>
      </c>
      <c r="R17" s="295" t="s">
        <v>201</v>
      </c>
      <c r="S17" s="296"/>
      <c r="T17" s="338"/>
    </row>
    <row r="18" spans="1:24" ht="18.75" customHeight="1">
      <c r="A18" s="358"/>
      <c r="B18" s="1004" t="str">
        <f>IF(AND(G1,G2,G3,G4,G5,G6,G7,G8,G9,G10,H1)=TRUE, "", "CHECKLIST INCOMPLETE !" )</f>
        <v/>
      </c>
      <c r="C18" s="1004"/>
      <c r="D18" s="1004"/>
      <c r="E18" s="1004"/>
      <c r="F18" s="358"/>
      <c r="G18"/>
      <c r="H18"/>
      <c r="I18"/>
      <c r="J18"/>
      <c r="K18"/>
      <c r="L18"/>
      <c r="M18"/>
      <c r="N18"/>
      <c r="O18"/>
      <c r="P18"/>
      <c r="Q18" s="1016"/>
      <c r="R18" s="1016"/>
      <c r="S18" s="1016"/>
      <c r="T18" s="1016"/>
    </row>
    <row r="19" spans="1:24" ht="18" customHeight="1">
      <c r="B19" s="1017" t="str">
        <f ca="1">IF(ABS(SUM(A23:A32))&gt;100,"[Discy A-J] are high, Check it out."," ")</f>
        <v xml:space="preserve"> </v>
      </c>
      <c r="C19" s="1017"/>
      <c r="D19" s="1017"/>
      <c r="E19" s="1017"/>
      <c r="G19"/>
      <c r="H19"/>
      <c r="I19"/>
      <c r="J19"/>
      <c r="K19"/>
      <c r="L19"/>
      <c r="M19"/>
      <c r="N19"/>
      <c r="O19"/>
      <c r="P19"/>
      <c r="Q19" s="401">
        <f ca="1">R83</f>
        <v>1.0040924027799367</v>
      </c>
      <c r="R19" s="295" t="s">
        <v>202</v>
      </c>
      <c r="S19" s="365"/>
      <c r="T19" s="366"/>
    </row>
    <row r="20" spans="1:24" ht="12.75" customHeight="1">
      <c r="A20" s="445"/>
      <c r="B20" s="445"/>
      <c r="C20" s="445"/>
      <c r="D20" s="445"/>
      <c r="E20" s="445"/>
      <c r="F20"/>
      <c r="G20"/>
      <c r="H20"/>
      <c r="I20"/>
      <c r="J20"/>
      <c r="K20"/>
      <c r="L20"/>
      <c r="M20"/>
      <c r="N20"/>
      <c r="O20"/>
      <c r="P20"/>
      <c r="Q20"/>
      <c r="R20"/>
      <c r="S20"/>
      <c r="T20"/>
    </row>
    <row r="21" spans="1:24" ht="13.8">
      <c r="A21"/>
      <c r="B21" s="133"/>
      <c r="C21" s="134"/>
      <c r="D21" s="287"/>
      <c r="E21" s="297" t="s">
        <v>182</v>
      </c>
      <c r="F21" s="278" t="s">
        <v>33</v>
      </c>
      <c r="G21" s="70"/>
      <c r="H21" s="70"/>
      <c r="I21" s="70"/>
      <c r="J21" s="70"/>
      <c r="K21" s="70"/>
      <c r="L21" s="70"/>
      <c r="M21" s="70"/>
      <c r="N21" s="70"/>
      <c r="O21" s="70"/>
      <c r="P21" s="70"/>
      <c r="Q21" s="288" t="s">
        <v>184</v>
      </c>
      <c r="R21" s="278" t="s">
        <v>34</v>
      </c>
      <c r="S21" s="70"/>
      <c r="T21" s="278" t="s">
        <v>35</v>
      </c>
      <c r="V21"/>
      <c r="W21"/>
      <c r="X21"/>
    </row>
    <row r="22" spans="1:24">
      <c r="A22" s="352" t="s">
        <v>193</v>
      </c>
      <c r="B22" s="312" t="s">
        <v>185</v>
      </c>
      <c r="C22"/>
      <c r="D22" s="287"/>
      <c r="E22" s="298" t="str">
        <f>"SELLING  " &amp; $Q$1</f>
        <v>SELLING  €</v>
      </c>
      <c r="F22" s="407" t="str">
        <f>$Q$1</f>
        <v>€</v>
      </c>
      <c r="G22" s="280" t="s">
        <v>236</v>
      </c>
      <c r="H22" s="492" t="s">
        <v>233</v>
      </c>
      <c r="I22" s="492" t="s">
        <v>234</v>
      </c>
      <c r="J22" s="493" t="s">
        <v>235</v>
      </c>
      <c r="K22" s="280"/>
      <c r="L22" s="280"/>
      <c r="M22" s="280"/>
      <c r="N22" s="280"/>
      <c r="O22" s="280"/>
      <c r="P22" s="280"/>
      <c r="Q22" s="289" t="s">
        <v>183</v>
      </c>
      <c r="R22" s="281" t="s">
        <v>218</v>
      </c>
      <c r="S22" s="280"/>
      <c r="T22" s="279" t="s">
        <v>219</v>
      </c>
      <c r="V22"/>
      <c r="W22"/>
      <c r="X22"/>
    </row>
    <row r="23" spans="1:24">
      <c r="A23" s="367">
        <f ca="1">IF($F23=0,"",($F23/$C2)-($R23*$S2+$T23*$T2))</f>
        <v>7.2255332784152415E-2</v>
      </c>
      <c r="B23" s="313" t="str">
        <f ca="1">IF(F23=0,"",IF(R23=0,"A) "&amp;"---,    "&amp;ROUND(($F23/$C2-($R23*$S2))/$T23,2),IF(T23=0,"A) "&amp;ROUND(($F23/$C2)/$R23,2),"A) "&amp;ROUND(($F23/$C2-($T23*$T2))/$R23,2)&amp;", "
&amp;ROUND(($F23/$C2-($R23*$S2))/$T23,2))))</f>
        <v>A) 1, 28.83</v>
      </c>
      <c r="C23"/>
      <c r="D23" s="351" t="str">
        <f>IF($F2="","",$F2)</f>
        <v>Electrical</v>
      </c>
      <c r="E23" s="458">
        <f ca="1">F23*(1-Q23)</f>
        <v>4683.3999999999969</v>
      </c>
      <c r="F23" s="457">
        <f ca="1">Elec_Est!F808</f>
        <v>4683.3999999999969</v>
      </c>
      <c r="G23" s="268">
        <f>C2</f>
        <v>1</v>
      </c>
      <c r="H23" s="353">
        <f>$S2</f>
        <v>1</v>
      </c>
      <c r="I23" s="353">
        <f>$T2</f>
        <v>28.832999999999998</v>
      </c>
      <c r="J23" s="268">
        <f>$D$9</f>
        <v>28.832999999999998</v>
      </c>
      <c r="K23" s="268"/>
      <c r="L23" s="268"/>
      <c r="M23" s="268"/>
      <c r="N23" s="268"/>
      <c r="O23" s="268"/>
      <c r="P23" s="268"/>
      <c r="Q23" s="290"/>
      <c r="R23" s="457">
        <f ca="1">Elec_Est!R808</f>
        <v>1979.8908819672124</v>
      </c>
      <c r="S23" s="268"/>
      <c r="T23" s="457">
        <f ca="1">Elec_Est!T808</f>
        <v>93.76190000000004</v>
      </c>
      <c r="V23"/>
      <c r="W23"/>
      <c r="X23"/>
    </row>
    <row r="24" spans="1:24">
      <c r="A24" s="368">
        <f t="shared" ref="A24:A32" si="7">IF($F24=0,"",($F24/$C3)-($R24*$S3+$T24*$T3))</f>
        <v>1.999999999998181E-2</v>
      </c>
      <c r="B24" s="314" t="str">
        <f t="shared" ref="B24:B32" si="8">IF(F24=0,"",IF(R24=0,"A) "&amp;"---,    "&amp;ROUND(($F24/$C3-($R24*$S3))/$T24,2),IF(T24=0,"A) "&amp;ROUND(($F24/$C3)/$R24,2),"A) "&amp;ROUND(($F24/$C3-($T24*$T3))/$R24,2)&amp;", "
&amp;ROUND(($F24/$C3-($R24*$S3))/$T24,2))))</f>
        <v>A) 1, 33</v>
      </c>
      <c r="C24"/>
      <c r="D24" s="351" t="str">
        <f t="shared" ref="D24:D32" si="9">IF($F3="","",$F3)</f>
        <v>Controls Section (Guy)</v>
      </c>
      <c r="E24" s="458">
        <f t="shared" ref="E24:E32" si="10">F24*(1-Q24)</f>
        <v>1071.5999999999999</v>
      </c>
      <c r="F24" s="457">
        <f>Elec_Est!F809</f>
        <v>1071.5999999999999</v>
      </c>
      <c r="G24" s="268">
        <f t="shared" ref="G24:G32" si="11">C3</f>
        <v>1</v>
      </c>
      <c r="H24" s="353">
        <f t="shared" ref="H24:H32" si="12">$S3</f>
        <v>1</v>
      </c>
      <c r="I24" s="353">
        <f t="shared" ref="I24:I32" si="13">$T3</f>
        <v>33</v>
      </c>
      <c r="J24" s="268">
        <f t="shared" ref="J24:J32" si="14">$D$9</f>
        <v>28.832999999999998</v>
      </c>
      <c r="K24" s="268"/>
      <c r="L24" s="268"/>
      <c r="M24" s="268"/>
      <c r="N24" s="268"/>
      <c r="O24" s="268"/>
      <c r="P24" s="268"/>
      <c r="Q24" s="290"/>
      <c r="R24" s="457">
        <f>Elec_Est!R809</f>
        <v>923.07999999999993</v>
      </c>
      <c r="S24" s="268"/>
      <c r="T24" s="457">
        <f>Elec_Est!T809</f>
        <v>4.5</v>
      </c>
      <c r="V24"/>
      <c r="W24"/>
      <c r="X24"/>
    </row>
    <row r="25" spans="1:24">
      <c r="A25" s="368">
        <f t="shared" ca="1" si="7"/>
        <v>0</v>
      </c>
      <c r="B25" s="315" t="str">
        <f t="shared" ca="1" si="8"/>
        <v>A) ---,    30</v>
      </c>
      <c r="C25"/>
      <c r="D25" s="351" t="str">
        <f t="shared" si="9"/>
        <v>Controls Section (Engineer)</v>
      </c>
      <c r="E25" s="458">
        <f t="shared" ca="1" si="10"/>
        <v>120</v>
      </c>
      <c r="F25" s="457">
        <f ca="1">Elec_Est!F810</f>
        <v>120</v>
      </c>
      <c r="G25" s="268">
        <f t="shared" si="11"/>
        <v>1</v>
      </c>
      <c r="H25" s="353">
        <f t="shared" si="12"/>
        <v>1</v>
      </c>
      <c r="I25" s="353">
        <f t="shared" si="13"/>
        <v>30</v>
      </c>
      <c r="J25" s="268">
        <f t="shared" si="14"/>
        <v>28.832999999999998</v>
      </c>
      <c r="K25" s="268"/>
      <c r="L25" s="268"/>
      <c r="M25" s="268"/>
      <c r="N25" s="268"/>
      <c r="O25" s="268"/>
      <c r="P25" s="268"/>
      <c r="Q25" s="290"/>
      <c r="R25" s="457">
        <f>Elec_Est!R810</f>
        <v>0</v>
      </c>
      <c r="S25" s="268"/>
      <c r="T25" s="457">
        <f>Elec_Est!T810</f>
        <v>4</v>
      </c>
      <c r="V25"/>
      <c r="W25"/>
      <c r="X25"/>
    </row>
    <row r="26" spans="1:24">
      <c r="A26" s="368">
        <f t="shared" si="7"/>
        <v>0</v>
      </c>
      <c r="B26" s="316" t="str">
        <f t="shared" si="8"/>
        <v>A) 1</v>
      </c>
      <c r="C26"/>
      <c r="D26" s="351" t="str">
        <f t="shared" si="9"/>
        <v>Fire Alarm (Josef)</v>
      </c>
      <c r="E26" s="458">
        <f t="shared" si="10"/>
        <v>238.45999999999998</v>
      </c>
      <c r="F26" s="457">
        <f>Elec_Est!F811</f>
        <v>238.45999999999998</v>
      </c>
      <c r="G26" s="268">
        <f t="shared" si="11"/>
        <v>1</v>
      </c>
      <c r="H26" s="353">
        <f t="shared" si="12"/>
        <v>1</v>
      </c>
      <c r="I26" s="353">
        <f t="shared" si="13"/>
        <v>28.832999999999998</v>
      </c>
      <c r="J26" s="268">
        <f t="shared" si="14"/>
        <v>28.832999999999998</v>
      </c>
      <c r="K26" s="268"/>
      <c r="L26" s="268"/>
      <c r="M26" s="268"/>
      <c r="N26" s="268"/>
      <c r="O26" s="268"/>
      <c r="P26" s="268"/>
      <c r="Q26" s="290"/>
      <c r="R26" s="457">
        <f>Elec_Est!R811</f>
        <v>238.45999999999998</v>
      </c>
      <c r="S26" s="268"/>
      <c r="T26" s="457">
        <f>Elec_Est!T811</f>
        <v>0</v>
      </c>
      <c r="V26"/>
      <c r="W26"/>
      <c r="X26"/>
    </row>
    <row r="27" spans="1:24">
      <c r="A27" s="368" t="str">
        <f t="shared" si="7"/>
        <v/>
      </c>
      <c r="B27" s="317" t="str">
        <f t="shared" si="8"/>
        <v/>
      </c>
      <c r="C27"/>
      <c r="D27" s="351" t="str">
        <f t="shared" si="9"/>
        <v/>
      </c>
      <c r="E27" s="458">
        <f t="shared" si="10"/>
        <v>0</v>
      </c>
      <c r="F27" s="457">
        <f>Elec_Est!F812</f>
        <v>0</v>
      </c>
      <c r="G27" s="268">
        <f t="shared" si="11"/>
        <v>1</v>
      </c>
      <c r="H27" s="353">
        <f t="shared" si="12"/>
        <v>0</v>
      </c>
      <c r="I27" s="353">
        <f t="shared" si="13"/>
        <v>0</v>
      </c>
      <c r="J27" s="268">
        <f t="shared" si="14"/>
        <v>28.832999999999998</v>
      </c>
      <c r="K27" s="268"/>
      <c r="L27" s="268"/>
      <c r="M27" s="268"/>
      <c r="N27" s="268"/>
      <c r="O27" s="268"/>
      <c r="P27" s="268"/>
      <c r="Q27" s="290"/>
      <c r="R27" s="457">
        <f>Elec_Est!R812</f>
        <v>0</v>
      </c>
      <c r="S27" s="268"/>
      <c r="T27" s="457">
        <f>Elec_Est!T812</f>
        <v>0</v>
      </c>
      <c r="V27"/>
      <c r="W27"/>
      <c r="X27"/>
    </row>
    <row r="28" spans="1:24">
      <c r="A28" s="368" t="str">
        <f t="shared" si="7"/>
        <v/>
      </c>
      <c r="B28" s="318" t="str">
        <f t="shared" si="8"/>
        <v/>
      </c>
      <c r="C28"/>
      <c r="D28" s="351" t="str">
        <f t="shared" si="9"/>
        <v/>
      </c>
      <c r="E28" s="458">
        <f t="shared" si="10"/>
        <v>0</v>
      </c>
      <c r="F28" s="457">
        <f>Elec_Est!F813</f>
        <v>0</v>
      </c>
      <c r="G28" s="268">
        <f t="shared" si="11"/>
        <v>1</v>
      </c>
      <c r="H28" s="353">
        <f t="shared" si="12"/>
        <v>0</v>
      </c>
      <c r="I28" s="353">
        <f t="shared" si="13"/>
        <v>0</v>
      </c>
      <c r="J28" s="268">
        <f t="shared" si="14"/>
        <v>28.832999999999998</v>
      </c>
      <c r="K28" s="268"/>
      <c r="L28" s="268"/>
      <c r="M28" s="268"/>
      <c r="N28" s="268"/>
      <c r="O28" s="268"/>
      <c r="P28" s="268"/>
      <c r="Q28" s="290"/>
      <c r="R28" s="457">
        <f>Elec_Est!R813</f>
        <v>0</v>
      </c>
      <c r="S28" s="268"/>
      <c r="T28" s="457">
        <f>Elec_Est!T813</f>
        <v>0</v>
      </c>
      <c r="V28"/>
      <c r="W28"/>
      <c r="X28"/>
    </row>
    <row r="29" spans="1:24">
      <c r="A29" s="368" t="str">
        <f t="shared" si="7"/>
        <v/>
      </c>
      <c r="B29" s="319" t="str">
        <f t="shared" si="8"/>
        <v/>
      </c>
      <c r="C29"/>
      <c r="D29" s="351" t="str">
        <f t="shared" si="9"/>
        <v/>
      </c>
      <c r="E29" s="458">
        <f t="shared" si="10"/>
        <v>0</v>
      </c>
      <c r="F29" s="457">
        <f>Elec_Est!F814</f>
        <v>0</v>
      </c>
      <c r="G29" s="268">
        <f t="shared" si="11"/>
        <v>1</v>
      </c>
      <c r="H29" s="353">
        <f t="shared" si="12"/>
        <v>0</v>
      </c>
      <c r="I29" s="353">
        <f t="shared" si="13"/>
        <v>0</v>
      </c>
      <c r="J29" s="268">
        <f t="shared" si="14"/>
        <v>28.832999999999998</v>
      </c>
      <c r="K29" s="268"/>
      <c r="L29" s="268"/>
      <c r="M29" s="268"/>
      <c r="N29" s="268"/>
      <c r="O29" s="268"/>
      <c r="P29" s="268"/>
      <c r="Q29" s="290"/>
      <c r="R29" s="457">
        <f>Elec_Est!R814</f>
        <v>0</v>
      </c>
      <c r="S29" s="268"/>
      <c r="T29" s="457">
        <f>Elec_Est!T814</f>
        <v>0</v>
      </c>
      <c r="V29"/>
      <c r="W29"/>
      <c r="X29"/>
    </row>
    <row r="30" spans="1:24">
      <c r="A30" s="368" t="str">
        <f t="shared" si="7"/>
        <v/>
      </c>
      <c r="B30" s="320" t="str">
        <f t="shared" si="8"/>
        <v/>
      </c>
      <c r="C30"/>
      <c r="D30" s="351" t="str">
        <f t="shared" si="9"/>
        <v/>
      </c>
      <c r="E30" s="458">
        <f t="shared" si="10"/>
        <v>0</v>
      </c>
      <c r="F30" s="457">
        <f>Elec_Est!F815</f>
        <v>0</v>
      </c>
      <c r="G30" s="268">
        <f t="shared" si="11"/>
        <v>1</v>
      </c>
      <c r="H30" s="353">
        <f t="shared" si="12"/>
        <v>0</v>
      </c>
      <c r="I30" s="353">
        <f t="shared" si="13"/>
        <v>0</v>
      </c>
      <c r="J30" s="268">
        <f t="shared" si="14"/>
        <v>28.832999999999998</v>
      </c>
      <c r="K30" s="268"/>
      <c r="L30" s="268"/>
      <c r="M30" s="268"/>
      <c r="N30" s="268"/>
      <c r="O30" s="268"/>
      <c r="P30" s="268"/>
      <c r="Q30" s="290"/>
      <c r="R30" s="457">
        <f>Elec_Est!R815</f>
        <v>0</v>
      </c>
      <c r="S30" s="268"/>
      <c r="T30" s="457">
        <f>Elec_Est!T815</f>
        <v>0</v>
      </c>
      <c r="V30"/>
      <c r="W30"/>
      <c r="X30"/>
    </row>
    <row r="31" spans="1:24">
      <c r="A31" s="368" t="str">
        <f t="shared" si="7"/>
        <v/>
      </c>
      <c r="B31" s="321" t="str">
        <f t="shared" si="8"/>
        <v/>
      </c>
      <c r="C31"/>
      <c r="D31" s="351" t="str">
        <f t="shared" si="9"/>
        <v/>
      </c>
      <c r="E31" s="458">
        <f t="shared" si="10"/>
        <v>0</v>
      </c>
      <c r="F31" s="457">
        <f>Elec_Est!F816</f>
        <v>0</v>
      </c>
      <c r="G31" s="268">
        <f t="shared" si="11"/>
        <v>1</v>
      </c>
      <c r="H31" s="353">
        <f t="shared" si="12"/>
        <v>0</v>
      </c>
      <c r="I31" s="353">
        <f t="shared" si="13"/>
        <v>0</v>
      </c>
      <c r="J31" s="268">
        <f t="shared" si="14"/>
        <v>28.832999999999998</v>
      </c>
      <c r="K31" s="268"/>
      <c r="L31" s="268"/>
      <c r="M31" s="268"/>
      <c r="N31" s="268"/>
      <c r="O31" s="268"/>
      <c r="P31" s="268"/>
      <c r="Q31" s="290"/>
      <c r="R31" s="457">
        <f>Elec_Est!R816</f>
        <v>0</v>
      </c>
      <c r="S31" s="268"/>
      <c r="T31" s="457">
        <f>Elec_Est!T816</f>
        <v>0</v>
      </c>
      <c r="V31"/>
      <c r="W31"/>
      <c r="X31"/>
    </row>
    <row r="32" spans="1:24">
      <c r="A32" s="369" t="str">
        <f t="shared" si="7"/>
        <v/>
      </c>
      <c r="B32" s="424" t="str">
        <f t="shared" si="8"/>
        <v/>
      </c>
      <c r="C32"/>
      <c r="D32" s="351" t="str">
        <f t="shared" si="9"/>
        <v/>
      </c>
      <c r="E32" s="458">
        <f t="shared" si="10"/>
        <v>0</v>
      </c>
      <c r="F32" s="457">
        <f>Elec_Est!F817</f>
        <v>0</v>
      </c>
      <c r="G32" s="268">
        <f t="shared" si="11"/>
        <v>1</v>
      </c>
      <c r="H32" s="353">
        <f t="shared" si="12"/>
        <v>0</v>
      </c>
      <c r="I32" s="353">
        <f t="shared" si="13"/>
        <v>0</v>
      </c>
      <c r="J32" s="268">
        <f t="shared" si="14"/>
        <v>28.832999999999998</v>
      </c>
      <c r="K32" s="268"/>
      <c r="L32" s="268"/>
      <c r="M32" s="268"/>
      <c r="N32" s="268"/>
      <c r="O32" s="268"/>
      <c r="P32" s="268"/>
      <c r="Q32" s="290"/>
      <c r="R32" s="457">
        <f>Elec_Est!R817</f>
        <v>0</v>
      </c>
      <c r="S32" s="268"/>
      <c r="T32" s="457">
        <f>Elec_Est!T817</f>
        <v>0</v>
      </c>
      <c r="V32"/>
      <c r="W32"/>
      <c r="X32"/>
    </row>
    <row r="33" spans="1:24">
      <c r="B33"/>
      <c r="C33" s="328" t="s">
        <v>191</v>
      </c>
      <c r="D33"/>
      <c r="E33"/>
      <c r="F33" s="327"/>
      <c r="G33" s="268"/>
      <c r="H33" s="268"/>
      <c r="I33" s="268"/>
      <c r="J33" s="268"/>
      <c r="K33" s="268"/>
      <c r="L33" s="268"/>
      <c r="M33" s="268"/>
      <c r="N33" s="268"/>
      <c r="O33" s="268"/>
      <c r="P33" s="268"/>
      <c r="R33" s="328"/>
      <c r="S33" s="268"/>
      <c r="T33" s="327"/>
      <c r="V33"/>
      <c r="W33"/>
      <c r="X33"/>
    </row>
    <row r="34" spans="1:24" ht="13.8" thickBot="1">
      <c r="B34" s="36"/>
      <c r="C34"/>
      <c r="R34" s="275"/>
      <c r="S34" s="275"/>
      <c r="T34" s="275"/>
      <c r="V34"/>
      <c r="W34"/>
      <c r="X34"/>
    </row>
    <row r="35" spans="1:24">
      <c r="A35" s="425" t="s">
        <v>194</v>
      </c>
      <c r="B35" s="429">
        <f ca="1">'MUR MEP BOQ'!F416</f>
        <v>6113.4599999999991</v>
      </c>
      <c r="D35" s="778">
        <f ca="1">B35-E35</f>
        <v>0</v>
      </c>
      <c r="E35" s="458">
        <f ca="1">SUM(E23:E32)</f>
        <v>6113.4599999999964</v>
      </c>
      <c r="F35" s="457">
        <f ca="1">SUM(F23:F32)</f>
        <v>6113.4599999999964</v>
      </c>
      <c r="G35" s="269"/>
      <c r="H35" s="269"/>
      <c r="I35" s="269"/>
      <c r="J35" s="269"/>
      <c r="K35" s="269"/>
      <c r="L35" s="269"/>
      <c r="M35" s="269"/>
      <c r="N35" s="269"/>
      <c r="O35" s="269"/>
      <c r="P35" s="269"/>
      <c r="Q35" s="270"/>
      <c r="R35" s="274">
        <f ca="1">SUM(R23:R32)</f>
        <v>3141.4308819672124</v>
      </c>
      <c r="S35" s="271"/>
      <c r="T35" s="274">
        <f ca="1">SUM(T23:T32)</f>
        <v>102.26190000000004</v>
      </c>
      <c r="V35"/>
      <c r="W35"/>
      <c r="X35"/>
    </row>
    <row r="36" spans="1:24" ht="14.4" thickBot="1">
      <c r="A36" s="426" t="str">
        <f xml:space="preserve"> IF(A39=0,"0.00",A39-(A38*A37))</f>
        <v>0.00</v>
      </c>
      <c r="B36" s="428" t="s">
        <v>225</v>
      </c>
      <c r="E36" s="491" t="str">
        <f>"ESTIM TOTAL (" &amp; $Q$1 &amp; ")"</f>
        <v>ESTIM TOTAL (€)</v>
      </c>
      <c r="G36" s="269"/>
      <c r="H36" s="269"/>
      <c r="I36" s="269"/>
      <c r="J36" s="269"/>
      <c r="K36" s="269"/>
      <c r="L36" s="269"/>
      <c r="M36" s="269"/>
      <c r="N36" s="269"/>
      <c r="O36" s="269"/>
      <c r="P36" s="269"/>
      <c r="Q36" s="270"/>
      <c r="V36"/>
      <c r="W36"/>
      <c r="X36"/>
    </row>
    <row r="37" spans="1:24" ht="13.8">
      <c r="A37" s="360">
        <v>1.125</v>
      </c>
      <c r="B37" s="427" t="s">
        <v>215</v>
      </c>
      <c r="C37" s="251"/>
      <c r="D37"/>
      <c r="E37" s="364"/>
      <c r="G37"/>
      <c r="H37"/>
      <c r="I37"/>
      <c r="J37"/>
      <c r="K37"/>
      <c r="L37"/>
      <c r="M37"/>
      <c r="N37"/>
      <c r="O37"/>
      <c r="P37"/>
      <c r="Q37"/>
      <c r="R37" s="409">
        <f ca="1">R165</f>
        <v>3141.3865732644217</v>
      </c>
      <c r="S37" s="410" t="s">
        <v>187</v>
      </c>
      <c r="T37" s="408">
        <f ca="1">T165</f>
        <v>102.21470729720855</v>
      </c>
      <c r="V37"/>
      <c r="W37"/>
      <c r="X37"/>
    </row>
    <row r="38" spans="1:24">
      <c r="A38" s="362"/>
      <c r="B38" s="361" t="s">
        <v>213</v>
      </c>
      <c r="C38"/>
      <c r="D38"/>
      <c r="G38"/>
      <c r="H38"/>
      <c r="I38"/>
      <c r="J38"/>
      <c r="K38"/>
      <c r="L38"/>
      <c r="M38"/>
      <c r="N38"/>
      <c r="O38"/>
      <c r="P38"/>
      <c r="Q38"/>
      <c r="R38"/>
      <c r="S38"/>
      <c r="T38"/>
    </row>
    <row r="39" spans="1:24">
      <c r="A39" s="363"/>
      <c r="B39" s="361" t="s">
        <v>214</v>
      </c>
      <c r="C39"/>
      <c r="D39"/>
      <c r="E39"/>
      <c r="F39"/>
      <c r="G39" s="250"/>
      <c r="H39" s="250"/>
      <c r="I39" s="250"/>
      <c r="J39" s="250"/>
      <c r="K39" s="250"/>
      <c r="L39" s="250"/>
      <c r="M39" s="250"/>
      <c r="N39" s="250"/>
      <c r="O39" s="250"/>
      <c r="P39" s="250"/>
      <c r="Q39" s="359" t="s">
        <v>195</v>
      </c>
      <c r="R39" s="411">
        <f ca="1">R37-R35</f>
        <v>-4.4308702790658572E-2</v>
      </c>
      <c r="S39" s="439" t="s">
        <v>227</v>
      </c>
      <c r="T39" s="412">
        <f ca="1">T37-T35</f>
        <v>-4.719270279149157E-2</v>
      </c>
    </row>
    <row r="40" spans="1:24" ht="14.25" customHeight="1">
      <c r="S40" s="449"/>
    </row>
    <row r="41" spans="1:24">
      <c r="B41" s="413" t="s">
        <v>216</v>
      </c>
      <c r="C41" s="414"/>
      <c r="D41" s="403">
        <v>45978</v>
      </c>
      <c r="E41" s="415">
        <v>6113.4599999999964</v>
      </c>
      <c r="F41" s="415">
        <v>6113.4599999999964</v>
      </c>
      <c r="G41" s="416"/>
      <c r="H41" s="416"/>
      <c r="I41" s="416"/>
      <c r="J41" s="416"/>
      <c r="K41" s="416"/>
      <c r="L41" s="416"/>
      <c r="M41" s="416"/>
      <c r="N41" s="416"/>
      <c r="O41" s="416"/>
      <c r="P41" s="416"/>
      <c r="Q41" s="417"/>
      <c r="R41" s="415">
        <v>3141.4308819672124</v>
      </c>
      <c r="S41" s="417"/>
      <c r="T41" s="415">
        <v>102.26190000000004</v>
      </c>
    </row>
    <row r="42" spans="1:24" ht="13.8">
      <c r="B42" s="402"/>
      <c r="C42"/>
      <c r="D42" s="404"/>
      <c r="E42" s="329"/>
      <c r="F42" s="329"/>
      <c r="G42" s="329"/>
      <c r="H42" s="329"/>
      <c r="I42" s="329"/>
      <c r="J42" s="329"/>
      <c r="K42" s="329"/>
      <c r="L42" s="329"/>
      <c r="M42" s="329"/>
      <c r="N42" s="329"/>
      <c r="O42" s="329"/>
      <c r="P42" s="329"/>
      <c r="Q42" s="329"/>
      <c r="R42" s="329"/>
      <c r="S42" s="329"/>
      <c r="T42" s="329"/>
    </row>
    <row r="43" spans="1:24" ht="13.8">
      <c r="B43" s="402"/>
      <c r="C43"/>
      <c r="D43" s="405" t="s">
        <v>7</v>
      </c>
      <c r="E43" s="329"/>
      <c r="F43" s="329"/>
      <c r="G43" s="329"/>
      <c r="H43" s="329"/>
      <c r="I43" s="329"/>
      <c r="J43" s="329"/>
      <c r="K43" s="329"/>
      <c r="L43" s="329"/>
      <c r="M43" s="329"/>
      <c r="N43" s="329"/>
      <c r="O43" s="329"/>
      <c r="P43" s="329"/>
      <c r="Q43" s="329"/>
      <c r="R43" s="329"/>
      <c r="S43" s="329"/>
      <c r="T43" s="329"/>
    </row>
    <row r="44" spans="1:24">
      <c r="B44" s="252"/>
      <c r="C44" s="253"/>
      <c r="D44" s="253"/>
    </row>
    <row r="45" spans="1:24" s="142" customFormat="1" ht="14.25" customHeight="1">
      <c r="A45" s="138"/>
      <c r="B45" s="139"/>
      <c r="C45" s="136"/>
      <c r="D45" s="136"/>
    </row>
    <row r="46" spans="1:24" s="142" customFormat="1" ht="13.8">
      <c r="A46" s="357" t="s">
        <v>36</v>
      </c>
      <c r="C46" s="36"/>
      <c r="D46" s="36"/>
    </row>
    <row r="47" spans="1:24" s="142" customFormat="1" ht="14.25" customHeight="1">
      <c r="A47" s="1015" t="s">
        <v>200</v>
      </c>
      <c r="B47" s="1015"/>
      <c r="C47" s="1015"/>
      <c r="D47" s="1015"/>
      <c r="E47" s="1015"/>
      <c r="F47" s="1015"/>
      <c r="G47" s="1015"/>
      <c r="H47" s="1015"/>
      <c r="I47" s="1015"/>
      <c r="J47" s="1015"/>
      <c r="K47" s="1015"/>
      <c r="L47" s="1015"/>
      <c r="M47" s="1015"/>
      <c r="N47" s="1015"/>
      <c r="O47" s="1015"/>
      <c r="P47" s="1015"/>
      <c r="Q47" s="1015"/>
      <c r="R47" s="1015"/>
      <c r="S47" s="1015"/>
    </row>
    <row r="48" spans="1:24" s="142" customFormat="1" ht="14.25" customHeight="1">
      <c r="A48" s="1015"/>
      <c r="B48" s="1015"/>
      <c r="C48" s="1015"/>
      <c r="D48" s="1015"/>
      <c r="E48" s="1015"/>
      <c r="F48" s="1015"/>
      <c r="G48" s="1015"/>
      <c r="H48" s="1015"/>
      <c r="I48" s="1015"/>
      <c r="J48" s="1015"/>
      <c r="K48" s="1015"/>
      <c r="L48" s="1015"/>
      <c r="M48" s="1015"/>
      <c r="N48" s="1015"/>
      <c r="O48" s="1015"/>
      <c r="P48" s="1015"/>
      <c r="Q48" s="1015"/>
      <c r="R48" s="1015"/>
      <c r="S48" s="1015"/>
      <c r="T48" s="36"/>
    </row>
    <row r="49" spans="1:20" s="142" customFormat="1" ht="13.8">
      <c r="A49" s="36"/>
      <c r="B49" s="129"/>
      <c r="C49" s="36"/>
      <c r="D49" s="36"/>
      <c r="E49" s="36"/>
      <c r="F49" s="36"/>
      <c r="G49" s="36"/>
      <c r="H49" s="36"/>
      <c r="I49" s="36"/>
      <c r="J49" s="36"/>
      <c r="K49" s="36"/>
      <c r="L49" s="36"/>
      <c r="M49" s="36"/>
      <c r="N49" s="36"/>
      <c r="O49" s="36"/>
      <c r="P49" s="36"/>
      <c r="Q49" s="36"/>
      <c r="R49" s="36"/>
      <c r="S49" s="36"/>
      <c r="T49" s="36"/>
    </row>
    <row r="50" spans="1:20" s="142" customFormat="1" ht="13.5" customHeight="1">
      <c r="A50" s="125"/>
      <c r="B50" s="136"/>
      <c r="C50" s="125"/>
      <c r="D50" s="125"/>
      <c r="E50" s="125"/>
      <c r="F50" s="125"/>
      <c r="G50" s="125"/>
      <c r="H50" s="125"/>
      <c r="I50" s="125"/>
      <c r="J50" s="125"/>
      <c r="K50" s="125"/>
      <c r="L50" s="125"/>
      <c r="M50" s="125"/>
      <c r="N50" s="125"/>
      <c r="O50" s="125"/>
      <c r="P50" s="125"/>
      <c r="Q50" s="125"/>
      <c r="R50" s="125"/>
      <c r="S50" s="125"/>
      <c r="T50" s="125"/>
    </row>
    <row r="51" spans="1:20" s="142" customFormat="1" ht="13.5" customHeight="1" thickBot="1">
      <c r="A51" s="143" t="s">
        <v>37</v>
      </c>
      <c r="B51" s="144"/>
      <c r="C51" s="145"/>
      <c r="D51" s="145" t="str">
        <f>D8</f>
        <v>R.Farrugia</v>
      </c>
      <c r="E51" s="125"/>
      <c r="F51" s="146"/>
      <c r="G51" s="147"/>
      <c r="H51" s="147"/>
      <c r="I51" s="147"/>
      <c r="J51" s="147"/>
      <c r="K51" s="147"/>
      <c r="L51" s="147"/>
      <c r="M51" s="125"/>
      <c r="N51" s="125"/>
      <c r="O51" s="125"/>
      <c r="P51" s="125"/>
      <c r="Q51" s="143" t="s">
        <v>38</v>
      </c>
      <c r="R51" s="145"/>
      <c r="S51" s="145"/>
      <c r="T51" s="145"/>
    </row>
    <row r="52" spans="1:20" s="142" customFormat="1" ht="13.5" customHeight="1" thickTop="1">
      <c r="A52" s="148"/>
      <c r="B52" s="136"/>
      <c r="C52" s="125"/>
      <c r="D52" s="125"/>
      <c r="E52" s="125"/>
      <c r="F52" s="125"/>
      <c r="G52" s="125"/>
      <c r="H52" s="125"/>
      <c r="I52" s="125"/>
      <c r="J52" s="125"/>
      <c r="K52" s="125"/>
      <c r="L52" s="125"/>
      <c r="M52" s="125"/>
      <c r="N52" s="125"/>
      <c r="O52" s="125"/>
      <c r="P52" s="125"/>
      <c r="Q52" s="148"/>
      <c r="R52" s="125"/>
      <c r="S52" s="125"/>
      <c r="T52" s="125"/>
    </row>
    <row r="53" spans="1:20" s="142" customFormat="1" ht="13.5" customHeight="1" thickBot="1">
      <c r="A53" s="149" t="s">
        <v>39</v>
      </c>
      <c r="B53" s="145"/>
      <c r="C53" s="145"/>
      <c r="D53" s="145"/>
      <c r="E53" s="125"/>
      <c r="F53" s="146"/>
      <c r="G53" s="147"/>
      <c r="H53" s="147"/>
      <c r="I53" s="147"/>
      <c r="J53" s="147"/>
      <c r="K53" s="147"/>
      <c r="L53" s="147"/>
      <c r="M53" s="125"/>
      <c r="N53" s="125"/>
      <c r="O53" s="125"/>
      <c r="P53" s="125"/>
      <c r="Q53" s="148" t="s">
        <v>40</v>
      </c>
      <c r="R53" s="125"/>
      <c r="S53" s="145"/>
      <c r="T53" s="145"/>
    </row>
    <row r="54" spans="1:20" s="142" customFormat="1" ht="13.5" customHeight="1" thickTop="1">
      <c r="A54" s="149"/>
      <c r="B54" s="136"/>
      <c r="C54" s="125"/>
      <c r="D54" s="125"/>
      <c r="E54" s="125"/>
      <c r="F54" s="146"/>
      <c r="G54" s="125"/>
      <c r="H54" s="125"/>
      <c r="I54" s="125"/>
      <c r="J54" s="125"/>
      <c r="K54" s="125"/>
      <c r="L54" s="125"/>
      <c r="M54" s="125"/>
      <c r="N54" s="125"/>
      <c r="O54" s="125"/>
      <c r="P54" s="125"/>
      <c r="Q54" s="148"/>
      <c r="R54" s="125"/>
      <c r="S54" s="125"/>
      <c r="T54" s="125"/>
    </row>
    <row r="55" spans="1:20" s="142" customFormat="1" ht="13.5" customHeight="1">
      <c r="A55" s="1014" t="s">
        <v>174</v>
      </c>
      <c r="B55" s="1014"/>
      <c r="C55" s="12"/>
      <c r="D55" s="346" t="str">
        <f ca="1" xml:space="preserve"> CELL("filename")</f>
        <v>K:\est\Sunny Coast Hotel\Estimates\[EL25_0700_Mock_Up_Room_Elec_Estim.xlsx]Material_List</v>
      </c>
      <c r="E55" s="253"/>
      <c r="F55" s="347"/>
      <c r="G55" s="253"/>
      <c r="H55" s="253"/>
      <c r="I55" s="253"/>
      <c r="J55" s="253"/>
      <c r="K55" s="253"/>
      <c r="L55" s="253"/>
      <c r="M55" s="253"/>
      <c r="N55" s="253"/>
      <c r="O55" s="253"/>
      <c r="P55" s="253"/>
      <c r="Q55" s="348"/>
      <c r="R55" s="125"/>
      <c r="S55" s="125"/>
      <c r="T55" s="125"/>
    </row>
    <row r="56" spans="1:20" s="142" customFormat="1" ht="12.75" customHeight="1">
      <c r="A56" s="264"/>
      <c r="B56" s="264"/>
      <c r="C56" s="12"/>
      <c r="D56" s="13"/>
      <c r="E56" s="125"/>
      <c r="F56" s="146"/>
      <c r="G56" s="125"/>
      <c r="H56" s="125"/>
      <c r="I56" s="125"/>
      <c r="J56" s="125"/>
      <c r="K56" s="125"/>
      <c r="L56" s="125"/>
      <c r="M56" s="125"/>
      <c r="N56" s="125"/>
      <c r="O56" s="125"/>
      <c r="P56" s="125"/>
      <c r="Q56" s="148"/>
      <c r="R56" s="125"/>
      <c r="S56" s="125"/>
      <c r="T56" s="125"/>
    </row>
    <row r="57" spans="1:20" ht="21" customHeight="1">
      <c r="B57" s="1007" t="s">
        <v>41</v>
      </c>
      <c r="C57" s="1008"/>
      <c r="D57" s="1008"/>
      <c r="E57" s="1008"/>
      <c r="F57" s="1008"/>
      <c r="G57" s="1008"/>
      <c r="H57" s="1008"/>
      <c r="I57" s="1008"/>
      <c r="J57" s="1008"/>
      <c r="K57" s="1008"/>
      <c r="L57" s="1008"/>
      <c r="M57" s="1008"/>
      <c r="N57" s="1008"/>
      <c r="O57" s="1008"/>
      <c r="P57" s="1008"/>
      <c r="Q57" s="1008"/>
      <c r="R57" s="1008"/>
      <c r="S57" s="1008"/>
      <c r="T57" s="1009"/>
    </row>
    <row r="58" spans="1:20" ht="18" customHeight="1">
      <c r="B58" s="1010" t="s">
        <v>42</v>
      </c>
      <c r="C58" s="1011"/>
      <c r="D58" s="1011"/>
      <c r="E58" s="1011"/>
      <c r="F58" s="1011"/>
      <c r="G58" s="1011"/>
      <c r="H58" s="1011"/>
      <c r="I58" s="1011"/>
      <c r="J58" s="1011"/>
      <c r="K58" s="1011"/>
      <c r="L58" s="1011"/>
      <c r="M58" s="1011"/>
      <c r="N58" s="1011"/>
      <c r="O58" s="1011"/>
      <c r="P58" s="1011"/>
      <c r="Q58" s="1011"/>
      <c r="R58" s="1011"/>
      <c r="S58" s="1012"/>
      <c r="T58" s="1013"/>
    </row>
    <row r="59" spans="1:20">
      <c r="B59" s="150"/>
      <c r="S59" s="151" t="s">
        <v>43</v>
      </c>
      <c r="T59" s="137"/>
    </row>
    <row r="60" spans="1:20">
      <c r="B60" s="150"/>
      <c r="D60" s="152" t="s">
        <v>44</v>
      </c>
      <c r="E60" s="254" t="str">
        <f>D1</f>
        <v>SUNCREST HOTELS plc</v>
      </c>
      <c r="F60" s="255"/>
      <c r="G60" s="82"/>
      <c r="H60" s="82"/>
      <c r="I60" s="82"/>
      <c r="J60" s="82"/>
      <c r="K60" s="82"/>
      <c r="L60" s="82"/>
      <c r="M60" s="82"/>
      <c r="N60" s="82"/>
      <c r="O60" s="82"/>
      <c r="P60" s="82"/>
      <c r="Q60" s="256"/>
      <c r="R60" s="82"/>
      <c r="S60" s="151" t="s">
        <v>245</v>
      </c>
      <c r="T60" s="137"/>
    </row>
    <row r="61" spans="1:20">
      <c r="B61" s="150"/>
      <c r="D61" s="153" t="s">
        <v>45</v>
      </c>
      <c r="E61" s="254" t="str">
        <f>D2</f>
        <v>Sunny Cost and Lido Redevelopment</v>
      </c>
      <c r="F61" s="255"/>
      <c r="G61" s="82"/>
      <c r="H61" s="82"/>
      <c r="I61" s="82"/>
      <c r="J61" s="82"/>
      <c r="K61" s="82"/>
      <c r="L61" s="82"/>
      <c r="M61" s="82"/>
      <c r="N61" s="82"/>
      <c r="O61" s="82"/>
      <c r="P61" s="82"/>
      <c r="Q61" s="256"/>
      <c r="R61" s="82"/>
      <c r="S61" s="151" t="s">
        <v>242</v>
      </c>
      <c r="T61" s="137"/>
    </row>
    <row r="62" spans="1:20">
      <c r="B62" s="150"/>
      <c r="D62" s="152" t="s">
        <v>46</v>
      </c>
      <c r="E62" s="254" t="str">
        <f>D3</f>
        <v>Sample Room - Electrical</v>
      </c>
      <c r="F62" s="255"/>
      <c r="G62" s="82"/>
      <c r="H62" s="82"/>
      <c r="I62" s="82"/>
      <c r="J62" s="82"/>
      <c r="K62" s="82"/>
      <c r="L62" s="82"/>
      <c r="M62" s="82"/>
      <c r="N62" s="82"/>
      <c r="O62" s="82"/>
      <c r="P62" s="82"/>
      <c r="Q62" s="256"/>
      <c r="R62" s="82"/>
      <c r="S62" s="151" t="s">
        <v>244</v>
      </c>
      <c r="T62" s="137"/>
    </row>
    <row r="63" spans="1:20">
      <c r="B63" s="150"/>
      <c r="D63" s="154" t="s">
        <v>49</v>
      </c>
      <c r="E63" s="254" t="str">
        <f>D4</f>
        <v>EL25-0700</v>
      </c>
      <c r="F63" s="255"/>
      <c r="G63" s="82"/>
      <c r="H63" s="82"/>
      <c r="I63" s="82"/>
      <c r="J63" s="82"/>
      <c r="K63" s="82"/>
      <c r="L63" s="82"/>
      <c r="M63" s="82"/>
      <c r="N63" s="82"/>
      <c r="O63" s="82"/>
      <c r="P63" s="82"/>
      <c r="Q63" s="256"/>
      <c r="R63" s="82"/>
      <c r="S63" s="151"/>
      <c r="T63" s="137"/>
    </row>
    <row r="64" spans="1:20">
      <c r="B64" s="150"/>
      <c r="D64" s="154" t="s">
        <v>50</v>
      </c>
      <c r="E64" s="254" t="str">
        <f>D5</f>
        <v>Sample Room</v>
      </c>
      <c r="F64" s="255"/>
      <c r="G64" s="82"/>
      <c r="H64" s="82"/>
      <c r="I64" s="82"/>
      <c r="J64" s="82"/>
      <c r="K64" s="82"/>
      <c r="L64" s="82"/>
      <c r="M64" s="82"/>
      <c r="N64" s="82"/>
      <c r="O64" s="82"/>
      <c r="P64" s="82"/>
      <c r="Q64" s="256"/>
      <c r="R64" s="82"/>
      <c r="S64" s="151"/>
      <c r="T64" s="137"/>
    </row>
    <row r="65" spans="2:20">
      <c r="B65" s="150"/>
      <c r="S65" s="151" t="s">
        <v>48</v>
      </c>
      <c r="T65" s="137"/>
    </row>
    <row r="66" spans="2:20">
      <c r="B66" s="150"/>
      <c r="D66" s="154" t="s">
        <v>47</v>
      </c>
      <c r="E66" s="155"/>
      <c r="F66" s="155"/>
      <c r="G66" s="156"/>
      <c r="H66" s="156"/>
      <c r="I66" s="156"/>
      <c r="J66" s="156"/>
      <c r="K66" s="156"/>
      <c r="L66" s="156"/>
      <c r="M66" s="156"/>
      <c r="N66" s="156"/>
      <c r="O66" s="156"/>
      <c r="P66" s="156"/>
      <c r="S66" s="157"/>
      <c r="T66" s="158"/>
    </row>
    <row r="67" spans="2:20">
      <c r="B67" s="150"/>
      <c r="D67" s="154" t="s">
        <v>231</v>
      </c>
      <c r="E67" s="155"/>
      <c r="F67" s="155"/>
      <c r="G67" s="156"/>
      <c r="H67" s="156"/>
      <c r="I67" s="156"/>
      <c r="J67" s="156"/>
      <c r="K67" s="156"/>
      <c r="L67" s="156"/>
      <c r="M67" s="156"/>
      <c r="N67" s="156"/>
      <c r="O67" s="156"/>
      <c r="P67" s="156"/>
      <c r="S67" s="157"/>
      <c r="T67" s="158"/>
    </row>
    <row r="68" spans="2:20">
      <c r="B68" s="159"/>
      <c r="C68" s="50"/>
      <c r="D68" s="50"/>
      <c r="E68" s="50"/>
      <c r="F68" s="50"/>
      <c r="G68" s="50"/>
      <c r="H68" s="50"/>
      <c r="I68" s="50"/>
      <c r="J68" s="50"/>
      <c r="K68" s="50"/>
      <c r="L68" s="50"/>
      <c r="M68" s="50"/>
      <c r="N68" s="50"/>
      <c r="O68" s="50"/>
      <c r="P68" s="50"/>
      <c r="Q68" s="50"/>
      <c r="R68" s="50"/>
      <c r="S68" s="50"/>
      <c r="T68" s="160"/>
    </row>
    <row r="69" spans="2:20" ht="14.25" customHeight="1">
      <c r="B69" s="150"/>
      <c r="T69" s="158"/>
    </row>
    <row r="70" spans="2:20" ht="15.6">
      <c r="B70" s="150"/>
      <c r="E70" s="161" t="s">
        <v>181</v>
      </c>
      <c r="F70" s="135"/>
      <c r="G70" s="135"/>
      <c r="H70" s="135"/>
      <c r="I70" s="135"/>
      <c r="J70" s="135"/>
      <c r="K70" s="135"/>
      <c r="L70" s="135"/>
      <c r="M70" s="135"/>
      <c r="N70" s="135"/>
      <c r="O70" s="135"/>
      <c r="P70" s="135"/>
      <c r="Q70" s="135"/>
      <c r="R70" s="135"/>
      <c r="S70" s="60"/>
      <c r="T70" s="158"/>
    </row>
    <row r="71" spans="2:20">
      <c r="B71" s="150"/>
      <c r="E71" s="163"/>
      <c r="F71" s="135"/>
      <c r="G71" s="135"/>
      <c r="H71" s="135"/>
      <c r="I71" s="135"/>
      <c r="J71" s="135"/>
      <c r="K71" s="135"/>
      <c r="L71" s="135"/>
      <c r="M71" s="135"/>
      <c r="N71" s="135"/>
      <c r="O71" s="135"/>
      <c r="P71" s="135"/>
      <c r="Q71" s="135"/>
      <c r="R71" s="135"/>
      <c r="S71" s="60"/>
      <c r="T71" s="158"/>
    </row>
    <row r="72" spans="2:20">
      <c r="B72" s="282"/>
      <c r="C72" s="326">
        <f ca="1">IF($A$33="MIXED",F23/(1-Q2)+F24/(1-Q3)+F25/(1-Q4)+F26/(1-Q5)+F27/(1-Q6)+F28/(1-Q7)+F29/(1-Q8)+F30/(1-Q9)+F31/(1-Q10)+F32/(1-Q11)-SUM(A23:A32),   F23/(1-Q2)+F24/(1-Q3)+F25/(1-Q4)+F26/(1-Q5)+F27/(1-Q6)+F28/(1-Q7)+F29/(1-Q8)+F30/(1-Q9)+F31/(1-Q10)+F32/(1-Q11))</f>
        <v>6113.4599999999964</v>
      </c>
      <c r="E72" s="132" t="s">
        <v>222</v>
      </c>
      <c r="F72" s="388">
        <f ca="1">IF(D6="VAT INCLUDED",C72/($C$1*1.18),C72/$C$1)</f>
        <v>6113.4599999999964</v>
      </c>
      <c r="G72" s="135"/>
      <c r="H72" s="135"/>
      <c r="I72" s="135"/>
      <c r="J72" s="135"/>
      <c r="K72" s="135"/>
      <c r="L72" s="135"/>
      <c r="M72" s="135"/>
      <c r="N72" s="135"/>
      <c r="O72" s="135"/>
      <c r="P72" s="135"/>
      <c r="Q72" s="135"/>
      <c r="R72" s="135"/>
      <c r="S72" s="60"/>
      <c r="T72" s="158"/>
    </row>
    <row r="73" spans="2:20">
      <c r="B73" s="150"/>
      <c r="F73" s="394"/>
      <c r="G73" s="135"/>
      <c r="H73" s="135"/>
      <c r="I73" s="135"/>
      <c r="J73" s="135"/>
      <c r="K73" s="135"/>
      <c r="L73" s="135"/>
      <c r="M73" s="135"/>
      <c r="N73" s="135"/>
      <c r="O73" s="135"/>
      <c r="P73" s="135"/>
      <c r="Q73" s="135"/>
      <c r="R73" s="135"/>
      <c r="S73" s="60"/>
      <c r="T73" s="158"/>
    </row>
    <row r="74" spans="2:20" ht="15" customHeight="1">
      <c r="B74" s="282"/>
      <c r="E74" s="397" t="s">
        <v>223</v>
      </c>
      <c r="F74" s="395">
        <f ca="1">(F72-F75)/F72</f>
        <v>0</v>
      </c>
      <c r="G74" s="164"/>
      <c r="H74" s="164"/>
      <c r="I74" s="164"/>
      <c r="J74" s="164"/>
      <c r="K74" s="164"/>
      <c r="L74" s="164"/>
      <c r="M74" s="164"/>
      <c r="N74" s="164"/>
      <c r="O74" s="164"/>
      <c r="P74" s="164"/>
      <c r="Q74" s="165"/>
      <c r="T74" s="158"/>
    </row>
    <row r="75" spans="2:20">
      <c r="B75" s="283"/>
      <c r="E75" s="153" t="s">
        <v>221</v>
      </c>
      <c r="F75" s="396">
        <f ca="1">IF(D6="VAT INCLUDED",E35/($C$1*1.18),E35/$C$1)</f>
        <v>6113.4599999999964</v>
      </c>
      <c r="T75" s="158"/>
    </row>
    <row r="76" spans="2:20" ht="14.25" customHeight="1">
      <c r="B76" s="150"/>
      <c r="E76" s="132"/>
      <c r="F76" s="257"/>
      <c r="R76" s="132"/>
      <c r="T76" s="158"/>
    </row>
    <row r="77" spans="2:20" ht="15.6">
      <c r="B77" s="166"/>
      <c r="C77" s="167"/>
      <c r="E77" s="168" t="s">
        <v>176</v>
      </c>
      <c r="F77" s="418">
        <f>$D$9</f>
        <v>28.832999999999998</v>
      </c>
      <c r="G77" s="169"/>
      <c r="H77" s="170"/>
      <c r="I77" s="171"/>
      <c r="J77" s="172"/>
      <c r="K77" s="172"/>
      <c r="L77" s="172"/>
      <c r="M77" s="172"/>
      <c r="N77" s="172"/>
      <c r="O77" s="172"/>
      <c r="P77" s="172"/>
      <c r="Q77" s="173"/>
      <c r="R77" s="132" t="s">
        <v>157</v>
      </c>
      <c r="S77" s="162"/>
      <c r="T77" s="158"/>
    </row>
    <row r="78" spans="2:20" ht="15.6">
      <c r="B78" s="166"/>
      <c r="C78" s="167"/>
      <c r="E78" s="174"/>
      <c r="F78" s="175"/>
      <c r="G78" s="176"/>
      <c r="H78" s="177"/>
      <c r="I78" s="178"/>
      <c r="J78" s="173"/>
      <c r="K78" s="173"/>
      <c r="L78" s="173"/>
      <c r="M78" s="173"/>
      <c r="N78" s="173"/>
      <c r="O78" s="173"/>
      <c r="P78" s="173"/>
      <c r="Q78" s="173"/>
      <c r="T78" s="158"/>
    </row>
    <row r="79" spans="2:20" ht="15.6">
      <c r="B79" s="166"/>
      <c r="C79" s="167"/>
      <c r="E79" s="174"/>
      <c r="F79" s="175"/>
      <c r="G79" s="176"/>
      <c r="H79" s="177"/>
      <c r="I79" s="178"/>
      <c r="J79" s="173"/>
      <c r="K79" s="173"/>
      <c r="L79" s="173"/>
      <c r="M79" s="173"/>
      <c r="N79" s="173"/>
      <c r="O79" s="173"/>
      <c r="P79" s="173"/>
      <c r="Q79" s="173"/>
      <c r="T79" s="158"/>
    </row>
    <row r="80" spans="2:20" ht="15">
      <c r="B80" s="166"/>
      <c r="C80" s="167"/>
      <c r="D80" s="179" t="s">
        <v>51</v>
      </c>
      <c r="E80" s="180" t="s">
        <v>68</v>
      </c>
      <c r="F80" s="181" t="s">
        <v>52</v>
      </c>
      <c r="G80" s="182"/>
      <c r="H80" s="182"/>
      <c r="I80" s="182"/>
      <c r="J80" s="182"/>
      <c r="K80" s="182"/>
      <c r="L80" s="182"/>
      <c r="M80" s="182"/>
      <c r="N80" s="182"/>
      <c r="O80" s="182"/>
      <c r="P80" s="182"/>
      <c r="Q80" s="182"/>
      <c r="R80" s="180" t="s">
        <v>212</v>
      </c>
      <c r="S80" s="183"/>
      <c r="T80" s="158"/>
    </row>
    <row r="81" spans="2:20" ht="13.8">
      <c r="B81" s="150"/>
      <c r="D81" s="184" t="s">
        <v>218</v>
      </c>
      <c r="E81" s="70" t="s">
        <v>220</v>
      </c>
      <c r="F81" s="185" t="s">
        <v>218</v>
      </c>
      <c r="R81" s="266"/>
      <c r="S81" s="158"/>
      <c r="T81" s="186"/>
    </row>
    <row r="82" spans="2:20">
      <c r="B82" s="150"/>
      <c r="D82" s="187"/>
      <c r="S82" s="188"/>
      <c r="T82" s="158"/>
    </row>
    <row r="83" spans="2:20">
      <c r="B83" s="150"/>
      <c r="D83" s="389">
        <f ca="1">R165</f>
        <v>3141.3865732644217</v>
      </c>
      <c r="E83" s="390">
        <f ca="1">T165</f>
        <v>102.21470729720855</v>
      </c>
      <c r="F83" s="391">
        <f ca="1">R165+S165</f>
        <v>6088.5432287648346</v>
      </c>
      <c r="G83" s="392"/>
      <c r="H83" s="392"/>
      <c r="I83" s="392"/>
      <c r="J83" s="392"/>
      <c r="K83" s="392"/>
      <c r="L83" s="392"/>
      <c r="M83" s="392"/>
      <c r="N83" s="392"/>
      <c r="O83" s="392"/>
      <c r="P83" s="392"/>
      <c r="Q83" s="392"/>
      <c r="R83" s="393">
        <f ca="1">IF(F83=0,0,F75/F83)</f>
        <v>1.0040924027799367</v>
      </c>
      <c r="S83" s="188"/>
      <c r="T83" s="158"/>
    </row>
    <row r="84" spans="2:20">
      <c r="B84" s="150"/>
      <c r="D84" s="1005" t="s">
        <v>158</v>
      </c>
      <c r="E84" s="1006"/>
      <c r="S84" s="158"/>
      <c r="T84" s="188"/>
    </row>
    <row r="85" spans="2:20" ht="15">
      <c r="B85" s="150"/>
      <c r="D85" s="189"/>
      <c r="E85" s="50"/>
      <c r="F85" s="50"/>
      <c r="G85" s="50"/>
      <c r="H85" s="190"/>
      <c r="I85" s="191"/>
      <c r="J85" s="50"/>
      <c r="K85" s="50"/>
      <c r="L85" s="50"/>
      <c r="M85" s="50"/>
      <c r="N85" s="50"/>
      <c r="O85" s="50"/>
      <c r="P85" s="50"/>
      <c r="Q85" s="50"/>
      <c r="R85" s="50"/>
      <c r="S85" s="160"/>
      <c r="T85" s="158"/>
    </row>
    <row r="86" spans="2:20" ht="15">
      <c r="B86" s="150"/>
      <c r="H86" s="192"/>
      <c r="I86" s="167"/>
      <c r="T86" s="158"/>
    </row>
    <row r="87" spans="2:20" ht="15">
      <c r="B87" s="150"/>
      <c r="H87" s="192"/>
      <c r="I87" s="167"/>
      <c r="R87" s="132" t="s">
        <v>53</v>
      </c>
      <c r="S87" s="193"/>
      <c r="T87" s="158"/>
    </row>
    <row r="88" spans="2:20" ht="15">
      <c r="B88" s="150"/>
      <c r="H88" s="192"/>
      <c r="I88" s="167"/>
      <c r="R88" s="132" t="s">
        <v>54</v>
      </c>
      <c r="S88" s="193"/>
      <c r="T88" s="158"/>
    </row>
    <row r="89" spans="2:20" ht="15">
      <c r="B89" s="150"/>
      <c r="H89" s="192"/>
      <c r="I89" s="167"/>
      <c r="R89" s="132"/>
      <c r="S89" s="194"/>
      <c r="T89" s="158"/>
    </row>
    <row r="90" spans="2:20" ht="15">
      <c r="B90" s="150"/>
      <c r="H90" s="192"/>
      <c r="I90" s="167"/>
      <c r="R90" s="132" t="s">
        <v>55</v>
      </c>
      <c r="S90" s="195"/>
      <c r="T90" s="158"/>
    </row>
    <row r="91" spans="2:20" ht="15">
      <c r="B91" s="150"/>
      <c r="I91" s="167"/>
      <c r="R91" s="132" t="s">
        <v>56</v>
      </c>
      <c r="S91" s="196"/>
      <c r="T91" s="158"/>
    </row>
    <row r="92" spans="2:20" ht="15">
      <c r="B92" s="150"/>
      <c r="I92" s="167"/>
      <c r="J92" s="197"/>
      <c r="K92" s="198"/>
      <c r="L92" s="198"/>
      <c r="M92" s="198"/>
      <c r="N92" s="198"/>
      <c r="O92" s="198"/>
      <c r="P92" s="198"/>
      <c r="Q92" s="198"/>
      <c r="R92" s="132" t="s">
        <v>57</v>
      </c>
      <c r="S92" s="196"/>
      <c r="T92" s="158"/>
    </row>
    <row r="93" spans="2:20" ht="15">
      <c r="B93" s="150"/>
      <c r="D93" s="199" t="s">
        <v>58</v>
      </c>
      <c r="G93" s="200"/>
      <c r="I93" s="167"/>
      <c r="J93" s="197"/>
      <c r="K93" s="198"/>
      <c r="L93" s="198"/>
      <c r="M93" s="198"/>
      <c r="N93" s="198"/>
      <c r="O93" s="198"/>
      <c r="P93" s="198"/>
      <c r="Q93" s="198"/>
      <c r="R93" s="132"/>
      <c r="T93" s="158"/>
    </row>
    <row r="94" spans="2:20" ht="15.6">
      <c r="B94" s="150"/>
      <c r="D94" s="201" t="s">
        <v>246</v>
      </c>
      <c r="G94" s="200"/>
      <c r="I94" s="167"/>
      <c r="J94" s="197"/>
      <c r="K94" s="198"/>
      <c r="L94" s="198"/>
      <c r="M94" s="198"/>
      <c r="N94" s="198"/>
      <c r="O94" s="198"/>
      <c r="P94" s="198"/>
      <c r="Q94" s="198"/>
      <c r="R94" s="132" t="s">
        <v>59</v>
      </c>
      <c r="S94" s="196"/>
      <c r="T94" s="158"/>
    </row>
    <row r="95" spans="2:20" ht="15">
      <c r="B95" s="150"/>
      <c r="D95" s="202">
        <f ca="1">NOW()</f>
        <v>46059.470838657406</v>
      </c>
      <c r="G95" s="200"/>
      <c r="I95" s="167"/>
      <c r="J95" s="197"/>
      <c r="K95" s="198"/>
      <c r="L95" s="198"/>
      <c r="M95" s="198"/>
      <c r="N95" s="198"/>
      <c r="O95" s="198"/>
      <c r="P95" s="198"/>
      <c r="Q95" s="198"/>
      <c r="R95" s="198"/>
      <c r="T95" s="158"/>
    </row>
    <row r="96" spans="2:20" s="207" customFormat="1" ht="15">
      <c r="B96" s="159"/>
      <c r="C96" s="50"/>
      <c r="D96" s="50"/>
      <c r="E96" s="50"/>
      <c r="F96" s="50"/>
      <c r="G96" s="50"/>
      <c r="H96" s="50"/>
      <c r="I96" s="191"/>
      <c r="J96" s="203"/>
      <c r="K96" s="204"/>
      <c r="L96" s="204"/>
      <c r="M96" s="204"/>
      <c r="N96" s="204"/>
      <c r="O96" s="204"/>
      <c r="P96" s="204"/>
      <c r="Q96" s="204"/>
      <c r="R96" s="204"/>
      <c r="S96" s="205"/>
      <c r="T96" s="206"/>
    </row>
    <row r="97" spans="1:20" s="207" customFormat="1" ht="12" customHeight="1">
      <c r="B97" s="129"/>
      <c r="C97" s="36"/>
      <c r="D97" s="36"/>
      <c r="E97" s="36"/>
      <c r="F97" s="36"/>
      <c r="G97" s="36"/>
      <c r="H97" s="167"/>
      <c r="I97" s="167"/>
      <c r="J97" s="197"/>
      <c r="K97" s="198"/>
      <c r="L97" s="198"/>
      <c r="M97" s="198"/>
      <c r="N97" s="198"/>
      <c r="O97" s="198"/>
      <c r="P97" s="198"/>
      <c r="Q97" s="198"/>
      <c r="R97" s="198"/>
      <c r="S97" s="142"/>
      <c r="T97" s="142"/>
    </row>
    <row r="98" spans="1:20" ht="21" customHeight="1">
      <c r="B98" s="208"/>
      <c r="C98" s="209"/>
      <c r="D98" s="209" t="s">
        <v>41</v>
      </c>
      <c r="E98" s="210"/>
      <c r="F98" s="210"/>
      <c r="G98" s="210"/>
      <c r="H98" s="211"/>
      <c r="I98" s="212"/>
      <c r="J98" s="213"/>
      <c r="K98" s="213"/>
      <c r="L98" s="213"/>
      <c r="M98" s="213"/>
      <c r="N98" s="213"/>
      <c r="O98" s="213"/>
      <c r="P98" s="213"/>
      <c r="Q98" s="213"/>
      <c r="R98" s="213"/>
      <c r="S98" s="214"/>
      <c r="T98" s="215"/>
    </row>
    <row r="99" spans="1:20" ht="15">
      <c r="B99" s="216"/>
      <c r="C99" s="217"/>
      <c r="D99" s="217" t="s">
        <v>60</v>
      </c>
      <c r="E99" s="218"/>
      <c r="F99" s="218"/>
      <c r="G99" s="218"/>
      <c r="H99" s="219"/>
      <c r="I99" s="190"/>
      <c r="J99" s="220"/>
      <c r="K99" s="220"/>
      <c r="L99" s="220"/>
      <c r="M99" s="220"/>
      <c r="N99" s="220"/>
      <c r="O99" s="220"/>
      <c r="P99" s="220"/>
      <c r="Q99" s="220"/>
      <c r="R99" s="220"/>
      <c r="S99" s="220"/>
      <c r="T99" s="221"/>
    </row>
    <row r="100" spans="1:20" ht="15">
      <c r="B100" s="222"/>
      <c r="C100" s="223"/>
      <c r="D100" s="224"/>
      <c r="E100" s="135"/>
      <c r="F100" s="135"/>
      <c r="G100" s="135"/>
      <c r="H100" s="200"/>
      <c r="I100" s="192"/>
      <c r="J100" s="225"/>
      <c r="K100" s="225"/>
      <c r="L100" s="225"/>
      <c r="M100" s="225"/>
      <c r="N100" s="225"/>
      <c r="O100" s="225"/>
      <c r="P100" s="225"/>
      <c r="Q100" s="225"/>
      <c r="R100" s="225"/>
      <c r="S100" s="225"/>
      <c r="T100" s="226"/>
    </row>
    <row r="101" spans="1:20" ht="15">
      <c r="B101" s="150"/>
      <c r="D101" s="227" t="s">
        <v>61</v>
      </c>
      <c r="E101" s="258" t="str">
        <f>E61</f>
        <v>Sunny Cost and Lido Redevelopment</v>
      </c>
      <c r="F101" s="256"/>
      <c r="G101" s="259"/>
      <c r="H101" s="260"/>
      <c r="I101" s="260"/>
      <c r="J101" s="256"/>
      <c r="K101" s="256"/>
      <c r="L101" s="256"/>
      <c r="M101" s="256"/>
      <c r="N101" s="256"/>
      <c r="O101" s="256"/>
      <c r="P101" s="256"/>
      <c r="Q101" s="256"/>
      <c r="R101" s="256"/>
      <c r="S101" s="82"/>
      <c r="T101" s="158"/>
    </row>
    <row r="102" spans="1:20" ht="15">
      <c r="B102" s="150"/>
      <c r="D102" s="227" t="s">
        <v>62</v>
      </c>
      <c r="E102" s="258" t="str">
        <f>E62</f>
        <v>Sample Room - Electrical</v>
      </c>
      <c r="F102" s="256"/>
      <c r="G102" s="259"/>
      <c r="H102" s="260"/>
      <c r="I102" s="260"/>
      <c r="J102" s="256"/>
      <c r="K102" s="256"/>
      <c r="L102" s="256"/>
      <c r="M102" s="256"/>
      <c r="N102" s="256"/>
      <c r="O102" s="256"/>
      <c r="P102" s="256"/>
      <c r="Q102" s="256"/>
      <c r="R102" s="256"/>
      <c r="S102" s="82"/>
      <c r="T102" s="158"/>
    </row>
    <row r="103" spans="1:20" ht="15">
      <c r="B103" s="228"/>
      <c r="C103" s="229"/>
      <c r="D103" s="154" t="s">
        <v>50</v>
      </c>
      <c r="E103" s="258" t="str">
        <f>E64</f>
        <v>Sample Room</v>
      </c>
      <c r="F103" s="82"/>
      <c r="G103" s="82"/>
      <c r="H103" s="260"/>
      <c r="I103" s="260"/>
      <c r="J103" s="82"/>
      <c r="K103" s="82"/>
      <c r="L103" s="82"/>
      <c r="M103" s="82"/>
      <c r="N103" s="82"/>
      <c r="O103" s="82"/>
      <c r="P103" s="82"/>
      <c r="Q103" s="82"/>
      <c r="R103" s="82"/>
      <c r="S103" s="82"/>
      <c r="T103" s="158"/>
    </row>
    <row r="104" spans="1:20" ht="15">
      <c r="B104" s="228"/>
      <c r="C104" s="229"/>
      <c r="D104" s="230"/>
      <c r="F104" s="231"/>
      <c r="G104" s="127"/>
      <c r="H104" s="167"/>
      <c r="I104" s="167"/>
      <c r="T104" s="232"/>
    </row>
    <row r="105" spans="1:20">
      <c r="B105" s="233"/>
      <c r="C105" s="182"/>
      <c r="D105" s="182"/>
      <c r="E105" s="182"/>
      <c r="F105" s="234"/>
      <c r="G105" s="182"/>
      <c r="H105" s="182"/>
      <c r="I105" s="182"/>
      <c r="J105" s="182"/>
      <c r="K105" s="182"/>
      <c r="L105" s="182"/>
      <c r="M105" s="182"/>
      <c r="N105" s="182"/>
      <c r="O105" s="182"/>
      <c r="P105" s="182"/>
      <c r="Q105" s="234"/>
      <c r="R105" s="183"/>
      <c r="S105" s="183"/>
      <c r="T105" s="183"/>
    </row>
    <row r="106" spans="1:20">
      <c r="B106" s="150"/>
      <c r="D106" s="71" t="s">
        <v>63</v>
      </c>
      <c r="F106" s="374" t="s">
        <v>64</v>
      </c>
      <c r="G106" s="375"/>
      <c r="H106" s="376"/>
      <c r="I106" s="376"/>
      <c r="J106" s="376"/>
      <c r="K106" s="376"/>
      <c r="L106" s="376"/>
      <c r="M106" s="376"/>
      <c r="N106" s="376"/>
      <c r="O106" s="376"/>
      <c r="P106" s="377"/>
      <c r="Q106" s="374" t="s">
        <v>65</v>
      </c>
      <c r="R106" s="373" t="s">
        <v>66</v>
      </c>
      <c r="S106" s="373" t="s">
        <v>67</v>
      </c>
      <c r="T106" s="373" t="s">
        <v>68</v>
      </c>
    </row>
    <row r="107" spans="1:20" ht="13.8">
      <c r="B107" s="235"/>
      <c r="C107" s="236"/>
      <c r="D107" s="6"/>
      <c r="F107" s="374" t="s">
        <v>69</v>
      </c>
      <c r="G107" s="375"/>
      <c r="H107" s="376"/>
      <c r="I107" s="376"/>
      <c r="J107" s="376"/>
      <c r="K107" s="376"/>
      <c r="L107" s="376"/>
      <c r="M107" s="376"/>
      <c r="N107" s="376"/>
      <c r="O107" s="376"/>
      <c r="P107" s="378"/>
      <c r="Q107" s="374" t="s">
        <v>70</v>
      </c>
      <c r="R107" s="237" t="s">
        <v>218</v>
      </c>
      <c r="S107" s="406">
        <f>$D$9</f>
        <v>28.832999999999998</v>
      </c>
      <c r="T107" s="237" t="s">
        <v>220</v>
      </c>
    </row>
    <row r="108" spans="1:20">
      <c r="B108" s="456" t="s">
        <v>71</v>
      </c>
      <c r="C108" s="50"/>
      <c r="D108" s="325" t="s">
        <v>196</v>
      </c>
      <c r="E108" s="50"/>
      <c r="F108" s="238"/>
      <c r="P108" s="337" t="s">
        <v>27</v>
      </c>
      <c r="Q108" s="243">
        <v>1</v>
      </c>
      <c r="R108" s="160"/>
      <c r="S108" s="160"/>
      <c r="T108" s="160"/>
    </row>
    <row r="109" spans="1:20" hidden="1">
      <c r="A109" s="158"/>
      <c r="B109" s="461" t="s">
        <v>72</v>
      </c>
      <c r="C109" s="6" t="s">
        <v>73</v>
      </c>
      <c r="D109" s="36" t="s">
        <v>74</v>
      </c>
      <c r="E109" s="158"/>
      <c r="F109" s="345">
        <v>501</v>
      </c>
      <c r="G109" s="56"/>
      <c r="P109" s="335">
        <v>1</v>
      </c>
      <c r="Q109" s="239">
        <v>1</v>
      </c>
      <c r="R109" s="273">
        <f>Elec_Est!R829</f>
        <v>0</v>
      </c>
      <c r="S109" s="372">
        <f>T109*$D$9</f>
        <v>0</v>
      </c>
      <c r="T109" s="273">
        <f>Elec_Est!T829</f>
        <v>0</v>
      </c>
    </row>
    <row r="110" spans="1:20" hidden="1">
      <c r="A110" s="158"/>
      <c r="B110" s="461">
        <v>2</v>
      </c>
      <c r="C110" s="6" t="s">
        <v>73</v>
      </c>
      <c r="D110" s="36" t="s">
        <v>75</v>
      </c>
      <c r="E110" s="158"/>
      <c r="F110" s="345">
        <v>505</v>
      </c>
      <c r="G110" s="56"/>
      <c r="P110" s="335">
        <v>1</v>
      </c>
      <c r="Q110" s="239">
        <v>1</v>
      </c>
      <c r="R110" s="273">
        <f>Elec_Est!R830</f>
        <v>0</v>
      </c>
      <c r="S110" s="372">
        <f t="shared" ref="S110:S164" si="15">T110*$D$9</f>
        <v>0</v>
      </c>
      <c r="T110" s="273">
        <f>Elec_Est!T830</f>
        <v>0</v>
      </c>
    </row>
    <row r="111" spans="1:20">
      <c r="A111" s="158"/>
      <c r="B111" s="461">
        <v>3</v>
      </c>
      <c r="C111" s="6" t="s">
        <v>73</v>
      </c>
      <c r="D111" s="36" t="s">
        <v>76</v>
      </c>
      <c r="E111" s="158"/>
      <c r="F111" s="345">
        <v>510</v>
      </c>
      <c r="G111" s="56"/>
      <c r="P111" s="335">
        <v>2</v>
      </c>
      <c r="Q111" s="239">
        <v>1</v>
      </c>
      <c r="R111" s="273">
        <f>Elec_Est!R831</f>
        <v>388.32080000000008</v>
      </c>
      <c r="S111" s="372">
        <f t="shared" si="15"/>
        <v>194.91107999999997</v>
      </c>
      <c r="T111" s="273">
        <f>Elec_Est!T831</f>
        <v>6.76</v>
      </c>
    </row>
    <row r="112" spans="1:20" hidden="1">
      <c r="A112" s="158"/>
      <c r="B112" s="461">
        <v>4</v>
      </c>
      <c r="C112" s="6" t="s">
        <v>73</v>
      </c>
      <c r="D112" s="36" t="s">
        <v>77</v>
      </c>
      <c r="E112" s="158"/>
      <c r="F112" s="345">
        <v>511</v>
      </c>
      <c r="G112" s="56"/>
      <c r="P112" s="335">
        <v>2</v>
      </c>
      <c r="Q112" s="239">
        <v>1</v>
      </c>
      <c r="R112" s="273">
        <f>Elec_Est!R832</f>
        <v>0</v>
      </c>
      <c r="S112" s="372">
        <f t="shared" si="15"/>
        <v>0</v>
      </c>
      <c r="T112" s="273">
        <f>Elec_Est!T832</f>
        <v>0</v>
      </c>
    </row>
    <row r="113" spans="1:20" hidden="1">
      <c r="A113" s="158"/>
      <c r="B113" s="461">
        <v>5</v>
      </c>
      <c r="C113" s="6" t="s">
        <v>73</v>
      </c>
      <c r="D113" s="36" t="s">
        <v>78</v>
      </c>
      <c r="E113" s="158"/>
      <c r="F113" s="345">
        <v>512</v>
      </c>
      <c r="G113" s="56"/>
      <c r="P113" s="335">
        <v>2</v>
      </c>
      <c r="Q113" s="239">
        <v>1</v>
      </c>
      <c r="R113" s="273">
        <f>Elec_Est!R833</f>
        <v>0</v>
      </c>
      <c r="S113" s="372">
        <f t="shared" si="15"/>
        <v>0</v>
      </c>
      <c r="T113" s="273">
        <f>Elec_Est!T833</f>
        <v>0</v>
      </c>
    </row>
    <row r="114" spans="1:20" hidden="1">
      <c r="A114" s="158"/>
      <c r="B114" s="461">
        <v>6</v>
      </c>
      <c r="C114" s="6" t="s">
        <v>73</v>
      </c>
      <c r="D114" s="36" t="s">
        <v>79</v>
      </c>
      <c r="E114" s="158"/>
      <c r="F114" s="345">
        <v>520</v>
      </c>
      <c r="G114" s="56"/>
      <c r="P114" s="335">
        <v>1</v>
      </c>
      <c r="Q114" s="239">
        <v>1</v>
      </c>
      <c r="R114" s="273">
        <f>Elec_Est!R834</f>
        <v>0</v>
      </c>
      <c r="S114" s="372">
        <f t="shared" si="15"/>
        <v>0</v>
      </c>
      <c r="T114" s="273">
        <f>Elec_Est!T834</f>
        <v>0</v>
      </c>
    </row>
    <row r="115" spans="1:20" hidden="1">
      <c r="A115" s="158"/>
      <c r="B115" s="461">
        <v>7</v>
      </c>
      <c r="C115" s="6" t="s">
        <v>73</v>
      </c>
      <c r="D115" s="36" t="s">
        <v>80</v>
      </c>
      <c r="E115" s="158"/>
      <c r="F115" s="345">
        <v>530</v>
      </c>
      <c r="G115" s="56"/>
      <c r="P115" s="335">
        <v>2</v>
      </c>
      <c r="Q115" s="239">
        <v>1</v>
      </c>
      <c r="R115" s="273">
        <f>Elec_Est!R835</f>
        <v>0</v>
      </c>
      <c r="S115" s="372">
        <f t="shared" si="15"/>
        <v>0</v>
      </c>
      <c r="T115" s="273">
        <f>Elec_Est!T835</f>
        <v>0</v>
      </c>
    </row>
    <row r="116" spans="1:20" hidden="1">
      <c r="A116" s="158"/>
      <c r="B116" s="461">
        <v>8</v>
      </c>
      <c r="C116" s="6" t="s">
        <v>73</v>
      </c>
      <c r="D116" s="36" t="s">
        <v>81</v>
      </c>
      <c r="E116" s="158"/>
      <c r="F116" s="345">
        <v>550</v>
      </c>
      <c r="G116" s="56"/>
      <c r="P116" s="335">
        <v>2</v>
      </c>
      <c r="Q116" s="239">
        <v>1</v>
      </c>
      <c r="R116" s="273">
        <f>Elec_Est!R836</f>
        <v>0</v>
      </c>
      <c r="S116" s="372">
        <f t="shared" si="15"/>
        <v>0</v>
      </c>
      <c r="T116" s="273">
        <f>Elec_Est!T836</f>
        <v>0</v>
      </c>
    </row>
    <row r="117" spans="1:20" hidden="1">
      <c r="A117" s="158"/>
      <c r="B117" s="461">
        <v>9</v>
      </c>
      <c r="C117" s="6" t="s">
        <v>73</v>
      </c>
      <c r="D117" s="36" t="s">
        <v>82</v>
      </c>
      <c r="E117" s="158"/>
      <c r="F117" s="345">
        <v>570</v>
      </c>
      <c r="G117" s="56"/>
      <c r="P117" s="335">
        <v>2</v>
      </c>
      <c r="Q117" s="239">
        <v>1</v>
      </c>
      <c r="R117" s="273">
        <f>Elec_Est!R837</f>
        <v>0</v>
      </c>
      <c r="S117" s="372">
        <f t="shared" si="15"/>
        <v>0</v>
      </c>
      <c r="T117" s="273">
        <f>Elec_Est!T837</f>
        <v>0</v>
      </c>
    </row>
    <row r="118" spans="1:20">
      <c r="A118" s="158"/>
      <c r="B118" s="461">
        <v>10</v>
      </c>
      <c r="C118" s="6" t="s">
        <v>73</v>
      </c>
      <c r="D118" s="36" t="s">
        <v>83</v>
      </c>
      <c r="E118" s="158"/>
      <c r="F118" s="345">
        <v>615</v>
      </c>
      <c r="G118" s="56"/>
      <c r="P118" s="335">
        <v>2</v>
      </c>
      <c r="Q118" s="239">
        <v>1</v>
      </c>
      <c r="R118" s="273">
        <f ca="1">Elec_Est!R838</f>
        <v>236.09494252873563</v>
      </c>
      <c r="S118" s="372">
        <f t="shared" ca="1" si="15"/>
        <v>397.27974916724133</v>
      </c>
      <c r="T118" s="273">
        <f ca="1">Elec_Est!T838</f>
        <v>13.778647701149424</v>
      </c>
    </row>
    <row r="119" spans="1:20">
      <c r="A119" s="158"/>
      <c r="B119" s="461" t="s">
        <v>84</v>
      </c>
      <c r="C119" s="6" t="s">
        <v>73</v>
      </c>
      <c r="D119" s="36" t="s">
        <v>85</v>
      </c>
      <c r="E119" s="158"/>
      <c r="F119" s="345">
        <v>616</v>
      </c>
      <c r="G119" s="56"/>
      <c r="P119" s="335">
        <v>2</v>
      </c>
      <c r="Q119" s="239">
        <v>1</v>
      </c>
      <c r="R119" s="273">
        <f ca="1">Elec_Est!R839</f>
        <v>174.39471428571429</v>
      </c>
      <c r="S119" s="372">
        <f t="shared" ca="1" si="15"/>
        <v>120.37360245299998</v>
      </c>
      <c r="T119" s="273">
        <f ca="1">Elec_Est!T839</f>
        <v>4.1748552857142851</v>
      </c>
    </row>
    <row r="120" spans="1:20">
      <c r="A120" s="158"/>
      <c r="B120" s="461">
        <v>12</v>
      </c>
      <c r="C120" s="6" t="s">
        <v>73</v>
      </c>
      <c r="D120" s="36" t="s">
        <v>86</v>
      </c>
      <c r="E120" s="158"/>
      <c r="F120" s="345">
        <v>617</v>
      </c>
      <c r="G120" s="56"/>
      <c r="P120" s="335">
        <v>2</v>
      </c>
      <c r="Q120" s="239">
        <v>1</v>
      </c>
      <c r="R120" s="273">
        <f>Elec_Est!R840</f>
        <v>24.295081967213111</v>
      </c>
      <c r="S120" s="372">
        <f t="shared" si="15"/>
        <v>34.718536125</v>
      </c>
      <c r="T120" s="273">
        <f>Elec_Est!T840</f>
        <v>1.2041250000000001</v>
      </c>
    </row>
    <row r="121" spans="1:20">
      <c r="A121" s="158"/>
      <c r="B121" s="461">
        <v>13</v>
      </c>
      <c r="C121" s="6" t="s">
        <v>73</v>
      </c>
      <c r="D121" s="36" t="s">
        <v>87</v>
      </c>
      <c r="E121" s="158"/>
      <c r="F121" s="345">
        <v>620</v>
      </c>
      <c r="G121" s="56"/>
      <c r="P121" s="335">
        <v>2</v>
      </c>
      <c r="Q121" s="239">
        <v>1</v>
      </c>
      <c r="R121" s="273">
        <f>Elec_Est!R841</f>
        <v>1.76</v>
      </c>
      <c r="S121" s="372">
        <f t="shared" si="15"/>
        <v>19.003830300000001</v>
      </c>
      <c r="T121" s="273">
        <f>Elec_Est!T841</f>
        <v>0.65910000000000002</v>
      </c>
    </row>
    <row r="122" spans="1:20" hidden="1">
      <c r="A122" s="158"/>
      <c r="B122" s="461">
        <v>14</v>
      </c>
      <c r="C122" s="6" t="s">
        <v>73</v>
      </c>
      <c r="D122" s="36" t="s">
        <v>88</v>
      </c>
      <c r="E122" s="158"/>
      <c r="F122" s="345">
        <v>650</v>
      </c>
      <c r="G122" s="56"/>
      <c r="P122" s="335">
        <v>1</v>
      </c>
      <c r="Q122" s="239">
        <v>1</v>
      </c>
      <c r="R122" s="273">
        <f>Elec_Est!R842</f>
        <v>0</v>
      </c>
      <c r="S122" s="372">
        <f t="shared" si="15"/>
        <v>0</v>
      </c>
      <c r="T122" s="273">
        <f>Elec_Est!T842</f>
        <v>0</v>
      </c>
    </row>
    <row r="123" spans="1:20" hidden="1">
      <c r="A123" s="158"/>
      <c r="B123" s="461">
        <v>15</v>
      </c>
      <c r="C123" s="6" t="s">
        <v>73</v>
      </c>
      <c r="D123" s="36" t="s">
        <v>89</v>
      </c>
      <c r="E123" s="158"/>
      <c r="F123" s="345">
        <v>651</v>
      </c>
      <c r="G123" s="56"/>
      <c r="P123" s="335">
        <v>1</v>
      </c>
      <c r="Q123" s="239">
        <v>1</v>
      </c>
      <c r="R123" s="273">
        <f>Elec_Est!R843</f>
        <v>0</v>
      </c>
      <c r="S123" s="372">
        <f t="shared" si="15"/>
        <v>0</v>
      </c>
      <c r="T123" s="273">
        <f>Elec_Est!T843</f>
        <v>0</v>
      </c>
    </row>
    <row r="124" spans="1:20" hidden="1">
      <c r="A124" s="158"/>
      <c r="B124" s="461">
        <v>16</v>
      </c>
      <c r="C124" s="6" t="s">
        <v>73</v>
      </c>
      <c r="D124" s="36" t="s">
        <v>90</v>
      </c>
      <c r="E124" s="158"/>
      <c r="F124" s="345">
        <v>652</v>
      </c>
      <c r="G124" s="56"/>
      <c r="P124" s="335">
        <v>1</v>
      </c>
      <c r="Q124" s="239">
        <v>1</v>
      </c>
      <c r="R124" s="273">
        <f>Elec_Est!R844</f>
        <v>0</v>
      </c>
      <c r="S124" s="372">
        <f t="shared" si="15"/>
        <v>0</v>
      </c>
      <c r="T124" s="273">
        <f>Elec_Est!T844</f>
        <v>0</v>
      </c>
    </row>
    <row r="125" spans="1:20" hidden="1">
      <c r="A125" s="158"/>
      <c r="B125" s="461">
        <v>17</v>
      </c>
      <c r="C125" s="6" t="s">
        <v>73</v>
      </c>
      <c r="D125" s="36" t="s">
        <v>91</v>
      </c>
      <c r="E125" s="158"/>
      <c r="F125" s="345">
        <v>654</v>
      </c>
      <c r="G125" s="56"/>
      <c r="P125" s="335">
        <v>1</v>
      </c>
      <c r="Q125" s="239">
        <v>1</v>
      </c>
      <c r="R125" s="273">
        <f>Elec_Est!R845</f>
        <v>0</v>
      </c>
      <c r="S125" s="372">
        <f t="shared" si="15"/>
        <v>0</v>
      </c>
      <c r="T125" s="273">
        <f>Elec_Est!T845</f>
        <v>0</v>
      </c>
    </row>
    <row r="126" spans="1:20" hidden="1">
      <c r="A126" s="158"/>
      <c r="B126" s="461">
        <v>18</v>
      </c>
      <c r="C126" s="6" t="s">
        <v>73</v>
      </c>
      <c r="D126" s="36" t="s">
        <v>92</v>
      </c>
      <c r="E126" s="158"/>
      <c r="F126" s="345">
        <v>675</v>
      </c>
      <c r="G126" s="56"/>
      <c r="P126" s="335">
        <v>1</v>
      </c>
      <c r="Q126" s="239">
        <v>1</v>
      </c>
      <c r="R126" s="273">
        <f>Elec_Est!R846</f>
        <v>0</v>
      </c>
      <c r="S126" s="372">
        <f t="shared" si="15"/>
        <v>0</v>
      </c>
      <c r="T126" s="273">
        <f>Elec_Est!T846</f>
        <v>0</v>
      </c>
    </row>
    <row r="127" spans="1:20" hidden="1">
      <c r="A127" s="158"/>
      <c r="B127" s="461">
        <v>19</v>
      </c>
      <c r="C127" s="6" t="s">
        <v>73</v>
      </c>
      <c r="D127" s="36" t="s">
        <v>93</v>
      </c>
      <c r="E127" s="158"/>
      <c r="F127" s="345">
        <v>676</v>
      </c>
      <c r="G127" s="56"/>
      <c r="P127" s="335">
        <v>1</v>
      </c>
      <c r="Q127" s="239">
        <v>1</v>
      </c>
      <c r="R127" s="273">
        <f>Elec_Est!R847</f>
        <v>0</v>
      </c>
      <c r="S127" s="372">
        <f t="shared" si="15"/>
        <v>0</v>
      </c>
      <c r="T127" s="273">
        <f>Elec_Est!T847</f>
        <v>0</v>
      </c>
    </row>
    <row r="128" spans="1:20" hidden="1">
      <c r="A128" s="158"/>
      <c r="B128" s="461">
        <v>20</v>
      </c>
      <c r="C128" s="6" t="s">
        <v>73</v>
      </c>
      <c r="D128" s="36" t="s">
        <v>94</v>
      </c>
      <c r="E128" s="158"/>
      <c r="F128" s="345">
        <v>680</v>
      </c>
      <c r="G128" s="56"/>
      <c r="P128" s="335">
        <v>1</v>
      </c>
      <c r="Q128" s="239">
        <v>1</v>
      </c>
      <c r="R128" s="273">
        <f>Elec_Est!R848</f>
        <v>0</v>
      </c>
      <c r="S128" s="372">
        <f t="shared" si="15"/>
        <v>0</v>
      </c>
      <c r="T128" s="273">
        <f>Elec_Est!T848</f>
        <v>0</v>
      </c>
    </row>
    <row r="129" spans="1:20" hidden="1">
      <c r="A129" s="158"/>
      <c r="B129" s="461" t="s">
        <v>95</v>
      </c>
      <c r="C129" s="6" t="s">
        <v>73</v>
      </c>
      <c r="D129" s="36" t="s">
        <v>96</v>
      </c>
      <c r="E129" s="158"/>
      <c r="F129" s="345">
        <v>681</v>
      </c>
      <c r="G129" s="56"/>
      <c r="P129" s="335">
        <v>1</v>
      </c>
      <c r="Q129" s="239">
        <v>1</v>
      </c>
      <c r="R129" s="273">
        <f>Elec_Est!R849</f>
        <v>0</v>
      </c>
      <c r="S129" s="372">
        <f t="shared" si="15"/>
        <v>0</v>
      </c>
      <c r="T129" s="273">
        <f>Elec_Est!T849</f>
        <v>0</v>
      </c>
    </row>
    <row r="130" spans="1:20" hidden="1">
      <c r="A130" s="158"/>
      <c r="B130" s="461">
        <v>22</v>
      </c>
      <c r="C130" s="6" t="s">
        <v>73</v>
      </c>
      <c r="D130" s="36" t="s">
        <v>97</v>
      </c>
      <c r="E130" s="158"/>
      <c r="F130" s="345">
        <v>690</v>
      </c>
      <c r="G130" s="56"/>
      <c r="P130" s="335">
        <v>1</v>
      </c>
      <c r="Q130" s="239">
        <v>1</v>
      </c>
      <c r="R130" s="273">
        <f>Elec_Est!R850</f>
        <v>0</v>
      </c>
      <c r="S130" s="372">
        <f t="shared" si="15"/>
        <v>0</v>
      </c>
      <c r="T130" s="273">
        <f>Elec_Est!T850</f>
        <v>0</v>
      </c>
    </row>
    <row r="131" spans="1:20">
      <c r="A131" s="158"/>
      <c r="B131" s="461">
        <v>23</v>
      </c>
      <c r="C131" s="6" t="s">
        <v>73</v>
      </c>
      <c r="D131" s="36" t="s">
        <v>98</v>
      </c>
      <c r="E131" s="158"/>
      <c r="F131" s="345">
        <v>700</v>
      </c>
      <c r="G131" s="56"/>
      <c r="P131" s="335">
        <v>1</v>
      </c>
      <c r="Q131" s="239">
        <v>1</v>
      </c>
      <c r="R131" s="273">
        <f ca="1">Elec_Est!R851</f>
        <v>259.14103448275864</v>
      </c>
      <c r="S131" s="372">
        <f t="shared" ca="1" si="15"/>
        <v>1167.6349879551722</v>
      </c>
      <c r="T131" s="273">
        <f ca="1">Elec_Est!T851</f>
        <v>40.496479310344824</v>
      </c>
    </row>
    <row r="132" spans="1:20">
      <c r="A132" s="158"/>
      <c r="B132" s="461">
        <v>24</v>
      </c>
      <c r="C132" s="6" t="s">
        <v>73</v>
      </c>
      <c r="D132" s="36" t="s">
        <v>99</v>
      </c>
      <c r="E132" s="158"/>
      <c r="F132" s="345">
        <v>705</v>
      </c>
      <c r="G132" s="56"/>
      <c r="P132" s="335">
        <v>3</v>
      </c>
      <c r="Q132" s="239">
        <v>1</v>
      </c>
      <c r="R132" s="273">
        <f>Elec_Est!R852</f>
        <v>702.85</v>
      </c>
      <c r="S132" s="372">
        <f t="shared" si="15"/>
        <v>142.52872725</v>
      </c>
      <c r="T132" s="273">
        <f>Elec_Est!T852</f>
        <v>4.9432500000000008</v>
      </c>
    </row>
    <row r="133" spans="1:20" hidden="1">
      <c r="A133" s="158"/>
      <c r="B133" s="461">
        <v>25</v>
      </c>
      <c r="C133" s="6" t="s">
        <v>73</v>
      </c>
      <c r="D133" s="36" t="s">
        <v>100</v>
      </c>
      <c r="E133" s="158"/>
      <c r="F133" s="345">
        <v>706</v>
      </c>
      <c r="G133" s="56"/>
      <c r="P133" s="335">
        <v>3</v>
      </c>
      <c r="Q133" s="239">
        <v>1</v>
      </c>
      <c r="R133" s="273">
        <f>Elec_Est!R853</f>
        <v>0</v>
      </c>
      <c r="S133" s="372">
        <f t="shared" si="15"/>
        <v>0</v>
      </c>
      <c r="T133" s="273">
        <f>Elec_Est!T853</f>
        <v>0</v>
      </c>
    </row>
    <row r="134" spans="1:20">
      <c r="A134" s="158"/>
      <c r="B134" s="461">
        <v>26</v>
      </c>
      <c r="C134" s="6" t="s">
        <v>73</v>
      </c>
      <c r="D134" s="36" t="s">
        <v>101</v>
      </c>
      <c r="E134" s="158"/>
      <c r="F134" s="345">
        <v>725</v>
      </c>
      <c r="G134" s="56"/>
      <c r="P134" s="335">
        <v>3</v>
      </c>
      <c r="Q134" s="239">
        <v>1</v>
      </c>
      <c r="R134" s="273">
        <f>Elec_Est!R854</f>
        <v>238.45999999999998</v>
      </c>
      <c r="S134" s="372">
        <f t="shared" si="15"/>
        <v>0</v>
      </c>
      <c r="T134" s="273">
        <f>Elec_Est!T854</f>
        <v>0</v>
      </c>
    </row>
    <row r="135" spans="1:20">
      <c r="A135" s="158"/>
      <c r="B135" s="461">
        <v>27</v>
      </c>
      <c r="C135" s="6" t="s">
        <v>73</v>
      </c>
      <c r="D135" s="36" t="s">
        <v>102</v>
      </c>
      <c r="E135" s="158"/>
      <c r="F135" s="345">
        <v>726</v>
      </c>
      <c r="G135" s="56"/>
      <c r="P135" s="335">
        <v>3</v>
      </c>
      <c r="Q135" s="239">
        <v>1</v>
      </c>
      <c r="R135" s="273">
        <f>Elec_Est!R855</f>
        <v>131.09</v>
      </c>
      <c r="S135" s="372">
        <f t="shared" si="15"/>
        <v>69.437072249999986</v>
      </c>
      <c r="T135" s="273">
        <f>Elec_Est!T855</f>
        <v>2.4082499999999998</v>
      </c>
    </row>
    <row r="136" spans="1:20" hidden="1">
      <c r="A136" s="158"/>
      <c r="B136" s="461">
        <v>28</v>
      </c>
      <c r="C136" s="6" t="s">
        <v>73</v>
      </c>
      <c r="D136" s="36" t="s">
        <v>103</v>
      </c>
      <c r="E136" s="158"/>
      <c r="F136" s="345">
        <v>750</v>
      </c>
      <c r="G136" s="56"/>
      <c r="P136" s="335">
        <v>3</v>
      </c>
      <c r="Q136" s="239">
        <v>1</v>
      </c>
      <c r="R136" s="273">
        <f>Elec_Est!R856</f>
        <v>0</v>
      </c>
      <c r="S136" s="372">
        <f t="shared" si="15"/>
        <v>0</v>
      </c>
      <c r="T136" s="273">
        <f>Elec_Est!T856</f>
        <v>0</v>
      </c>
    </row>
    <row r="137" spans="1:20" hidden="1">
      <c r="A137" s="158"/>
      <c r="B137" s="461">
        <v>29</v>
      </c>
      <c r="C137" s="6" t="s">
        <v>73</v>
      </c>
      <c r="D137" s="36" t="s">
        <v>104</v>
      </c>
      <c r="E137" s="158"/>
      <c r="F137" s="345">
        <v>751</v>
      </c>
      <c r="G137" s="56"/>
      <c r="P137" s="335">
        <v>3</v>
      </c>
      <c r="Q137" s="239">
        <v>1</v>
      </c>
      <c r="R137" s="273">
        <f>Elec_Est!R857</f>
        <v>0</v>
      </c>
      <c r="S137" s="372">
        <f t="shared" si="15"/>
        <v>0</v>
      </c>
      <c r="T137" s="273">
        <f>Elec_Est!T857</f>
        <v>0</v>
      </c>
    </row>
    <row r="138" spans="1:20">
      <c r="A138" s="158"/>
      <c r="B138" s="461">
        <v>30</v>
      </c>
      <c r="C138" s="6" t="s">
        <v>73</v>
      </c>
      <c r="D138" s="36" t="s">
        <v>105</v>
      </c>
      <c r="E138" s="158"/>
      <c r="F138" s="345">
        <v>752</v>
      </c>
      <c r="G138" s="56"/>
      <c r="P138" s="335">
        <v>3</v>
      </c>
      <c r="Q138" s="239">
        <v>1</v>
      </c>
      <c r="R138" s="273">
        <f>Elec_Est!R858</f>
        <v>923.07999999999993</v>
      </c>
      <c r="S138" s="372">
        <f t="shared" si="15"/>
        <v>245.08049999999997</v>
      </c>
      <c r="T138" s="273">
        <f>Elec_Est!T858</f>
        <v>8.5</v>
      </c>
    </row>
    <row r="139" spans="1:20" hidden="1">
      <c r="A139" s="158"/>
      <c r="B139" s="461" t="s">
        <v>106</v>
      </c>
      <c r="C139" s="6" t="s">
        <v>73</v>
      </c>
      <c r="D139" s="500" t="s">
        <v>241</v>
      </c>
      <c r="E139" s="158"/>
      <c r="F139" s="345">
        <v>753</v>
      </c>
      <c r="G139" s="56"/>
      <c r="P139" s="335">
        <v>3</v>
      </c>
      <c r="Q139" s="239">
        <v>1</v>
      </c>
      <c r="R139" s="273">
        <f>Elec_Est!R859</f>
        <v>0</v>
      </c>
      <c r="S139" s="372">
        <f t="shared" si="15"/>
        <v>0</v>
      </c>
      <c r="T139" s="273">
        <f>Elec_Est!T859</f>
        <v>0</v>
      </c>
    </row>
    <row r="140" spans="1:20" hidden="1">
      <c r="A140" s="158"/>
      <c r="B140" s="461">
        <v>32</v>
      </c>
      <c r="C140" s="6" t="s">
        <v>73</v>
      </c>
      <c r="D140" s="36" t="s">
        <v>107</v>
      </c>
      <c r="E140" s="158"/>
      <c r="F140" s="345">
        <v>770</v>
      </c>
      <c r="G140" s="56"/>
      <c r="P140" s="335">
        <v>3</v>
      </c>
      <c r="Q140" s="239">
        <v>1</v>
      </c>
      <c r="R140" s="273">
        <f>Elec_Est!R860</f>
        <v>0</v>
      </c>
      <c r="S140" s="372">
        <f t="shared" si="15"/>
        <v>0</v>
      </c>
      <c r="T140" s="273">
        <f>Elec_Est!T860</f>
        <v>0</v>
      </c>
    </row>
    <row r="141" spans="1:20" hidden="1">
      <c r="A141" s="158"/>
      <c r="B141" s="461">
        <v>33</v>
      </c>
      <c r="C141" s="6" t="s">
        <v>73</v>
      </c>
      <c r="D141" s="36" t="s">
        <v>108</v>
      </c>
      <c r="E141" s="158"/>
      <c r="F141" s="345">
        <v>790</v>
      </c>
      <c r="G141" s="56"/>
      <c r="P141" s="335">
        <v>3</v>
      </c>
      <c r="Q141" s="239">
        <v>1</v>
      </c>
      <c r="R141" s="273">
        <f>Elec_Est!R861</f>
        <v>0</v>
      </c>
      <c r="S141" s="372">
        <f t="shared" si="15"/>
        <v>0</v>
      </c>
      <c r="T141" s="273">
        <f>Elec_Est!T861</f>
        <v>0</v>
      </c>
    </row>
    <row r="142" spans="1:20" hidden="1">
      <c r="A142" s="158"/>
      <c r="B142" s="461">
        <v>34</v>
      </c>
      <c r="C142" s="6" t="s">
        <v>73</v>
      </c>
      <c r="D142" s="36" t="s">
        <v>109</v>
      </c>
      <c r="E142" s="158"/>
      <c r="F142" s="345">
        <v>791</v>
      </c>
      <c r="G142" s="56"/>
      <c r="P142" s="335">
        <v>3</v>
      </c>
      <c r="Q142" s="239">
        <v>1</v>
      </c>
      <c r="R142" s="273">
        <f>Elec_Est!R862</f>
        <v>0</v>
      </c>
      <c r="S142" s="372">
        <f t="shared" si="15"/>
        <v>0</v>
      </c>
      <c r="T142" s="273">
        <f>Elec_Est!T862</f>
        <v>0</v>
      </c>
    </row>
    <row r="143" spans="1:20" hidden="1">
      <c r="A143" s="158"/>
      <c r="B143" s="461">
        <v>35</v>
      </c>
      <c r="C143" s="6" t="s">
        <v>73</v>
      </c>
      <c r="D143" s="36" t="s">
        <v>110</v>
      </c>
      <c r="E143" s="158"/>
      <c r="F143" s="345">
        <v>810</v>
      </c>
      <c r="G143" s="56"/>
      <c r="P143" s="335">
        <v>3</v>
      </c>
      <c r="Q143" s="239">
        <v>1</v>
      </c>
      <c r="R143" s="273">
        <f>Elec_Est!R863</f>
        <v>0</v>
      </c>
      <c r="S143" s="372">
        <f t="shared" si="15"/>
        <v>0</v>
      </c>
      <c r="T143" s="273">
        <f>Elec_Est!T863</f>
        <v>0</v>
      </c>
    </row>
    <row r="144" spans="1:20" hidden="1">
      <c r="A144" s="158"/>
      <c r="B144" s="461">
        <v>36</v>
      </c>
      <c r="C144" s="6" t="s">
        <v>73</v>
      </c>
      <c r="D144" s="36" t="s">
        <v>111</v>
      </c>
      <c r="E144" s="158"/>
      <c r="F144" s="345">
        <v>815</v>
      </c>
      <c r="G144" s="56"/>
      <c r="P144" s="335">
        <v>3</v>
      </c>
      <c r="Q144" s="239">
        <v>1</v>
      </c>
      <c r="R144" s="273">
        <f>Elec_Est!R864</f>
        <v>0</v>
      </c>
      <c r="S144" s="372">
        <f t="shared" si="15"/>
        <v>0</v>
      </c>
      <c r="T144" s="273">
        <f>Elec_Est!T864</f>
        <v>0</v>
      </c>
    </row>
    <row r="145" spans="1:20" hidden="1">
      <c r="A145" s="158"/>
      <c r="B145" s="461">
        <v>37</v>
      </c>
      <c r="C145" s="6" t="s">
        <v>73</v>
      </c>
      <c r="D145" s="36" t="s">
        <v>112</v>
      </c>
      <c r="E145" s="158"/>
      <c r="F145" s="345">
        <v>820</v>
      </c>
      <c r="G145" s="56"/>
      <c r="P145" s="335">
        <v>2</v>
      </c>
      <c r="Q145" s="239">
        <v>1</v>
      </c>
      <c r="R145" s="273">
        <f>Elec_Est!R865</f>
        <v>0</v>
      </c>
      <c r="S145" s="372">
        <f t="shared" si="15"/>
        <v>0</v>
      </c>
      <c r="T145" s="273">
        <f>Elec_Est!T865</f>
        <v>0</v>
      </c>
    </row>
    <row r="146" spans="1:20">
      <c r="A146" s="158"/>
      <c r="B146" s="461">
        <v>38</v>
      </c>
      <c r="C146" s="6" t="s">
        <v>73</v>
      </c>
      <c r="D146" s="36" t="s">
        <v>113</v>
      </c>
      <c r="E146" s="158"/>
      <c r="F146" s="345">
        <v>821</v>
      </c>
      <c r="G146" s="56"/>
      <c r="P146" s="335">
        <v>3</v>
      </c>
      <c r="Q146" s="239">
        <v>1</v>
      </c>
      <c r="R146" s="273">
        <f>Elec_Est!R866</f>
        <v>54</v>
      </c>
      <c r="S146" s="372">
        <f t="shared" si="15"/>
        <v>0</v>
      </c>
      <c r="T146" s="273">
        <f>Elec_Est!T866</f>
        <v>0</v>
      </c>
    </row>
    <row r="147" spans="1:20">
      <c r="A147" s="158"/>
      <c r="B147" s="461">
        <v>39</v>
      </c>
      <c r="C147" s="6" t="s">
        <v>73</v>
      </c>
      <c r="D147" s="36" t="s">
        <v>114</v>
      </c>
      <c r="E147" s="158"/>
      <c r="F147" s="345">
        <v>835</v>
      </c>
      <c r="G147" s="56"/>
      <c r="P147" s="335">
        <v>3</v>
      </c>
      <c r="Q147" s="239">
        <v>1</v>
      </c>
      <c r="R147" s="273">
        <f>Elec_Est!R867</f>
        <v>0</v>
      </c>
      <c r="S147" s="372">
        <f t="shared" si="15"/>
        <v>507.46080000000001</v>
      </c>
      <c r="T147" s="273">
        <f>Elec_Est!T867</f>
        <v>17.600000000000001</v>
      </c>
    </row>
    <row r="148" spans="1:20" hidden="1">
      <c r="A148" s="158"/>
      <c r="B148" s="461">
        <v>40</v>
      </c>
      <c r="C148" s="6" t="s">
        <v>73</v>
      </c>
      <c r="D148" s="36" t="s">
        <v>115</v>
      </c>
      <c r="E148" s="158"/>
      <c r="F148" s="345">
        <v>845</v>
      </c>
      <c r="G148" s="56"/>
      <c r="P148" s="335">
        <v>2</v>
      </c>
      <c r="Q148" s="239">
        <v>1</v>
      </c>
      <c r="R148" s="273">
        <f>Elec_Est!R868</f>
        <v>0</v>
      </c>
      <c r="S148" s="372">
        <f t="shared" si="15"/>
        <v>0</v>
      </c>
      <c r="T148" s="273">
        <f>Elec_Est!T868</f>
        <v>0</v>
      </c>
    </row>
    <row r="149" spans="1:20" hidden="1">
      <c r="A149" s="158"/>
      <c r="B149" s="461" t="s">
        <v>116</v>
      </c>
      <c r="C149" s="6" t="s">
        <v>73</v>
      </c>
      <c r="D149" s="36" t="s">
        <v>117</v>
      </c>
      <c r="E149" s="158"/>
      <c r="F149" s="345">
        <v>855</v>
      </c>
      <c r="G149" s="56"/>
      <c r="P149" s="335">
        <v>3</v>
      </c>
      <c r="Q149" s="239">
        <v>1</v>
      </c>
      <c r="R149" s="273">
        <f>Elec_Est!R869</f>
        <v>0</v>
      </c>
      <c r="S149" s="372">
        <f t="shared" si="15"/>
        <v>0</v>
      </c>
      <c r="T149" s="273">
        <f>Elec_Est!T869</f>
        <v>0</v>
      </c>
    </row>
    <row r="150" spans="1:20" hidden="1">
      <c r="A150" s="158"/>
      <c r="B150" s="461">
        <v>42</v>
      </c>
      <c r="C150" s="6" t="s">
        <v>73</v>
      </c>
      <c r="D150" s="36" t="s">
        <v>118</v>
      </c>
      <c r="E150" s="158"/>
      <c r="F150" s="345">
        <v>856</v>
      </c>
      <c r="G150" s="56"/>
      <c r="P150" s="335">
        <v>3</v>
      </c>
      <c r="Q150" s="239">
        <v>1</v>
      </c>
      <c r="R150" s="273">
        <f>Elec_Est!R870</f>
        <v>0</v>
      </c>
      <c r="S150" s="372">
        <f t="shared" si="15"/>
        <v>0</v>
      </c>
      <c r="T150" s="273">
        <f>Elec_Est!T870</f>
        <v>0</v>
      </c>
    </row>
    <row r="151" spans="1:20" hidden="1">
      <c r="A151" s="158"/>
      <c r="B151" s="461">
        <v>43</v>
      </c>
      <c r="C151" s="6" t="s">
        <v>73</v>
      </c>
      <c r="D151" s="36" t="s">
        <v>230</v>
      </c>
      <c r="E151" s="158"/>
      <c r="F151" s="345">
        <v>857</v>
      </c>
      <c r="G151" s="56"/>
      <c r="P151" s="335">
        <v>4</v>
      </c>
      <c r="Q151" s="239">
        <v>1</v>
      </c>
      <c r="R151" s="273">
        <f>Elec_Est!R871</f>
        <v>0</v>
      </c>
      <c r="S151" s="372">
        <f t="shared" si="15"/>
        <v>0</v>
      </c>
      <c r="T151" s="273">
        <f>Elec_Est!T871</f>
        <v>0</v>
      </c>
    </row>
    <row r="152" spans="1:20" hidden="1">
      <c r="A152" s="158"/>
      <c r="B152" s="461">
        <v>44</v>
      </c>
      <c r="C152" s="6" t="s">
        <v>73</v>
      </c>
      <c r="D152" s="36" t="s">
        <v>119</v>
      </c>
      <c r="E152" s="158"/>
      <c r="F152" s="345">
        <v>858</v>
      </c>
      <c r="G152" s="56"/>
      <c r="P152" s="335">
        <v>3</v>
      </c>
      <c r="Q152" s="239">
        <v>1</v>
      </c>
      <c r="R152" s="273">
        <f>Elec_Est!R872</f>
        <v>0</v>
      </c>
      <c r="S152" s="372">
        <f t="shared" si="15"/>
        <v>0</v>
      </c>
      <c r="T152" s="273">
        <f>Elec_Est!T872</f>
        <v>0</v>
      </c>
    </row>
    <row r="153" spans="1:20" hidden="1">
      <c r="A153" s="158"/>
      <c r="B153" s="461">
        <v>45</v>
      </c>
      <c r="C153" s="6" t="s">
        <v>73</v>
      </c>
      <c r="D153" s="36" t="s">
        <v>120</v>
      </c>
      <c r="E153" s="158"/>
      <c r="F153" s="345">
        <v>865</v>
      </c>
      <c r="G153" s="56"/>
      <c r="P153" s="335">
        <v>3</v>
      </c>
      <c r="Q153" s="239">
        <v>1</v>
      </c>
      <c r="R153" s="273">
        <f>Elec_Est!R873</f>
        <v>0</v>
      </c>
      <c r="S153" s="372">
        <f t="shared" si="15"/>
        <v>0</v>
      </c>
      <c r="T153" s="273">
        <f>Elec_Est!T873</f>
        <v>0</v>
      </c>
    </row>
    <row r="154" spans="1:20" hidden="1">
      <c r="A154" s="158"/>
      <c r="B154" s="461">
        <v>46</v>
      </c>
      <c r="C154" s="6" t="s">
        <v>73</v>
      </c>
      <c r="D154" s="36" t="s">
        <v>121</v>
      </c>
      <c r="E154" s="158"/>
      <c r="F154" s="345">
        <v>870</v>
      </c>
      <c r="G154" s="56"/>
      <c r="P154" s="335">
        <v>4</v>
      </c>
      <c r="Q154" s="239">
        <v>1</v>
      </c>
      <c r="R154" s="273">
        <f>Elec_Est!R874</f>
        <v>0</v>
      </c>
      <c r="S154" s="372">
        <f t="shared" si="15"/>
        <v>0</v>
      </c>
      <c r="T154" s="273">
        <f>Elec_Est!T874</f>
        <v>0</v>
      </c>
    </row>
    <row r="155" spans="1:20">
      <c r="A155" s="158"/>
      <c r="B155" s="461">
        <v>47</v>
      </c>
      <c r="C155" s="6" t="s">
        <v>73</v>
      </c>
      <c r="D155" s="36" t="s">
        <v>122</v>
      </c>
      <c r="E155" s="158"/>
      <c r="F155" s="345">
        <v>875</v>
      </c>
      <c r="G155" s="56"/>
      <c r="P155" s="335">
        <v>1</v>
      </c>
      <c r="Q155" s="239">
        <v>1</v>
      </c>
      <c r="R155" s="273">
        <f>Elec_Est!R875</f>
        <v>4.9000000000000004</v>
      </c>
      <c r="S155" s="372">
        <f t="shared" si="15"/>
        <v>0</v>
      </c>
      <c r="T155" s="273">
        <f>Elec_Est!T875</f>
        <v>0</v>
      </c>
    </row>
    <row r="156" spans="1:20">
      <c r="A156" s="158"/>
      <c r="B156" s="461">
        <v>48</v>
      </c>
      <c r="C156" s="6" t="s">
        <v>73</v>
      </c>
      <c r="D156" s="36" t="s">
        <v>123</v>
      </c>
      <c r="E156" s="158"/>
      <c r="F156" s="345">
        <v>880</v>
      </c>
      <c r="G156" s="56"/>
      <c r="P156" s="335">
        <v>3</v>
      </c>
      <c r="Q156" s="239">
        <v>1</v>
      </c>
      <c r="R156" s="273">
        <f>Elec_Est!R876</f>
        <v>3</v>
      </c>
      <c r="S156" s="372">
        <f t="shared" si="15"/>
        <v>0</v>
      </c>
      <c r="T156" s="273">
        <f>Elec_Est!T876</f>
        <v>0</v>
      </c>
    </row>
    <row r="157" spans="1:20" hidden="1">
      <c r="A157" s="158"/>
      <c r="B157" s="461">
        <v>49</v>
      </c>
      <c r="C157" s="6" t="s">
        <v>73</v>
      </c>
      <c r="D157" s="36" t="s">
        <v>124</v>
      </c>
      <c r="E157" s="158"/>
      <c r="F157" s="345">
        <v>885</v>
      </c>
      <c r="G157" s="56"/>
      <c r="P157" s="335">
        <v>4</v>
      </c>
      <c r="Q157" s="239">
        <v>1</v>
      </c>
      <c r="R157" s="273">
        <f>Elec_Est!R877</f>
        <v>0</v>
      </c>
      <c r="S157" s="372">
        <f t="shared" si="15"/>
        <v>0</v>
      </c>
      <c r="T157" s="273">
        <f>Elec_Est!T877</f>
        <v>0</v>
      </c>
    </row>
    <row r="158" spans="1:20" hidden="1">
      <c r="A158" s="158"/>
      <c r="B158" s="461">
        <v>50</v>
      </c>
      <c r="C158" s="6" t="s">
        <v>73</v>
      </c>
      <c r="D158" s="36" t="s">
        <v>68</v>
      </c>
      <c r="E158" s="158"/>
      <c r="F158" s="345">
        <v>900</v>
      </c>
      <c r="G158" s="56"/>
      <c r="P158" s="335">
        <v>3</v>
      </c>
      <c r="Q158" s="239">
        <v>1</v>
      </c>
      <c r="R158" s="273">
        <f>Elec_Est!R878</f>
        <v>0</v>
      </c>
      <c r="S158" s="372">
        <f t="shared" si="15"/>
        <v>0</v>
      </c>
      <c r="T158" s="273">
        <f>Elec_Est!T878</f>
        <v>0</v>
      </c>
    </row>
    <row r="159" spans="1:20" hidden="1">
      <c r="A159" s="158"/>
      <c r="B159" s="461" t="s">
        <v>125</v>
      </c>
      <c r="C159" s="6" t="s">
        <v>73</v>
      </c>
      <c r="D159" s="36" t="s">
        <v>126</v>
      </c>
      <c r="E159" s="158"/>
      <c r="F159" s="345">
        <v>901</v>
      </c>
      <c r="G159" s="56"/>
      <c r="P159" s="335">
        <v>1</v>
      </c>
      <c r="Q159" s="239">
        <v>1</v>
      </c>
      <c r="R159" s="273">
        <f>Elec_Est!R879</f>
        <v>0</v>
      </c>
      <c r="S159" s="372">
        <f t="shared" si="15"/>
        <v>0</v>
      </c>
      <c r="T159" s="273">
        <f>Elec_Est!T879</f>
        <v>0</v>
      </c>
    </row>
    <row r="160" spans="1:20">
      <c r="A160" s="158"/>
      <c r="B160" s="901">
        <v>52</v>
      </c>
      <c r="C160" s="902" t="s">
        <v>73</v>
      </c>
      <c r="D160" s="50" t="s">
        <v>127</v>
      </c>
      <c r="E160" s="160"/>
      <c r="F160" s="903">
        <v>902</v>
      </c>
      <c r="G160" s="241"/>
      <c r="H160" s="50"/>
      <c r="I160" s="50"/>
      <c r="J160" s="50"/>
      <c r="K160" s="50"/>
      <c r="L160" s="50"/>
      <c r="M160" s="50"/>
      <c r="N160" s="50"/>
      <c r="O160" s="50"/>
      <c r="P160" s="904">
        <v>3</v>
      </c>
      <c r="Q160" s="243">
        <v>1</v>
      </c>
      <c r="R160" s="273">
        <f>Elec_Est!R880</f>
        <v>0</v>
      </c>
      <c r="S160" s="372">
        <f t="shared" si="15"/>
        <v>48.727769999999992</v>
      </c>
      <c r="T160" s="273">
        <f>Elec_Est!T880</f>
        <v>1.69</v>
      </c>
    </row>
    <row r="161" spans="1:28" hidden="1">
      <c r="A161" s="158"/>
      <c r="B161" s="461">
        <v>53</v>
      </c>
      <c r="C161" s="6" t="s">
        <v>73</v>
      </c>
      <c r="D161" s="60" t="s">
        <v>128</v>
      </c>
      <c r="E161" s="158"/>
      <c r="F161" s="345">
        <v>960</v>
      </c>
      <c r="G161" s="56"/>
      <c r="P161" s="335">
        <v>4</v>
      </c>
      <c r="Q161" s="239">
        <v>1</v>
      </c>
      <c r="R161" s="273">
        <f>Elec_Est!R881</f>
        <v>0</v>
      </c>
      <c r="S161" s="372">
        <f t="shared" si="15"/>
        <v>0</v>
      </c>
      <c r="T161" s="273">
        <f>Elec_Est!T881</f>
        <v>0</v>
      </c>
    </row>
    <row r="162" spans="1:28" hidden="1">
      <c r="A162" s="158"/>
      <c r="B162" s="461">
        <v>54</v>
      </c>
      <c r="C162" s="6" t="s">
        <v>73</v>
      </c>
      <c r="D162" s="60" t="s">
        <v>129</v>
      </c>
      <c r="E162" s="158"/>
      <c r="F162" s="345">
        <v>961</v>
      </c>
      <c r="G162" s="56"/>
      <c r="P162" s="335">
        <v>3</v>
      </c>
      <c r="Q162" s="239">
        <v>1</v>
      </c>
      <c r="R162" s="273">
        <f>Elec_Est!R882</f>
        <v>0</v>
      </c>
      <c r="S162" s="372">
        <f t="shared" si="15"/>
        <v>0</v>
      </c>
      <c r="T162" s="273">
        <f>Elec_Est!T882</f>
        <v>0</v>
      </c>
    </row>
    <row r="163" spans="1:28" hidden="1">
      <c r="A163" s="158"/>
      <c r="B163" s="461">
        <v>55</v>
      </c>
      <c r="C163" s="6" t="s">
        <v>73</v>
      </c>
      <c r="D163" s="60" t="s">
        <v>130</v>
      </c>
      <c r="E163" s="158"/>
      <c r="F163" s="345">
        <v>962</v>
      </c>
      <c r="G163" s="56"/>
      <c r="P163" s="335">
        <v>1</v>
      </c>
      <c r="Q163" s="239">
        <v>1</v>
      </c>
      <c r="R163" s="273">
        <f>Elec_Est!R883</f>
        <v>0</v>
      </c>
      <c r="S163" s="372">
        <f t="shared" si="15"/>
        <v>0</v>
      </c>
      <c r="T163" s="273">
        <f>Elec_Est!T883</f>
        <v>0</v>
      </c>
    </row>
    <row r="164" spans="1:28" hidden="1">
      <c r="A164" s="158"/>
      <c r="B164" s="461">
        <v>56</v>
      </c>
      <c r="C164" s="6" t="s">
        <v>73</v>
      </c>
      <c r="D164" s="240" t="s">
        <v>131</v>
      </c>
      <c r="E164" s="158"/>
      <c r="F164" s="345">
        <v>970</v>
      </c>
      <c r="G164" s="241"/>
      <c r="H164" s="50"/>
      <c r="I164" s="50"/>
      <c r="J164" s="242"/>
      <c r="K164" s="242"/>
      <c r="L164" s="242"/>
      <c r="M164" s="242"/>
      <c r="N164" s="242"/>
      <c r="O164" s="242"/>
      <c r="P164" s="336">
        <v>4</v>
      </c>
      <c r="Q164" s="243">
        <v>1</v>
      </c>
      <c r="R164" s="273">
        <f>Elec_Est!R884</f>
        <v>0</v>
      </c>
      <c r="S164" s="372">
        <f t="shared" si="15"/>
        <v>0</v>
      </c>
      <c r="T164" s="273">
        <f>Elec_Est!T884</f>
        <v>0</v>
      </c>
    </row>
    <row r="165" spans="1:28" ht="13.8" thickBot="1">
      <c r="A165" s="158"/>
      <c r="B165" s="344"/>
      <c r="C165" s="244"/>
      <c r="D165" s="245" t="s">
        <v>159</v>
      </c>
      <c r="E165" s="246"/>
      <c r="F165" s="78"/>
      <c r="G165" s="65"/>
      <c r="H165" s="65"/>
      <c r="I165" s="65"/>
      <c r="J165" s="247"/>
      <c r="K165" s="247"/>
      <c r="L165" s="247"/>
      <c r="M165" s="247"/>
      <c r="N165" s="247"/>
      <c r="O165" s="247"/>
      <c r="P165" s="247"/>
      <c r="Q165" s="248"/>
      <c r="R165" s="272">
        <f ca="1">SUM(R109:R164)</f>
        <v>3141.3865732644217</v>
      </c>
      <c r="S165" s="272">
        <f ca="1">SUM(S109:S164)</f>
        <v>2947.1566555004133</v>
      </c>
      <c r="T165" s="272">
        <f ca="1">SUM(T109:T164)</f>
        <v>102.21470729720855</v>
      </c>
    </row>
    <row r="166" spans="1:28" ht="14.4" thickTop="1">
      <c r="A166" s="55"/>
      <c r="B166" s="333"/>
      <c r="C166" s="6" t="s">
        <v>73</v>
      </c>
      <c r="D166" s="71"/>
      <c r="F166" s="72" t="s">
        <v>142</v>
      </c>
      <c r="G166" s="73"/>
      <c r="H166" s="36">
        <v>1</v>
      </c>
      <c r="O166" s="57"/>
      <c r="R166" s="341">
        <f ca="1">SUMIF($P109:$P164,1,R109:R164)</f>
        <v>264.04103448275862</v>
      </c>
      <c r="T166" s="339">
        <f ca="1">SUMIF($P109:$P164,1,T109:T164)</f>
        <v>40.496479310344824</v>
      </c>
      <c r="V166" s="306"/>
      <c r="W166" s="306"/>
      <c r="X166" s="306"/>
      <c r="Y166" s="306"/>
      <c r="Z166" s="306"/>
      <c r="AA166" s="306"/>
      <c r="AB166" s="306"/>
    </row>
    <row r="167" spans="1:28" ht="13.8">
      <c r="A167" s="55"/>
      <c r="B167" s="184"/>
      <c r="C167" s="6" t="s">
        <v>73</v>
      </c>
      <c r="D167" s="71"/>
      <c r="F167" s="72" t="s">
        <v>143</v>
      </c>
      <c r="G167" s="73"/>
      <c r="H167" s="36">
        <v>2</v>
      </c>
      <c r="O167" s="57"/>
      <c r="R167" s="341">
        <f ca="1">SUMIF($P109:$P164,2,R109:R164)</f>
        <v>824.86553878166308</v>
      </c>
      <c r="T167" s="340">
        <f ca="1">SUMIF($P109:$P164,2,T109:T164)</f>
        <v>26.576727986863709</v>
      </c>
      <c r="V167" s="306"/>
      <c r="W167" s="306"/>
      <c r="X167" s="306"/>
      <c r="Y167" s="306"/>
      <c r="Z167" s="306"/>
      <c r="AA167" s="306"/>
      <c r="AB167" s="306"/>
    </row>
    <row r="168" spans="1:28" ht="13.8">
      <c r="A168" s="55"/>
      <c r="B168" s="184"/>
      <c r="C168" s="6" t="s">
        <v>73</v>
      </c>
      <c r="D168" s="71"/>
      <c r="F168" s="72" t="s">
        <v>144</v>
      </c>
      <c r="G168" s="73"/>
      <c r="H168" s="36">
        <v>2</v>
      </c>
      <c r="O168" s="57"/>
      <c r="R168" s="341">
        <f>SUMIF($P109:$P164,3,R109:R164)</f>
        <v>2052.4799999999996</v>
      </c>
      <c r="T168" s="340">
        <f>SUMIF($P109:$P164,3,T109:T164)</f>
        <v>35.141500000000001</v>
      </c>
      <c r="V168" s="306"/>
      <c r="W168" s="306"/>
      <c r="X168" s="306"/>
      <c r="Y168" s="306"/>
      <c r="Z168" s="306"/>
      <c r="AA168" s="306"/>
      <c r="AB168" s="306"/>
    </row>
    <row r="169" spans="1:28" ht="13.8" hidden="1">
      <c r="A169" s="55"/>
      <c r="B169" s="184"/>
      <c r="C169" s="6" t="s">
        <v>73</v>
      </c>
      <c r="D169" s="71"/>
      <c r="F169" s="72" t="s">
        <v>145</v>
      </c>
      <c r="G169" s="73"/>
      <c r="H169" s="36">
        <v>3</v>
      </c>
      <c r="O169" s="57"/>
      <c r="R169" s="341">
        <f>SUMIF($P109:$P164,4,R109:R164)</f>
        <v>0</v>
      </c>
      <c r="T169" s="340">
        <f>SUMIF($P109:$P164,4,T109:T164)</f>
        <v>0</v>
      </c>
      <c r="V169" s="306"/>
      <c r="W169" s="306"/>
      <c r="X169" s="306"/>
      <c r="Y169" s="306"/>
      <c r="Z169" s="306"/>
      <c r="AA169" s="306"/>
      <c r="AB169" s="306"/>
    </row>
    <row r="170" spans="1:28" ht="14.4" thickBot="1">
      <c r="A170" s="55"/>
      <c r="B170" s="334"/>
      <c r="C170" s="63" t="s">
        <v>73</v>
      </c>
      <c r="D170" s="75"/>
      <c r="E170" s="65"/>
      <c r="F170" s="76" t="s">
        <v>146</v>
      </c>
      <c r="G170" s="77"/>
      <c r="H170" s="78"/>
      <c r="I170" s="78"/>
      <c r="J170" s="78"/>
      <c r="K170" s="78"/>
      <c r="L170" s="78"/>
      <c r="M170" s="78"/>
      <c r="N170" s="78"/>
      <c r="O170" s="79"/>
      <c r="P170" s="78"/>
      <c r="Q170" s="78"/>
      <c r="R170" s="342">
        <f ca="1">SUM(R166:R169)</f>
        <v>3141.3865732644213</v>
      </c>
      <c r="S170" s="81"/>
      <c r="T170" s="343">
        <f ca="1">SUM(T166:T169)</f>
        <v>102.21470729720855</v>
      </c>
      <c r="V170" s="306"/>
      <c r="W170" s="306"/>
      <c r="X170" s="306"/>
      <c r="Y170" s="306"/>
      <c r="Z170" s="306"/>
      <c r="AA170" s="306"/>
      <c r="AB170" s="306"/>
    </row>
    <row r="171" spans="1:28" ht="14.4" thickTop="1">
      <c r="B171" s="36"/>
      <c r="E171" s="140"/>
      <c r="F171" s="141"/>
      <c r="G171" s="125"/>
      <c r="H171" s="125"/>
      <c r="I171" s="125"/>
      <c r="J171" s="125"/>
      <c r="K171" s="125"/>
      <c r="L171" s="125"/>
      <c r="M171" s="125"/>
      <c r="N171" s="125"/>
      <c r="O171" s="125"/>
      <c r="P171" s="125"/>
      <c r="Q171" s="141"/>
      <c r="R171" s="141"/>
      <c r="S171" s="141"/>
      <c r="T171" s="141"/>
    </row>
    <row r="172" spans="1:28">
      <c r="C172" s="34"/>
      <c r="D172" s="34"/>
      <c r="E172" s="34"/>
      <c r="F172" s="34"/>
      <c r="G172" s="34"/>
      <c r="J172" s="34"/>
      <c r="K172" s="34"/>
      <c r="L172" s="34"/>
      <c r="M172" s="34"/>
      <c r="N172" s="34"/>
      <c r="O172" s="34"/>
      <c r="P172" s="34"/>
      <c r="Q172" s="34"/>
      <c r="R172" s="34"/>
      <c r="S172" s="34"/>
      <c r="T172" s="34"/>
    </row>
    <row r="173" spans="1:28">
      <c r="D173" s="36" t="s">
        <v>58</v>
      </c>
      <c r="E173" s="10"/>
      <c r="F173" s="135"/>
      <c r="G173" s="2"/>
      <c r="S173" s="33"/>
      <c r="T173" s="33"/>
    </row>
    <row r="174" spans="1:28" ht="15.6">
      <c r="D174" s="201" t="s">
        <v>246</v>
      </c>
    </row>
    <row r="175" spans="1:28">
      <c r="D175" s="249">
        <f ca="1">D95</f>
        <v>46059.470838657406</v>
      </c>
    </row>
    <row r="176" spans="1:28">
      <c r="A176" s="34"/>
    </row>
  </sheetData>
  <sheetProtection formatCells="0" formatColumns="0" formatRows="0" insertHyperlinks="0"/>
  <mergeCells count="14">
    <mergeCell ref="D1:E1"/>
    <mergeCell ref="D2:E2"/>
    <mergeCell ref="D3:E3"/>
    <mergeCell ref="B16:E17"/>
    <mergeCell ref="B14:E15"/>
    <mergeCell ref="B18:E18"/>
    <mergeCell ref="D84:E84"/>
    <mergeCell ref="B57:T57"/>
    <mergeCell ref="B58:T58"/>
    <mergeCell ref="A55:B55"/>
    <mergeCell ref="A48:S48"/>
    <mergeCell ref="Q18:T18"/>
    <mergeCell ref="A47:S47"/>
    <mergeCell ref="B19:E19"/>
  </mergeCells>
  <phoneticPr fontId="29" type="noConversion"/>
  <conditionalFormatting sqref="B11">
    <cfRule type="cellIs" dxfId="21" priority="15" stopIfTrue="1" operator="equal">
      <formula>"CHECKLIST IS INCOMPLETE !"</formula>
    </cfRule>
    <cfRule type="cellIs" dxfId="20" priority="16" stopIfTrue="1" operator="equal">
      <formula>"CHECKLIST OK"</formula>
    </cfRule>
  </conditionalFormatting>
  <conditionalFormatting sqref="B14">
    <cfRule type="cellIs" dxfId="19" priority="7" stopIfTrue="1" operator="equal">
      <formula>"QUOTE ISSUED WITH                    VAT INCLUDED"</formula>
    </cfRule>
    <cfRule type="cellIs" dxfId="18" priority="8" stopIfTrue="1" operator="notEqual">
      <formula>"QUOTE ISSUED WITH                    VAT INCLUDED"</formula>
    </cfRule>
  </conditionalFormatting>
  <conditionalFormatting sqref="B35">
    <cfRule type="cellIs" dxfId="17" priority="19" stopIfTrue="1" operator="notEqual">
      <formula>ROUND($E$35,2)</formula>
    </cfRule>
  </conditionalFormatting>
  <conditionalFormatting sqref="B18:E18">
    <cfRule type="cellIs" dxfId="16" priority="17" stopIfTrue="1" operator="equal">
      <formula>"CHECKLIST INCOMPLETE !"</formula>
    </cfRule>
  </conditionalFormatting>
  <conditionalFormatting sqref="D6 E37">
    <cfRule type="cellIs" dxfId="15" priority="1" stopIfTrue="1" operator="equal">
      <formula>"VAT INCLUDED"</formula>
    </cfRule>
    <cfRule type="cellIs" dxfId="14" priority="2" stopIfTrue="1" operator="equal">
      <formula>"VAT EXCL."</formula>
    </cfRule>
  </conditionalFormatting>
  <conditionalFormatting sqref="E24:E32">
    <cfRule type="cellIs" dxfId="13" priority="18" stopIfTrue="1" operator="equal">
      <formula>0</formula>
    </cfRule>
  </conditionalFormatting>
  <conditionalFormatting sqref="E36">
    <cfRule type="cellIs" dxfId="12" priority="10" stopIfTrue="1" operator="equal">
      <formula>"Final Sell Curr?"</formula>
    </cfRule>
  </conditionalFormatting>
  <conditionalFormatting sqref="F11">
    <cfRule type="cellIs" dxfId="11" priority="14" stopIfTrue="1" operator="equal">
      <formula>"CHECKLIST IS STILL INCOMPLETE"</formula>
    </cfRule>
  </conditionalFormatting>
  <conditionalFormatting sqref="Q1">
    <cfRule type="cellIs" dxfId="10" priority="9" stopIfTrue="1" operator="notEqual">
      <formula>"€"</formula>
    </cfRule>
  </conditionalFormatting>
  <conditionalFormatting sqref="Q2:Q12 Q23:Q32">
    <cfRule type="cellIs" dxfId="9" priority="3" stopIfTrue="1" operator="greaterThan">
      <formula>0</formula>
    </cfRule>
    <cfRule type="cellIs" dxfId="8" priority="4" stopIfTrue="1" operator="equal">
      <formula>0</formula>
    </cfRule>
  </conditionalFormatting>
  <conditionalFormatting sqref="S1">
    <cfRule type="cellIs" dxfId="7" priority="12" stopIfTrue="1" operator="notEqual">
      <formula>"R"</formula>
    </cfRule>
    <cfRule type="cellIs" dxfId="6" priority="13" stopIfTrue="1" operator="equal">
      <formula>"R"</formula>
    </cfRule>
  </conditionalFormatting>
  <conditionalFormatting sqref="S39">
    <cfRule type="cellIs" dxfId="5" priority="11" stopIfTrue="1" operator="notEqual">
      <formula>"PRINT"</formula>
    </cfRule>
  </conditionalFormatting>
  <conditionalFormatting sqref="S2:T11">
    <cfRule type="cellIs" dxfId="4" priority="5" stopIfTrue="1" operator="greaterThan">
      <formula>0</formula>
    </cfRule>
    <cfRule type="cellIs" dxfId="3" priority="6" stopIfTrue="1" operator="equal">
      <formula>0</formula>
    </cfRule>
  </conditionalFormatting>
  <dataValidations xWindow="275" yWindow="522" count="8">
    <dataValidation type="list" allowBlank="1" showInputMessage="1" showErrorMessage="1" sqref="D6" xr:uid="{00000000-0002-0000-0300-000000000000}">
      <formula1>"VAT EXCL., VAT INCLUDED, VAT IN MARKUPS"</formula1>
    </dataValidation>
    <dataValidation type="list" allowBlank="1" showInputMessage="1" showErrorMessage="1" sqref="W1" xr:uid="{00000000-0002-0000-0300-000001000000}">
      <formula1>"BOQ,TDWG,ACT,DIF_TD,DIF_A"</formula1>
    </dataValidation>
    <dataValidation type="textLength" showInputMessage="1" showErrorMessage="1" sqref="S1" xr:uid="{00000000-0002-0000-0300-000002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300-000003000000}">
      <formula1>"PRINT,Test for 0.00,"</formula1>
    </dataValidation>
    <dataValidation type="list" allowBlank="1" showInputMessage="1" showErrorMessage="1" sqref="A33" xr:uid="{00000000-0002-0000-0300-000004000000}">
      <formula1>"MIXED, ,"</formula1>
    </dataValidation>
    <dataValidation type="list" allowBlank="1" showInputMessage="1" showErrorMessage="1" sqref="Q1" xr:uid="{00000000-0002-0000-0300-000005000000}">
      <formula1>"Lm,€,$US,CIF,LibDin,"</formula1>
    </dataValidation>
    <dataValidation type="list" allowBlank="1" showInputMessage="1" showErrorMessage="1" sqref="D8" xr:uid="{00000000-0002-0000-0300-000007000000}">
      <formula1>"M.Scicluna,Umut Kaymak,,T.Sammut,R.Farrugia,G.Mifsud,C.Gidulski,R.Raphel"</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_x000a_€28.83 for 2026" sqref="D9" xr:uid="{A256FFA5-4E39-431B-A554-508C85E20F55}">
      <formula1>"28.833,27.46,24.50,23.95,22.96,23.02,23.52,22.42,21.57,24.39,23.36,23.23,24.10,23.75,26.30,not used"</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266700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1</xdr:col>
                    <xdr:colOff>137160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342900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335280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274320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251460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1</xdr:col>
                    <xdr:colOff>68580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190500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563880</xdr:colOff>
                    <xdr:row>9</xdr:row>
                    <xdr:rowOff>121920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43"/>
  </sheetPr>
  <dimension ref="A1:U58"/>
  <sheetViews>
    <sheetView workbookViewId="0">
      <selection activeCell="T35" sqref="T35"/>
    </sheetView>
  </sheetViews>
  <sheetFormatPr defaultColWidth="9.109375" defaultRowHeight="13.2"/>
  <cols>
    <col min="1" max="2" width="8" style="504" customWidth="1"/>
    <col min="3" max="3" width="3.88671875" style="504" hidden="1" customWidth="1"/>
    <col min="4" max="4" width="15.6640625" style="504" customWidth="1"/>
    <col min="5" max="6" width="12.6640625" style="504" customWidth="1"/>
    <col min="7" max="7" width="9.6640625" style="504" hidden="1" customWidth="1"/>
    <col min="8" max="8" width="7.6640625" style="504" hidden="1" customWidth="1"/>
    <col min="9" max="11" width="8.6640625" style="504" hidden="1" customWidth="1"/>
    <col min="12" max="12" width="6.6640625" style="504" hidden="1" customWidth="1"/>
    <col min="13" max="16" width="8.6640625" style="504" hidden="1" customWidth="1"/>
    <col min="17" max="17" width="12.88671875" style="504" customWidth="1"/>
    <col min="18" max="18" width="8.6640625" style="504" customWidth="1"/>
    <col min="19" max="19" width="10.88671875" style="504" customWidth="1"/>
    <col min="20" max="20" width="8.33203125" style="504" customWidth="1"/>
    <col min="21" max="16384" width="9.109375" style="504"/>
  </cols>
  <sheetData>
    <row r="1" spans="1:21" s="502" customFormat="1">
      <c r="A1" s="1022" t="str">
        <f>IF(AND(UPPER(LEFT(TRIM($D$8),11))="01",UPPER(LEFT(TRIM($D$9),3))&lt;&gt;"ELM"),"PANTA RETAIL LTD.","PANTA CONTRACTING LIMITED")</f>
        <v>PANTA CONTRACTING LIMITED</v>
      </c>
      <c r="B1" s="1022"/>
      <c r="C1" s="1022"/>
      <c r="D1" s="1022"/>
      <c r="E1" s="1022"/>
      <c r="F1" s="1022"/>
      <c r="G1" s="1022"/>
      <c r="H1" s="1022"/>
      <c r="I1" s="1022"/>
      <c r="J1" s="1022"/>
      <c r="K1" s="1022"/>
      <c r="L1" s="1022"/>
      <c r="M1" s="1022"/>
      <c r="N1" s="1022"/>
      <c r="O1" s="1022"/>
      <c r="P1" s="1022"/>
      <c r="Q1" s="1022"/>
      <c r="R1" s="1022"/>
      <c r="S1" s="1022"/>
      <c r="T1" s="1022"/>
      <c r="U1" s="505"/>
    </row>
    <row r="2" spans="1:21" s="502" customFormat="1">
      <c r="A2" s="1023" t="str">
        <f>IF(UPPER(LEFT(TRIM($D$9),3))="ELM","ELEC-FOR-MECH INTERNAL QUOTATION","ELECTRICAL INTERNAL QUOTATION")</f>
        <v>ELECTRICAL INTERNAL QUOTATION</v>
      </c>
      <c r="B2" s="1023"/>
      <c r="C2" s="1023"/>
      <c r="D2" s="1023"/>
      <c r="E2" s="1023"/>
      <c r="F2" s="1023"/>
      <c r="G2" s="1023"/>
      <c r="H2" s="1023"/>
      <c r="I2" s="1023"/>
      <c r="J2" s="1023"/>
      <c r="K2" s="1023"/>
      <c r="L2" s="1023"/>
      <c r="M2" s="1023"/>
      <c r="N2" s="1023"/>
      <c r="O2" s="1023"/>
      <c r="P2" s="1023"/>
      <c r="Q2" s="1023"/>
      <c r="R2" s="1023"/>
      <c r="S2" s="1023"/>
      <c r="T2" s="1023"/>
    </row>
    <row r="3" spans="1:21" s="502" customFormat="1">
      <c r="B3" s="503"/>
      <c r="G3" s="504"/>
      <c r="H3" s="504"/>
      <c r="I3" s="504"/>
      <c r="J3" s="504"/>
    </row>
    <row r="4" spans="1:21" s="502" customFormat="1">
      <c r="A4" s="504"/>
      <c r="B4" s="504"/>
      <c r="C4" s="504"/>
      <c r="D4" s="504"/>
      <c r="E4" s="504"/>
      <c r="F4" s="504"/>
      <c r="G4" s="504"/>
      <c r="H4" s="504"/>
      <c r="I4" s="504"/>
      <c r="J4" s="504"/>
      <c r="K4" s="504"/>
      <c r="L4" s="504"/>
      <c r="M4" s="504"/>
      <c r="N4" s="504"/>
      <c r="O4" s="504"/>
      <c r="P4" s="504"/>
      <c r="Q4" s="504"/>
      <c r="R4" s="504"/>
      <c r="S4" s="504"/>
      <c r="T4" s="504"/>
    </row>
    <row r="5" spans="1:21" s="502" customFormat="1">
      <c r="B5" s="503" t="s">
        <v>206</v>
      </c>
      <c r="C5" s="504"/>
      <c r="D5" s="505" t="s">
        <v>620</v>
      </c>
      <c r="E5" s="504"/>
      <c r="F5" s="504"/>
      <c r="G5" s="506"/>
      <c r="H5" s="506"/>
      <c r="I5" s="507"/>
      <c r="J5" s="507"/>
      <c r="K5" s="506"/>
      <c r="L5" s="506"/>
      <c r="M5" s="506"/>
      <c r="N5" s="506"/>
      <c r="O5" s="506"/>
      <c r="P5" s="506"/>
      <c r="Q5" s="504"/>
      <c r="R5" s="508" t="s">
        <v>168</v>
      </c>
      <c r="S5" s="509">
        <f ca="1">NOW()</f>
        <v>46059.470838657406</v>
      </c>
      <c r="T5" s="504"/>
    </row>
    <row r="6" spans="1:21" s="502" customFormat="1">
      <c r="A6" s="528"/>
      <c r="B6" s="528" t="s">
        <v>0</v>
      </c>
      <c r="C6" s="510" t="s">
        <v>207</v>
      </c>
      <c r="D6" s="502" t="str">
        <f>ML_Sum!D1</f>
        <v>SUNCREST HOTELS plc</v>
      </c>
      <c r="G6" s="504"/>
      <c r="H6" s="504"/>
      <c r="I6" s="504"/>
      <c r="J6" s="504"/>
      <c r="R6" s="504"/>
      <c r="S6" s="504"/>
      <c r="T6" s="504"/>
    </row>
    <row r="7" spans="1:21" s="502" customFormat="1">
      <c r="A7" s="528"/>
      <c r="B7" s="528" t="s">
        <v>2</v>
      </c>
      <c r="C7" s="510" t="s">
        <v>208</v>
      </c>
      <c r="D7" s="502" t="str">
        <f>ML_Sum!D2</f>
        <v>Sunny Cost and Lido Redevelopment</v>
      </c>
      <c r="G7" s="504"/>
      <c r="H7" s="504"/>
      <c r="I7" s="504"/>
      <c r="J7" s="504"/>
      <c r="R7" s="504"/>
      <c r="S7" s="504"/>
      <c r="T7" s="504"/>
    </row>
    <row r="8" spans="1:21" s="502" customFormat="1">
      <c r="A8" s="528"/>
      <c r="B8" s="528" t="s">
        <v>4</v>
      </c>
      <c r="C8" s="510" t="s">
        <v>209</v>
      </c>
      <c r="D8" s="502" t="str">
        <f>ML_Sum!D3</f>
        <v>Sample Room - Electrical</v>
      </c>
      <c r="G8" s="504"/>
      <c r="H8" s="504"/>
      <c r="I8" s="504"/>
      <c r="J8" s="504"/>
      <c r="R8" s="504"/>
      <c r="S8" s="504"/>
      <c r="T8" s="504"/>
    </row>
    <row r="9" spans="1:21" s="502" customFormat="1">
      <c r="A9" s="504"/>
      <c r="B9" s="503" t="s">
        <v>6</v>
      </c>
      <c r="C9" s="510" t="s">
        <v>210</v>
      </c>
      <c r="D9" s="502" t="str">
        <f>ML_Sum!D4</f>
        <v>EL25-0700</v>
      </c>
      <c r="G9" s="504"/>
      <c r="H9" s="504"/>
      <c r="I9" s="504"/>
      <c r="J9" s="504"/>
    </row>
    <row r="10" spans="1:21" s="502" customFormat="1">
      <c r="A10" s="504"/>
      <c r="B10" s="508" t="s">
        <v>160</v>
      </c>
      <c r="C10" s="510" t="s">
        <v>211</v>
      </c>
      <c r="D10" s="502" t="str">
        <f>ML_Sum!D5</f>
        <v>Sample Room</v>
      </c>
      <c r="E10" s="504"/>
      <c r="F10" s="504"/>
      <c r="G10" s="504"/>
      <c r="H10" s="504"/>
      <c r="I10" s="504"/>
      <c r="J10" s="504"/>
      <c r="K10" s="504"/>
      <c r="L10" s="504"/>
      <c r="M10" s="504"/>
      <c r="N10" s="504"/>
      <c r="O10" s="504"/>
      <c r="P10" s="504"/>
      <c r="Q10" s="504"/>
      <c r="R10" s="504"/>
      <c r="S10" s="504"/>
      <c r="T10" s="504"/>
    </row>
    <row r="11" spans="1:21" s="502" customFormat="1">
      <c r="A11" s="504"/>
      <c r="B11" s="504"/>
      <c r="C11" s="506"/>
      <c r="D11" s="504"/>
      <c r="E11" s="504"/>
      <c r="F11" s="504"/>
      <c r="G11" s="504"/>
      <c r="H11" s="504"/>
      <c r="I11" s="504"/>
      <c r="J11" s="504"/>
      <c r="K11" s="504"/>
      <c r="L11" s="504"/>
      <c r="M11" s="504"/>
      <c r="N11" s="504"/>
      <c r="O11" s="504"/>
      <c r="P11" s="504"/>
      <c r="Q11" s="504"/>
      <c r="R11" s="504"/>
      <c r="S11" s="504"/>
      <c r="T11" s="504"/>
    </row>
    <row r="12" spans="1:21" s="502" customFormat="1">
      <c r="D12" s="504"/>
      <c r="E12" s="504"/>
      <c r="F12" s="504"/>
      <c r="G12" s="504"/>
      <c r="H12" s="504"/>
      <c r="I12" s="504"/>
      <c r="J12" s="504"/>
      <c r="K12" s="504"/>
      <c r="L12" s="504"/>
      <c r="M12" s="504"/>
      <c r="N12" s="504"/>
      <c r="O12" s="504"/>
      <c r="P12" s="504"/>
      <c r="Q12" s="504"/>
      <c r="R12" s="504"/>
      <c r="S12" s="504"/>
      <c r="T12" s="504"/>
    </row>
    <row r="13" spans="1:21" s="502" customFormat="1">
      <c r="A13" s="511"/>
      <c r="D13" s="504"/>
      <c r="E13" s="504"/>
      <c r="F13" s="504"/>
      <c r="G13" s="504"/>
      <c r="H13" s="504"/>
      <c r="I13" s="504"/>
      <c r="J13" s="504"/>
      <c r="K13" s="504"/>
      <c r="L13" s="504"/>
      <c r="M13" s="504"/>
      <c r="N13" s="504"/>
      <c r="O13" s="504"/>
      <c r="P13" s="504"/>
      <c r="Q13" s="504"/>
      <c r="R13" s="504"/>
      <c r="S13" s="504"/>
      <c r="T13" s="504"/>
    </row>
    <row r="14" spans="1:21" s="502" customFormat="1">
      <c r="G14" s="504"/>
      <c r="H14" s="504"/>
      <c r="I14" s="504"/>
      <c r="J14" s="504"/>
    </row>
    <row r="15" spans="1:21" s="502" customFormat="1">
      <c r="G15" s="504"/>
      <c r="H15" s="504"/>
      <c r="I15" s="504"/>
      <c r="J15" s="504"/>
    </row>
    <row r="16" spans="1:21" s="502" customFormat="1">
      <c r="G16" s="504"/>
      <c r="H16" s="504"/>
      <c r="I16" s="504"/>
      <c r="J16" s="504"/>
    </row>
    <row r="17" spans="1:20" s="502" customFormat="1">
      <c r="G17" s="504"/>
      <c r="H17" s="504"/>
      <c r="I17" s="504"/>
      <c r="J17" s="504"/>
    </row>
    <row r="18" spans="1:20" s="502" customFormat="1">
      <c r="G18" s="504"/>
      <c r="H18" s="504"/>
      <c r="I18" s="504"/>
      <c r="J18" s="504"/>
    </row>
    <row r="19" spans="1:20" s="502" customFormat="1">
      <c r="G19" s="504"/>
      <c r="H19" s="504"/>
      <c r="I19" s="504"/>
      <c r="J19" s="504"/>
    </row>
    <row r="20" spans="1:20" s="502" customFormat="1">
      <c r="G20" s="504"/>
      <c r="H20" s="504"/>
      <c r="I20" s="504"/>
      <c r="J20" s="504"/>
    </row>
    <row r="21" spans="1:20" s="502" customFormat="1">
      <c r="G21" s="504"/>
      <c r="H21" s="504"/>
      <c r="I21" s="504"/>
      <c r="J21" s="504"/>
    </row>
    <row r="22" spans="1:20" s="502" customFormat="1">
      <c r="A22" s="504"/>
      <c r="B22" s="504"/>
      <c r="C22" s="504"/>
      <c r="D22" s="512" t="s">
        <v>217</v>
      </c>
      <c r="E22" s="513">
        <f ca="1">ML_Sum!E35</f>
        <v>6113.4599999999964</v>
      </c>
      <c r="F22" s="510" t="str">
        <f>ML_Sum!D6</f>
        <v>VAT EXCL.</v>
      </c>
      <c r="G22" s="529" t="s">
        <v>169</v>
      </c>
      <c r="H22" s="529" t="s">
        <v>169</v>
      </c>
      <c r="I22" s="529" t="s">
        <v>169</v>
      </c>
      <c r="J22" s="529" t="s">
        <v>169</v>
      </c>
      <c r="K22" s="529" t="s">
        <v>169</v>
      </c>
      <c r="L22" s="529" t="s">
        <v>169</v>
      </c>
      <c r="M22" s="529" t="s">
        <v>169</v>
      </c>
      <c r="N22" s="529" t="s">
        <v>169</v>
      </c>
      <c r="O22" s="529" t="s">
        <v>169</v>
      </c>
      <c r="P22" s="529" t="s">
        <v>169</v>
      </c>
      <c r="Q22" s="530"/>
      <c r="R22" s="504"/>
      <c r="S22" s="504"/>
      <c r="T22" s="504"/>
    </row>
    <row r="23" spans="1:20" s="502" customFormat="1">
      <c r="A23" s="504"/>
      <c r="B23" s="504"/>
      <c r="C23" s="504"/>
      <c r="D23" s="531"/>
      <c r="E23" s="514"/>
      <c r="F23" s="514"/>
      <c r="G23" s="530"/>
      <c r="H23" s="530"/>
      <c r="I23" s="530"/>
      <c r="J23" s="530"/>
      <c r="K23" s="530"/>
      <c r="L23" s="530"/>
      <c r="M23" s="530"/>
      <c r="N23" s="530"/>
      <c r="O23" s="530"/>
      <c r="P23" s="530"/>
      <c r="Q23" s="530"/>
      <c r="S23" s="504"/>
    </row>
    <row r="24" spans="1:20" s="502" customFormat="1">
      <c r="A24" s="504"/>
      <c r="B24" s="504"/>
      <c r="C24" s="504"/>
      <c r="D24" s="515"/>
      <c r="E24" s="530"/>
      <c r="F24" s="530"/>
      <c r="G24" s="530"/>
      <c r="H24" s="530"/>
      <c r="I24" s="530"/>
      <c r="J24" s="530"/>
      <c r="K24" s="530"/>
      <c r="L24" s="530"/>
      <c r="M24" s="530"/>
      <c r="N24" s="530"/>
      <c r="O24" s="530"/>
      <c r="P24" s="530"/>
      <c r="Q24" s="530"/>
      <c r="S24" s="504"/>
    </row>
    <row r="25" spans="1:20" s="502" customFormat="1">
      <c r="A25" s="516"/>
      <c r="B25" s="517"/>
      <c r="C25" s="517"/>
      <c r="D25" s="504"/>
      <c r="E25" s="504"/>
      <c r="F25" s="504"/>
      <c r="G25" s="504"/>
      <c r="H25" s="504"/>
      <c r="I25" s="504"/>
      <c r="J25" s="504"/>
      <c r="K25" s="504"/>
      <c r="L25" s="504"/>
      <c r="M25" s="504"/>
      <c r="N25" s="504"/>
      <c r="O25" s="504"/>
      <c r="P25" s="504"/>
      <c r="Q25" s="504"/>
    </row>
    <row r="26" spans="1:20" s="502" customFormat="1">
      <c r="A26" s="505"/>
      <c r="G26" s="504"/>
      <c r="H26" s="504"/>
      <c r="I26" s="504"/>
      <c r="J26" s="504"/>
    </row>
    <row r="27" spans="1:20" s="502" customFormat="1">
      <c r="A27" s="505"/>
      <c r="G27" s="504"/>
      <c r="H27" s="504"/>
      <c r="I27" s="504"/>
      <c r="J27" s="504"/>
    </row>
    <row r="28" spans="1:20" s="502" customFormat="1">
      <c r="A28" s="505"/>
      <c r="G28" s="504"/>
      <c r="H28" s="504"/>
      <c r="I28" s="504"/>
      <c r="J28" s="504"/>
    </row>
    <row r="29" spans="1:20" s="502" customFormat="1">
      <c r="A29" s="505"/>
      <c r="G29" s="504"/>
      <c r="H29" s="504"/>
      <c r="I29" s="504"/>
      <c r="J29" s="504"/>
    </row>
    <row r="30" spans="1:20" s="502" customFormat="1">
      <c r="A30" s="505"/>
      <c r="G30" s="504"/>
      <c r="H30" s="504"/>
      <c r="I30" s="504"/>
      <c r="J30" s="504"/>
    </row>
    <row r="31" spans="1:20" s="502" customFormat="1">
      <c r="A31" s="505"/>
      <c r="G31" s="504"/>
      <c r="H31" s="504"/>
      <c r="I31" s="504"/>
      <c r="J31" s="504"/>
    </row>
    <row r="32" spans="1:20" s="502" customFormat="1">
      <c r="A32" s="505"/>
      <c r="G32" s="504"/>
      <c r="H32" s="504"/>
      <c r="I32" s="504"/>
      <c r="J32" s="504"/>
    </row>
    <row r="33" spans="1:20" s="502" customFormat="1">
      <c r="G33" s="504"/>
      <c r="H33" s="504"/>
      <c r="I33" s="504"/>
      <c r="J33" s="504"/>
    </row>
    <row r="34" spans="1:20" s="502" customFormat="1">
      <c r="A34" s="504"/>
      <c r="B34" s="504"/>
      <c r="C34" s="504"/>
      <c r="D34" s="504"/>
      <c r="E34" s="504"/>
      <c r="F34" s="504"/>
      <c r="G34" s="504"/>
      <c r="H34" s="504"/>
      <c r="I34" s="504"/>
      <c r="J34" s="504"/>
      <c r="K34" s="504"/>
      <c r="L34" s="504"/>
      <c r="M34" s="504"/>
      <c r="N34" s="504"/>
      <c r="O34" s="504"/>
      <c r="P34" s="504"/>
      <c r="Q34" s="504"/>
      <c r="R34" s="504"/>
      <c r="S34" s="504"/>
      <c r="T34" s="504"/>
    </row>
    <row r="35" spans="1:20" s="502" customFormat="1">
      <c r="A35" s="504"/>
      <c r="B35" s="504"/>
      <c r="C35" s="504"/>
      <c r="D35" s="504"/>
      <c r="E35" s="504"/>
      <c r="F35" s="504"/>
      <c r="G35" s="504"/>
      <c r="H35" s="504"/>
      <c r="I35" s="504"/>
      <c r="J35" s="504"/>
      <c r="K35" s="504"/>
      <c r="L35" s="504"/>
      <c r="M35" s="504"/>
      <c r="N35" s="504"/>
      <c r="O35" s="504"/>
      <c r="P35" s="504"/>
      <c r="Q35" s="504"/>
      <c r="R35" s="504"/>
      <c r="S35" s="504"/>
      <c r="T35" s="504"/>
    </row>
    <row r="36" spans="1:20" s="502" customFormat="1">
      <c r="A36" s="504"/>
      <c r="B36" s="504"/>
      <c r="C36" s="504"/>
      <c r="D36" s="504"/>
      <c r="E36" s="504"/>
      <c r="F36" s="504"/>
      <c r="G36" s="504"/>
      <c r="H36" s="504"/>
      <c r="I36" s="504"/>
      <c r="J36" s="504"/>
      <c r="K36" s="504"/>
      <c r="L36" s="504"/>
      <c r="M36" s="504"/>
      <c r="N36" s="504"/>
      <c r="O36" s="504"/>
      <c r="P36" s="504"/>
      <c r="Q36" s="504"/>
      <c r="R36" s="504"/>
      <c r="S36" s="504"/>
      <c r="T36" s="504"/>
    </row>
    <row r="37" spans="1:20" s="502" customFormat="1">
      <c r="G37" s="504"/>
      <c r="H37" s="504"/>
      <c r="I37" s="504"/>
      <c r="J37" s="504"/>
    </row>
    <row r="38" spans="1:20" s="502" customFormat="1">
      <c r="A38" s="511"/>
      <c r="B38" s="518"/>
      <c r="G38" s="504"/>
      <c r="H38" s="504"/>
      <c r="I38" s="504"/>
      <c r="J38" s="504"/>
    </row>
    <row r="39" spans="1:20" s="502" customFormat="1">
      <c r="A39" s="505"/>
      <c r="G39" s="504"/>
      <c r="H39" s="504"/>
      <c r="I39" s="504"/>
      <c r="J39" s="504"/>
    </row>
    <row r="40" spans="1:20" s="502" customFormat="1">
      <c r="A40" s="505"/>
      <c r="G40" s="504"/>
      <c r="H40" s="504"/>
      <c r="I40" s="504"/>
      <c r="J40" s="504"/>
    </row>
    <row r="41" spans="1:20" s="502" customFormat="1">
      <c r="A41" s="505"/>
      <c r="G41" s="504"/>
      <c r="H41" s="504"/>
      <c r="I41" s="504"/>
      <c r="J41" s="504"/>
    </row>
    <row r="42" spans="1:20" s="502" customFormat="1">
      <c r="A42" s="505"/>
      <c r="G42" s="504"/>
      <c r="H42" s="504"/>
      <c r="I42" s="504"/>
      <c r="J42" s="504"/>
    </row>
    <row r="43" spans="1:20" s="502" customFormat="1">
      <c r="A43" s="505"/>
      <c r="G43" s="504"/>
      <c r="H43" s="504"/>
      <c r="I43" s="504"/>
      <c r="J43" s="504"/>
    </row>
    <row r="44" spans="1:20" s="502" customFormat="1">
      <c r="A44" s="505"/>
      <c r="G44" s="504"/>
      <c r="H44" s="504"/>
      <c r="I44" s="504"/>
      <c r="J44" s="504"/>
    </row>
    <row r="45" spans="1:20" s="502" customFormat="1">
      <c r="A45" s="505"/>
      <c r="G45" s="504"/>
      <c r="H45" s="504"/>
      <c r="I45" s="504"/>
      <c r="J45" s="504"/>
    </row>
    <row r="46" spans="1:20" s="502" customFormat="1">
      <c r="A46" s="505"/>
      <c r="G46" s="504"/>
      <c r="H46" s="504"/>
      <c r="I46" s="504"/>
      <c r="J46" s="504"/>
    </row>
    <row r="47" spans="1:20" s="502" customFormat="1">
      <c r="A47" s="505"/>
      <c r="G47" s="504"/>
      <c r="H47" s="504"/>
      <c r="I47" s="504"/>
      <c r="J47" s="504"/>
    </row>
    <row r="48" spans="1:20" s="502" customFormat="1">
      <c r="G48" s="504"/>
      <c r="H48" s="504"/>
      <c r="I48" s="504"/>
      <c r="J48" s="504"/>
    </row>
    <row r="49" spans="1:19" s="502" customFormat="1">
      <c r="G49" s="504"/>
      <c r="H49" s="504"/>
      <c r="I49" s="504"/>
      <c r="J49" s="504"/>
    </row>
    <row r="50" spans="1:19" s="502" customFormat="1">
      <c r="A50" s="506"/>
      <c r="B50" s="506"/>
      <c r="C50" s="506"/>
      <c r="G50" s="504"/>
      <c r="H50" s="504"/>
      <c r="I50" s="504"/>
      <c r="J50" s="504"/>
      <c r="Q50" s="506"/>
      <c r="R50" s="506"/>
      <c r="S50" s="506"/>
    </row>
    <row r="51" spans="1:19" s="502" customFormat="1">
      <c r="A51" s="502" t="s">
        <v>132</v>
      </c>
      <c r="D51" s="519"/>
      <c r="G51" s="504"/>
      <c r="H51" s="504"/>
      <c r="I51" s="504"/>
      <c r="J51" s="504"/>
      <c r="Q51" s="502" t="s">
        <v>132</v>
      </c>
    </row>
    <row r="52" spans="1:19" s="502" customFormat="1">
      <c r="A52" s="502" t="s">
        <v>133</v>
      </c>
      <c r="G52" s="504"/>
      <c r="H52" s="504"/>
      <c r="I52" s="504"/>
      <c r="J52" s="504"/>
      <c r="Q52" s="502" t="s">
        <v>170</v>
      </c>
    </row>
    <row r="53" spans="1:19" s="502" customFormat="1" ht="13.8" thickBot="1">
      <c r="G53" s="504"/>
      <c r="H53" s="504"/>
      <c r="I53" s="504"/>
      <c r="J53" s="504"/>
    </row>
    <row r="54" spans="1:19" s="502" customFormat="1">
      <c r="G54" s="504"/>
      <c r="H54" s="504"/>
      <c r="I54" s="504"/>
      <c r="J54" s="504"/>
      <c r="Q54" s="520" t="s">
        <v>171</v>
      </c>
      <c r="R54" s="521"/>
    </row>
    <row r="55" spans="1:19" s="502" customFormat="1">
      <c r="G55" s="504"/>
      <c r="H55" s="504"/>
      <c r="I55" s="504"/>
      <c r="J55" s="504"/>
      <c r="Q55" s="522" t="s">
        <v>244</v>
      </c>
      <c r="R55" s="523"/>
    </row>
    <row r="56" spans="1:19" s="502" customFormat="1">
      <c r="G56" s="504"/>
      <c r="H56" s="504"/>
      <c r="I56" s="504"/>
      <c r="J56" s="504"/>
      <c r="Q56" s="522"/>
      <c r="R56" s="523"/>
    </row>
    <row r="57" spans="1:19" s="502" customFormat="1" ht="13.8" thickBot="1">
      <c r="A57" s="524"/>
      <c r="Q57" s="525" t="s">
        <v>172</v>
      </c>
      <c r="R57" s="526"/>
    </row>
    <row r="58" spans="1:19" s="502" customFormat="1">
      <c r="A58" s="532"/>
      <c r="B58" s="527"/>
      <c r="C58" s="527"/>
      <c r="D58" s="527"/>
      <c r="E58" s="527"/>
      <c r="F58" s="527"/>
    </row>
  </sheetData>
  <sheetProtection formatCells="0" formatColumns="0" formatRows="0" insertColumns="0" insertRows="0"/>
  <mergeCells count="2">
    <mergeCell ref="A1:T1"/>
    <mergeCell ref="A2:T2"/>
  </mergeCells>
  <conditionalFormatting sqref="A1:T1">
    <cfRule type="cellIs" dxfId="2" priority="3" stopIfTrue="1" operator="equal">
      <formula>"PANTA RETAIL LTD."</formula>
    </cfRule>
  </conditionalFormatting>
  <conditionalFormatting sqref="C6:C10 F22">
    <cfRule type="cellIs" dxfId="1" priority="1" stopIfTrue="1" operator="equal">
      <formula>"VAT INCLUDED"</formula>
    </cfRule>
    <cfRule type="cellIs" dxfId="0"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Z422"/>
  <sheetViews>
    <sheetView showZeros="0" view="pageBreakPreview" topLeftCell="A307" zoomScaleNormal="85" zoomScaleSheetLayoutView="100" zoomScalePageLayoutView="55" workbookViewId="0">
      <selection activeCell="E287" sqref="E287:E293"/>
    </sheetView>
  </sheetViews>
  <sheetFormatPr defaultColWidth="8.88671875" defaultRowHeight="14.4"/>
  <cols>
    <col min="1" max="1" width="8.88671875" style="533"/>
    <col min="2" max="2" width="57.5546875" style="540" customWidth="1"/>
    <col min="3" max="4" width="8.88671875" style="535"/>
    <col min="5" max="5" width="13.5546875" style="536" bestFit="1" customWidth="1"/>
    <col min="6" max="6" width="17.88671875" style="541" customWidth="1"/>
    <col min="7" max="16384" width="8.88671875" style="539"/>
  </cols>
  <sheetData>
    <row r="1" spans="1:26" ht="31.2">
      <c r="B1" s="534" t="s">
        <v>247</v>
      </c>
      <c r="F1" s="537" t="s">
        <v>248</v>
      </c>
      <c r="G1" s="538"/>
      <c r="H1" s="538"/>
      <c r="I1" s="538"/>
      <c r="J1" s="538"/>
      <c r="K1" s="538"/>
      <c r="L1" s="538"/>
      <c r="M1" s="538"/>
      <c r="N1" s="538"/>
      <c r="O1" s="538"/>
      <c r="P1" s="538"/>
      <c r="Q1" s="538"/>
      <c r="R1" s="538"/>
      <c r="S1" s="538"/>
      <c r="T1" s="538"/>
      <c r="U1" s="538"/>
      <c r="V1" s="538"/>
      <c r="W1" s="538"/>
      <c r="X1" s="538"/>
      <c r="Y1" s="538"/>
      <c r="Z1" s="538"/>
    </row>
    <row r="2" spans="1:26">
      <c r="G2" s="538"/>
      <c r="H2" s="538"/>
      <c r="I2" s="538"/>
      <c r="J2" s="538"/>
      <c r="K2" s="538"/>
      <c r="L2" s="538"/>
      <c r="M2" s="538"/>
      <c r="N2" s="538"/>
      <c r="O2" s="538"/>
      <c r="P2" s="538"/>
      <c r="Q2" s="538"/>
      <c r="R2" s="538"/>
      <c r="S2" s="538"/>
      <c r="T2" s="538"/>
      <c r="U2" s="538"/>
      <c r="V2" s="538"/>
      <c r="W2" s="538"/>
      <c r="X2" s="538"/>
      <c r="Y2" s="538"/>
      <c r="Z2" s="538"/>
    </row>
    <row r="3" spans="1:26">
      <c r="B3" s="542" t="s">
        <v>249</v>
      </c>
      <c r="E3" s="1024"/>
      <c r="F3" s="1024"/>
      <c r="G3" s="538"/>
      <c r="H3" s="538"/>
      <c r="I3" s="538"/>
      <c r="J3" s="538"/>
      <c r="K3" s="538"/>
      <c r="L3" s="538"/>
      <c r="M3" s="538"/>
      <c r="N3" s="538"/>
      <c r="O3" s="538"/>
      <c r="P3" s="538"/>
      <c r="Q3" s="538"/>
      <c r="R3" s="538"/>
      <c r="S3" s="538"/>
      <c r="T3" s="538"/>
      <c r="U3" s="538"/>
      <c r="V3" s="538"/>
      <c r="W3" s="538"/>
      <c r="X3" s="538"/>
      <c r="Y3" s="538"/>
      <c r="Z3" s="538"/>
    </row>
    <row r="4" spans="1:26" s="549" customFormat="1" ht="27">
      <c r="A4" s="543" t="s">
        <v>136</v>
      </c>
      <c r="B4" s="544" t="s">
        <v>177</v>
      </c>
      <c r="C4" s="545" t="s">
        <v>178</v>
      </c>
      <c r="D4" s="545" t="s">
        <v>179</v>
      </c>
      <c r="E4" s="546" t="s">
        <v>250</v>
      </c>
      <c r="F4" s="547" t="s">
        <v>251</v>
      </c>
      <c r="G4" s="548"/>
      <c r="H4" s="548"/>
      <c r="I4" s="548"/>
      <c r="J4" s="548"/>
      <c r="K4" s="548"/>
      <c r="L4" s="548"/>
      <c r="M4" s="548"/>
      <c r="N4" s="548"/>
      <c r="O4" s="548"/>
      <c r="P4" s="548"/>
      <c r="Q4" s="548"/>
      <c r="R4" s="548"/>
      <c r="S4" s="548"/>
      <c r="T4" s="548"/>
      <c r="U4" s="548"/>
      <c r="V4" s="548"/>
      <c r="W4" s="548"/>
      <c r="X4" s="548"/>
      <c r="Y4" s="548"/>
      <c r="Z4" s="548"/>
    </row>
    <row r="5" spans="1:26" ht="317.39999999999998">
      <c r="B5" s="540" t="s">
        <v>252</v>
      </c>
      <c r="G5" s="538"/>
      <c r="H5" s="538"/>
      <c r="I5" s="538"/>
      <c r="J5" s="538"/>
      <c r="K5" s="538"/>
      <c r="L5" s="538"/>
      <c r="M5" s="538"/>
      <c r="N5" s="538"/>
      <c r="O5" s="538"/>
      <c r="P5" s="538"/>
      <c r="Q5" s="538"/>
      <c r="R5" s="538"/>
      <c r="S5" s="538"/>
      <c r="T5" s="538"/>
      <c r="U5" s="538"/>
      <c r="V5" s="538"/>
      <c r="W5" s="538"/>
      <c r="X5" s="538"/>
      <c r="Y5" s="538"/>
      <c r="Z5" s="538"/>
    </row>
    <row r="6" spans="1:26">
      <c r="G6" s="538"/>
      <c r="H6" s="538"/>
      <c r="I6" s="538"/>
      <c r="J6" s="538"/>
      <c r="K6" s="538"/>
      <c r="L6" s="538"/>
      <c r="M6" s="538"/>
      <c r="N6" s="538"/>
      <c r="O6" s="538"/>
      <c r="P6" s="538"/>
      <c r="Q6" s="538"/>
      <c r="R6" s="538"/>
      <c r="S6" s="538"/>
      <c r="T6" s="538"/>
      <c r="U6" s="538"/>
      <c r="V6" s="538"/>
      <c r="W6" s="538"/>
      <c r="X6" s="538"/>
      <c r="Y6" s="538"/>
      <c r="Z6" s="538"/>
    </row>
    <row r="7" spans="1:26" s="549" customFormat="1">
      <c r="A7" s="550"/>
      <c r="B7" s="544" t="s">
        <v>253</v>
      </c>
      <c r="C7" s="551"/>
      <c r="D7" s="551"/>
      <c r="E7" s="552"/>
      <c r="F7" s="547"/>
      <c r="G7" s="548"/>
      <c r="H7" s="548"/>
      <c r="I7" s="548"/>
      <c r="J7" s="548"/>
      <c r="K7" s="548"/>
      <c r="L7" s="548"/>
      <c r="M7" s="548"/>
      <c r="N7" s="548"/>
      <c r="O7" s="548"/>
      <c r="P7" s="548"/>
      <c r="Q7" s="548"/>
      <c r="R7" s="548"/>
      <c r="S7" s="548"/>
      <c r="T7" s="548"/>
      <c r="U7" s="548"/>
      <c r="V7" s="548"/>
      <c r="W7" s="548"/>
      <c r="X7" s="548"/>
      <c r="Y7" s="548"/>
      <c r="Z7" s="548"/>
    </row>
    <row r="8" spans="1:26" ht="106.2">
      <c r="A8" s="533">
        <v>1</v>
      </c>
      <c r="B8" s="540" t="s">
        <v>254</v>
      </c>
      <c r="C8" s="535">
        <v>1</v>
      </c>
      <c r="D8" s="535" t="s">
        <v>255</v>
      </c>
      <c r="E8" s="536" t="s">
        <v>256</v>
      </c>
      <c r="F8" s="541" t="s">
        <v>256</v>
      </c>
      <c r="G8" s="538"/>
      <c r="H8" s="538"/>
      <c r="I8" s="538"/>
      <c r="J8" s="538"/>
      <c r="K8" s="538"/>
      <c r="L8" s="538"/>
      <c r="M8" s="538"/>
      <c r="N8" s="538"/>
      <c r="O8" s="538"/>
      <c r="P8" s="538"/>
      <c r="Q8" s="538"/>
      <c r="R8" s="538"/>
      <c r="S8" s="538"/>
      <c r="T8" s="538"/>
      <c r="U8" s="538"/>
      <c r="V8" s="538"/>
      <c r="W8" s="538"/>
      <c r="X8" s="538"/>
      <c r="Y8" s="538"/>
      <c r="Z8" s="538"/>
    </row>
    <row r="9" spans="1:26">
      <c r="G9" s="538"/>
      <c r="H9" s="538"/>
      <c r="I9" s="538"/>
      <c r="J9" s="538"/>
      <c r="K9" s="538"/>
      <c r="L9" s="538"/>
      <c r="M9" s="538"/>
      <c r="N9" s="538"/>
      <c r="O9" s="538"/>
      <c r="P9" s="538"/>
      <c r="Q9" s="538"/>
      <c r="R9" s="538"/>
      <c r="S9" s="538"/>
      <c r="T9" s="538"/>
      <c r="U9" s="538"/>
      <c r="V9" s="538"/>
      <c r="W9" s="538"/>
      <c r="X9" s="538"/>
      <c r="Y9" s="538"/>
      <c r="Z9" s="538"/>
    </row>
    <row r="10" spans="1:26" s="549" customFormat="1">
      <c r="A10" s="550"/>
      <c r="B10" s="544" t="s">
        <v>257</v>
      </c>
      <c r="C10" s="551"/>
      <c r="D10" s="551"/>
      <c r="E10" s="552"/>
      <c r="F10" s="547"/>
      <c r="G10" s="548"/>
      <c r="H10" s="548"/>
      <c r="I10" s="548"/>
      <c r="J10" s="548"/>
      <c r="K10" s="548"/>
      <c r="L10" s="548"/>
      <c r="M10" s="548"/>
      <c r="N10" s="548"/>
      <c r="O10" s="548"/>
      <c r="P10" s="548"/>
      <c r="Q10" s="548"/>
      <c r="R10" s="548"/>
      <c r="S10" s="548"/>
      <c r="T10" s="548"/>
      <c r="U10" s="548"/>
      <c r="V10" s="548"/>
      <c r="W10" s="548"/>
      <c r="X10" s="548"/>
      <c r="Y10" s="548"/>
      <c r="Z10" s="548"/>
    </row>
    <row r="11" spans="1:26" ht="53.4">
      <c r="A11" s="533">
        <v>1.0029999999999999</v>
      </c>
      <c r="B11" s="540" t="s">
        <v>258</v>
      </c>
      <c r="C11" s="535">
        <v>1</v>
      </c>
      <c r="D11" s="535" t="s">
        <v>255</v>
      </c>
      <c r="E11" s="536" t="s">
        <v>256</v>
      </c>
      <c r="F11" s="541" t="s">
        <v>256</v>
      </c>
      <c r="G11" s="538"/>
      <c r="H11" s="538"/>
      <c r="I11" s="538"/>
      <c r="J11" s="538"/>
      <c r="K11" s="538"/>
      <c r="L11" s="538"/>
      <c r="M11" s="538"/>
      <c r="N11" s="538"/>
      <c r="O11" s="538"/>
      <c r="P11" s="538"/>
      <c r="Q11" s="538"/>
      <c r="R11" s="538"/>
      <c r="S11" s="538"/>
      <c r="T11" s="538"/>
      <c r="U11" s="538"/>
      <c r="V11" s="538"/>
      <c r="W11" s="538"/>
      <c r="X11" s="538"/>
      <c r="Y11" s="538"/>
      <c r="Z11" s="538"/>
    </row>
    <row r="12" spans="1:26">
      <c r="G12" s="538"/>
      <c r="H12" s="538"/>
      <c r="I12" s="538"/>
      <c r="J12" s="538"/>
      <c r="K12" s="538"/>
      <c r="L12" s="538"/>
      <c r="M12" s="538"/>
      <c r="N12" s="538"/>
      <c r="O12" s="538"/>
      <c r="P12" s="538"/>
      <c r="Q12" s="538"/>
      <c r="R12" s="538"/>
      <c r="S12" s="538"/>
      <c r="T12" s="538"/>
      <c r="U12" s="538"/>
      <c r="V12" s="538"/>
      <c r="W12" s="538"/>
      <c r="X12" s="538"/>
      <c r="Y12" s="538"/>
      <c r="Z12" s="538"/>
    </row>
    <row r="13" spans="1:26" s="549" customFormat="1">
      <c r="A13" s="550"/>
      <c r="B13" s="544" t="s">
        <v>259</v>
      </c>
      <c r="C13" s="551"/>
      <c r="D13" s="551"/>
      <c r="E13" s="552"/>
      <c r="F13" s="547"/>
      <c r="G13" s="548"/>
      <c r="H13" s="548"/>
      <c r="I13" s="548"/>
      <c r="J13" s="548"/>
      <c r="K13" s="548"/>
      <c r="L13" s="548"/>
      <c r="M13" s="548"/>
      <c r="N13" s="548"/>
      <c r="O13" s="548"/>
      <c r="P13" s="548"/>
      <c r="Q13" s="548"/>
      <c r="R13" s="548"/>
      <c r="S13" s="548"/>
      <c r="T13" s="548"/>
      <c r="U13" s="548"/>
      <c r="V13" s="548"/>
      <c r="W13" s="548"/>
      <c r="X13" s="548"/>
      <c r="Y13" s="548"/>
      <c r="Z13" s="548"/>
    </row>
    <row r="14" spans="1:26" ht="106.2">
      <c r="A14" s="533">
        <v>1.004</v>
      </c>
      <c r="B14" s="540" t="s">
        <v>260</v>
      </c>
      <c r="C14" s="535">
        <v>1</v>
      </c>
      <c r="D14" s="535" t="s">
        <v>255</v>
      </c>
      <c r="E14" s="536" t="s">
        <v>256</v>
      </c>
      <c r="F14" s="541" t="s">
        <v>256</v>
      </c>
      <c r="G14" s="538"/>
      <c r="H14" s="538"/>
      <c r="I14" s="538"/>
      <c r="J14" s="538"/>
      <c r="K14" s="538"/>
      <c r="L14" s="538"/>
      <c r="M14" s="538"/>
      <c r="N14" s="538"/>
      <c r="O14" s="538"/>
      <c r="P14" s="538"/>
      <c r="Q14" s="538"/>
      <c r="R14" s="538"/>
      <c r="S14" s="538"/>
      <c r="T14" s="538"/>
      <c r="U14" s="538"/>
      <c r="V14" s="538"/>
      <c r="W14" s="538"/>
      <c r="X14" s="538"/>
      <c r="Y14" s="538"/>
      <c r="Z14" s="538"/>
    </row>
    <row r="15" spans="1:26" ht="79.8">
      <c r="A15" s="533">
        <v>1.0049999999999999</v>
      </c>
      <c r="B15" s="540" t="s">
        <v>261</v>
      </c>
      <c r="C15" s="535">
        <v>1</v>
      </c>
      <c r="D15" s="535" t="s">
        <v>255</v>
      </c>
      <c r="E15" s="536" t="s">
        <v>256</v>
      </c>
      <c r="F15" s="541" t="s">
        <v>256</v>
      </c>
      <c r="G15" s="538"/>
      <c r="H15" s="538"/>
      <c r="I15" s="538"/>
      <c r="J15" s="538"/>
      <c r="K15" s="538"/>
      <c r="L15" s="538"/>
      <c r="M15" s="538"/>
      <c r="N15" s="538"/>
      <c r="O15" s="538"/>
      <c r="P15" s="538"/>
      <c r="Q15" s="538"/>
      <c r="R15" s="538"/>
      <c r="S15" s="538"/>
      <c r="T15" s="538"/>
      <c r="U15" s="538"/>
      <c r="V15" s="538"/>
      <c r="W15" s="538"/>
      <c r="X15" s="538"/>
      <c r="Y15" s="538"/>
      <c r="Z15" s="538"/>
    </row>
    <row r="16" spans="1:26">
      <c r="G16" s="538"/>
      <c r="H16" s="538"/>
      <c r="I16" s="538"/>
      <c r="J16" s="538"/>
      <c r="K16" s="538"/>
      <c r="L16" s="538"/>
      <c r="M16" s="538"/>
      <c r="N16" s="538"/>
      <c r="O16" s="538"/>
      <c r="P16" s="538"/>
      <c r="Q16" s="538"/>
      <c r="R16" s="538"/>
      <c r="S16" s="538"/>
      <c r="T16" s="538"/>
      <c r="U16" s="538"/>
      <c r="V16" s="538"/>
      <c r="W16" s="538"/>
      <c r="X16" s="538"/>
      <c r="Y16" s="538"/>
      <c r="Z16" s="538"/>
    </row>
    <row r="17" spans="1:26" s="549" customFormat="1">
      <c r="A17" s="550"/>
      <c r="B17" s="544" t="s">
        <v>262</v>
      </c>
      <c r="C17" s="551"/>
      <c r="D17" s="551"/>
      <c r="E17" s="552"/>
      <c r="F17" s="547"/>
      <c r="G17" s="548"/>
      <c r="H17" s="548"/>
      <c r="I17" s="548"/>
      <c r="J17" s="548"/>
      <c r="K17" s="548"/>
      <c r="L17" s="548"/>
      <c r="M17" s="548"/>
      <c r="N17" s="548"/>
      <c r="O17" s="548"/>
      <c r="P17" s="548"/>
      <c r="Q17" s="548"/>
      <c r="R17" s="548"/>
      <c r="S17" s="548"/>
      <c r="T17" s="548"/>
      <c r="U17" s="548"/>
      <c r="V17" s="548"/>
      <c r="W17" s="548"/>
      <c r="X17" s="548"/>
      <c r="Y17" s="548"/>
      <c r="Z17" s="548"/>
    </row>
    <row r="18" spans="1:26" ht="40.200000000000003">
      <c r="A18" s="533">
        <v>1.004</v>
      </c>
      <c r="B18" s="540" t="s">
        <v>263</v>
      </c>
      <c r="C18" s="535">
        <v>1</v>
      </c>
      <c r="D18" s="535" t="s">
        <v>255</v>
      </c>
      <c r="E18" s="536" t="s">
        <v>256</v>
      </c>
      <c r="F18" s="541" t="s">
        <v>256</v>
      </c>
      <c r="G18" s="538"/>
      <c r="H18" s="538"/>
      <c r="I18" s="538"/>
      <c r="J18" s="538"/>
      <c r="K18" s="538"/>
      <c r="L18" s="538"/>
      <c r="M18" s="538"/>
      <c r="N18" s="538"/>
      <c r="O18" s="538"/>
      <c r="P18" s="538"/>
      <c r="Q18" s="538"/>
      <c r="R18" s="538"/>
      <c r="S18" s="538"/>
      <c r="T18" s="538"/>
      <c r="U18" s="538"/>
      <c r="V18" s="538"/>
      <c r="W18" s="538"/>
      <c r="X18" s="538"/>
      <c r="Y18" s="538"/>
      <c r="Z18" s="538"/>
    </row>
    <row r="19" spans="1:26">
      <c r="G19" s="538"/>
      <c r="H19" s="538"/>
      <c r="I19" s="538"/>
      <c r="J19" s="538"/>
      <c r="K19" s="538"/>
      <c r="L19" s="538"/>
      <c r="M19" s="538"/>
      <c r="N19" s="538"/>
      <c r="O19" s="538"/>
      <c r="P19" s="538"/>
      <c r="Q19" s="538"/>
      <c r="R19" s="538"/>
      <c r="S19" s="538"/>
      <c r="T19" s="538"/>
      <c r="U19" s="538"/>
      <c r="V19" s="538"/>
      <c r="W19" s="538"/>
      <c r="X19" s="538"/>
      <c r="Y19" s="538"/>
      <c r="Z19" s="538"/>
    </row>
    <row r="20" spans="1:26" s="549" customFormat="1">
      <c r="A20" s="550"/>
      <c r="B20" s="544" t="s">
        <v>264</v>
      </c>
      <c r="C20" s="551"/>
      <c r="D20" s="551"/>
      <c r="E20" s="552"/>
      <c r="F20" s="547"/>
      <c r="G20" s="548"/>
      <c r="H20" s="548"/>
      <c r="I20" s="548"/>
      <c r="J20" s="548"/>
      <c r="K20" s="548"/>
      <c r="L20" s="548"/>
      <c r="M20" s="548"/>
      <c r="N20" s="548"/>
      <c r="O20" s="548"/>
      <c r="P20" s="548"/>
      <c r="Q20" s="548"/>
      <c r="R20" s="548"/>
      <c r="S20" s="548"/>
      <c r="T20" s="548"/>
      <c r="U20" s="548"/>
      <c r="V20" s="548"/>
      <c r="W20" s="548"/>
      <c r="X20" s="548"/>
      <c r="Y20" s="548"/>
      <c r="Z20" s="548"/>
    </row>
    <row r="21" spans="1:26" ht="53.4">
      <c r="A21" s="533">
        <v>1.0049999999999999</v>
      </c>
      <c r="B21" s="540" t="s">
        <v>265</v>
      </c>
      <c r="C21" s="535">
        <v>1</v>
      </c>
      <c r="D21" s="535" t="s">
        <v>255</v>
      </c>
      <c r="E21" s="536" t="s">
        <v>256</v>
      </c>
      <c r="F21" s="541" t="s">
        <v>256</v>
      </c>
      <c r="G21" s="538"/>
      <c r="H21" s="538"/>
      <c r="I21" s="538"/>
      <c r="J21" s="538"/>
      <c r="K21" s="538"/>
      <c r="L21" s="538"/>
      <c r="M21" s="538"/>
      <c r="N21" s="538"/>
      <c r="O21" s="538"/>
      <c r="P21" s="538"/>
      <c r="Q21" s="538"/>
      <c r="R21" s="538"/>
      <c r="S21" s="538"/>
      <c r="T21" s="538"/>
      <c r="U21" s="538"/>
      <c r="V21" s="538"/>
      <c r="W21" s="538"/>
      <c r="X21" s="538"/>
      <c r="Y21" s="538"/>
      <c r="Z21" s="538"/>
    </row>
    <row r="22" spans="1:26" ht="27">
      <c r="A22" s="533">
        <v>1.006</v>
      </c>
      <c r="B22" s="540" t="s">
        <v>266</v>
      </c>
      <c r="C22" s="535">
        <v>1</v>
      </c>
      <c r="D22" s="535" t="s">
        <v>255</v>
      </c>
      <c r="E22" s="536" t="s">
        <v>256</v>
      </c>
      <c r="F22" s="541" t="s">
        <v>256</v>
      </c>
      <c r="G22" s="538"/>
      <c r="H22" s="538"/>
      <c r="I22" s="538"/>
      <c r="J22" s="538"/>
      <c r="K22" s="538"/>
      <c r="L22" s="538"/>
      <c r="M22" s="538"/>
      <c r="N22" s="538"/>
      <c r="O22" s="538"/>
      <c r="P22" s="538"/>
      <c r="Q22" s="538"/>
      <c r="R22" s="538"/>
      <c r="S22" s="538"/>
      <c r="T22" s="538"/>
      <c r="U22" s="538"/>
      <c r="V22" s="538"/>
      <c r="W22" s="538"/>
      <c r="X22" s="538"/>
      <c r="Y22" s="538"/>
      <c r="Z22" s="538"/>
    </row>
    <row r="23" spans="1:26" ht="27">
      <c r="A23" s="533">
        <v>1.0069999999999999</v>
      </c>
      <c r="B23" s="540" t="s">
        <v>267</v>
      </c>
      <c r="C23" s="535">
        <v>1</v>
      </c>
      <c r="D23" s="535" t="s">
        <v>255</v>
      </c>
      <c r="E23" s="536" t="s">
        <v>256</v>
      </c>
      <c r="F23" s="541" t="s">
        <v>256</v>
      </c>
      <c r="G23" s="538"/>
      <c r="H23" s="538"/>
      <c r="I23" s="538"/>
      <c r="J23" s="538"/>
      <c r="K23" s="538"/>
      <c r="L23" s="538"/>
      <c r="M23" s="538"/>
      <c r="N23" s="538"/>
      <c r="O23" s="538"/>
      <c r="P23" s="538"/>
      <c r="Q23" s="538"/>
      <c r="R23" s="538"/>
      <c r="S23" s="538"/>
      <c r="T23" s="538"/>
      <c r="U23" s="538"/>
      <c r="V23" s="538"/>
      <c r="W23" s="538"/>
      <c r="X23" s="538"/>
      <c r="Y23" s="538"/>
      <c r="Z23" s="538"/>
    </row>
    <row r="24" spans="1:26">
      <c r="G24" s="538"/>
      <c r="H24" s="538"/>
      <c r="I24" s="538"/>
      <c r="J24" s="538"/>
      <c r="K24" s="538"/>
      <c r="L24" s="538"/>
      <c r="M24" s="538"/>
      <c r="N24" s="538"/>
      <c r="O24" s="538"/>
      <c r="P24" s="538"/>
      <c r="Q24" s="538"/>
      <c r="R24" s="538"/>
      <c r="S24" s="538"/>
      <c r="T24" s="538"/>
      <c r="U24" s="538"/>
      <c r="V24" s="538"/>
      <c r="W24" s="538"/>
      <c r="X24" s="538"/>
      <c r="Y24" s="538"/>
      <c r="Z24" s="538"/>
    </row>
    <row r="25" spans="1:26">
      <c r="A25" s="550"/>
      <c r="B25" s="544" t="s">
        <v>268</v>
      </c>
      <c r="C25" s="551"/>
      <c r="D25" s="551"/>
      <c r="E25" s="552"/>
      <c r="F25" s="547"/>
      <c r="G25" s="538"/>
      <c r="H25" s="538"/>
      <c r="I25" s="538"/>
      <c r="J25" s="538"/>
      <c r="K25" s="538"/>
      <c r="L25" s="538"/>
      <c r="M25" s="538"/>
      <c r="N25" s="538"/>
      <c r="O25" s="538"/>
      <c r="P25" s="538"/>
      <c r="Q25" s="538"/>
      <c r="R25" s="538"/>
      <c r="S25" s="538"/>
      <c r="T25" s="538"/>
      <c r="U25" s="538"/>
      <c r="V25" s="538"/>
      <c r="W25" s="538"/>
      <c r="X25" s="538"/>
      <c r="Y25" s="538"/>
      <c r="Z25" s="538"/>
    </row>
    <row r="26" spans="1:26" ht="159">
      <c r="A26" s="533">
        <v>1.008</v>
      </c>
      <c r="B26" s="540" t="s">
        <v>269</v>
      </c>
      <c r="C26" s="535">
        <v>1</v>
      </c>
      <c r="D26" s="535" t="s">
        <v>255</v>
      </c>
      <c r="E26" s="536" t="s">
        <v>256</v>
      </c>
      <c r="F26" s="541" t="s">
        <v>256</v>
      </c>
      <c r="G26" s="538"/>
      <c r="H26" s="538"/>
      <c r="I26" s="538"/>
      <c r="J26" s="538"/>
      <c r="K26" s="538"/>
      <c r="L26" s="538"/>
      <c r="M26" s="538"/>
      <c r="N26" s="538"/>
      <c r="O26" s="538"/>
      <c r="P26" s="538"/>
      <c r="Q26" s="538"/>
      <c r="R26" s="538"/>
      <c r="S26" s="538"/>
      <c r="T26" s="538"/>
      <c r="U26" s="538"/>
      <c r="V26" s="538"/>
      <c r="W26" s="538"/>
      <c r="X26" s="538"/>
      <c r="Y26" s="538"/>
      <c r="Z26" s="538"/>
    </row>
    <row r="27" spans="1:26">
      <c r="G27" s="538"/>
      <c r="H27" s="538"/>
      <c r="I27" s="538"/>
      <c r="J27" s="538"/>
      <c r="K27" s="538"/>
      <c r="L27" s="538"/>
      <c r="M27" s="538"/>
      <c r="N27" s="538"/>
      <c r="O27" s="538"/>
      <c r="P27" s="538"/>
      <c r="Q27" s="538"/>
      <c r="R27" s="538"/>
      <c r="S27" s="538"/>
      <c r="T27" s="538"/>
      <c r="U27" s="538"/>
      <c r="V27" s="538"/>
      <c r="W27" s="538"/>
      <c r="X27" s="538"/>
      <c r="Y27" s="538"/>
      <c r="Z27" s="538"/>
    </row>
    <row r="28" spans="1:26">
      <c r="B28" s="553" t="s">
        <v>145</v>
      </c>
      <c r="G28" s="538"/>
      <c r="H28" s="538"/>
      <c r="I28" s="538"/>
      <c r="J28" s="538"/>
      <c r="K28" s="538"/>
      <c r="L28" s="538"/>
      <c r="M28" s="538"/>
      <c r="N28" s="538"/>
      <c r="O28" s="538"/>
      <c r="P28" s="538"/>
      <c r="Q28" s="538"/>
      <c r="R28" s="538"/>
      <c r="S28" s="538"/>
      <c r="T28" s="538"/>
      <c r="U28" s="538"/>
      <c r="V28" s="538"/>
      <c r="W28" s="538"/>
      <c r="X28" s="538"/>
      <c r="Y28" s="538"/>
      <c r="Z28" s="538"/>
    </row>
    <row r="29" spans="1:26" ht="27">
      <c r="A29" s="533">
        <v>1.0089999999999999</v>
      </c>
      <c r="B29" s="540" t="s">
        <v>270</v>
      </c>
      <c r="C29" s="535">
        <v>1</v>
      </c>
      <c r="D29" s="535" t="s">
        <v>255</v>
      </c>
      <c r="E29" s="536" t="s">
        <v>271</v>
      </c>
      <c r="F29" s="541" t="s">
        <v>271</v>
      </c>
      <c r="G29" s="538"/>
      <c r="H29" s="538"/>
      <c r="I29" s="538"/>
      <c r="J29" s="538"/>
      <c r="K29" s="538"/>
      <c r="L29" s="538"/>
      <c r="M29" s="538"/>
      <c r="N29" s="538"/>
      <c r="O29" s="538"/>
      <c r="P29" s="538"/>
      <c r="Q29" s="538"/>
      <c r="R29" s="538"/>
      <c r="S29" s="538"/>
      <c r="T29" s="538"/>
      <c r="U29" s="538"/>
      <c r="V29" s="538"/>
      <c r="W29" s="538"/>
      <c r="X29" s="538"/>
      <c r="Y29" s="538"/>
      <c r="Z29" s="538"/>
    </row>
    <row r="30" spans="1:26">
      <c r="A30" s="533">
        <v>1.01</v>
      </c>
      <c r="B30" s="540" t="s">
        <v>272</v>
      </c>
      <c r="C30" s="535">
        <v>1</v>
      </c>
      <c r="D30" s="535" t="s">
        <v>255</v>
      </c>
      <c r="E30" s="536" t="s">
        <v>271</v>
      </c>
      <c r="F30" s="541" t="s">
        <v>271</v>
      </c>
      <c r="G30" s="538"/>
      <c r="H30" s="538"/>
      <c r="I30" s="538"/>
      <c r="J30" s="538"/>
      <c r="K30" s="538"/>
      <c r="L30" s="538"/>
      <c r="M30" s="538"/>
      <c r="N30" s="538"/>
      <c r="O30" s="538"/>
      <c r="P30" s="538"/>
      <c r="Q30" s="538"/>
      <c r="R30" s="538"/>
      <c r="S30" s="538"/>
      <c r="T30" s="538"/>
      <c r="U30" s="538"/>
      <c r="V30" s="538"/>
      <c r="W30" s="538"/>
      <c r="X30" s="538"/>
      <c r="Y30" s="538"/>
      <c r="Z30" s="538"/>
    </row>
    <row r="31" spans="1:26">
      <c r="A31" s="533">
        <v>1.0109999999999999</v>
      </c>
      <c r="B31" s="540" t="s">
        <v>273</v>
      </c>
      <c r="C31" s="535">
        <v>1</v>
      </c>
      <c r="D31" s="535" t="s">
        <v>255</v>
      </c>
      <c r="E31" s="536" t="s">
        <v>256</v>
      </c>
      <c r="F31" s="541" t="s">
        <v>256</v>
      </c>
      <c r="G31" s="538"/>
      <c r="H31" s="538"/>
      <c r="I31" s="538"/>
      <c r="J31" s="538"/>
      <c r="K31" s="538"/>
      <c r="L31" s="538"/>
      <c r="M31" s="538"/>
      <c r="N31" s="538"/>
      <c r="O31" s="538"/>
      <c r="P31" s="538"/>
      <c r="Q31" s="538"/>
      <c r="R31" s="538"/>
      <c r="S31" s="538"/>
      <c r="T31" s="538"/>
      <c r="U31" s="538"/>
      <c r="V31" s="538"/>
      <c r="W31" s="538"/>
      <c r="X31" s="538"/>
      <c r="Y31" s="538"/>
      <c r="Z31" s="538"/>
    </row>
    <row r="32" spans="1:26">
      <c r="A32" s="533">
        <v>1.012</v>
      </c>
      <c r="B32" s="540" t="s">
        <v>274</v>
      </c>
      <c r="C32" s="535">
        <v>1</v>
      </c>
      <c r="D32" s="535" t="s">
        <v>255</v>
      </c>
      <c r="E32" s="536" t="s">
        <v>256</v>
      </c>
      <c r="F32" s="541" t="s">
        <v>256</v>
      </c>
      <c r="G32" s="538"/>
      <c r="H32" s="538"/>
      <c r="I32" s="538"/>
      <c r="J32" s="538"/>
      <c r="K32" s="538"/>
      <c r="L32" s="538"/>
      <c r="M32" s="538"/>
      <c r="N32" s="538"/>
      <c r="O32" s="538"/>
      <c r="P32" s="538"/>
      <c r="Q32" s="538"/>
      <c r="R32" s="538"/>
      <c r="S32" s="538"/>
      <c r="T32" s="538"/>
      <c r="U32" s="538"/>
      <c r="V32" s="538"/>
      <c r="W32" s="538"/>
      <c r="X32" s="538"/>
      <c r="Y32" s="538"/>
      <c r="Z32" s="538"/>
    </row>
    <row r="33" spans="1:26">
      <c r="A33" s="533">
        <v>1.014</v>
      </c>
      <c r="B33" s="540" t="s">
        <v>275</v>
      </c>
      <c r="C33" s="535">
        <v>1</v>
      </c>
      <c r="D33" s="535" t="s">
        <v>255</v>
      </c>
      <c r="E33" s="536" t="s">
        <v>256</v>
      </c>
      <c r="F33" s="554" t="s">
        <v>256</v>
      </c>
      <c r="G33" s="538"/>
      <c r="H33" s="538"/>
      <c r="I33" s="538"/>
      <c r="J33" s="538"/>
      <c r="K33" s="538"/>
      <c r="L33" s="538"/>
      <c r="M33" s="538"/>
      <c r="N33" s="538"/>
      <c r="O33" s="538"/>
      <c r="P33" s="538"/>
      <c r="Q33" s="538"/>
      <c r="R33" s="538"/>
      <c r="S33" s="538"/>
      <c r="T33" s="538"/>
      <c r="U33" s="538"/>
      <c r="V33" s="538"/>
      <c r="W33" s="538"/>
      <c r="X33" s="538"/>
      <c r="Y33" s="538"/>
      <c r="Z33" s="538"/>
    </row>
    <row r="34" spans="1:26" s="560" customFormat="1">
      <c r="A34" s="555"/>
      <c r="B34" s="556" t="s">
        <v>276</v>
      </c>
      <c r="C34" s="557"/>
      <c r="D34" s="557"/>
      <c r="E34" s="558"/>
      <c r="F34" s="541" t="s">
        <v>256</v>
      </c>
      <c r="G34" s="559"/>
      <c r="H34" s="559"/>
      <c r="I34" s="559"/>
      <c r="J34" s="559"/>
      <c r="K34" s="559"/>
      <c r="L34" s="559"/>
      <c r="M34" s="559"/>
      <c r="N34" s="559"/>
      <c r="O34" s="559"/>
      <c r="P34" s="559"/>
      <c r="Q34" s="559"/>
      <c r="R34" s="559"/>
      <c r="S34" s="559"/>
      <c r="T34" s="559"/>
      <c r="U34" s="559"/>
      <c r="V34" s="559"/>
      <c r="W34" s="559"/>
      <c r="X34" s="559"/>
      <c r="Y34" s="559"/>
      <c r="Z34" s="559"/>
    </row>
    <row r="35" spans="1:26" ht="45" customHeight="1">
      <c r="B35" s="1024" t="s">
        <v>277</v>
      </c>
      <c r="C35" s="1024"/>
      <c r="D35" s="1024"/>
      <c r="G35" s="538"/>
      <c r="H35" s="538"/>
      <c r="I35" s="538"/>
      <c r="J35" s="538"/>
      <c r="K35" s="538"/>
      <c r="L35" s="538"/>
      <c r="M35" s="538"/>
      <c r="N35" s="538"/>
      <c r="O35" s="538"/>
      <c r="P35" s="538"/>
      <c r="Q35" s="538"/>
      <c r="R35" s="538"/>
      <c r="S35" s="538"/>
      <c r="T35" s="538"/>
      <c r="U35" s="538"/>
      <c r="V35" s="538"/>
      <c r="W35" s="538"/>
      <c r="X35" s="538"/>
      <c r="Y35" s="538"/>
      <c r="Z35" s="538"/>
    </row>
    <row r="36" spans="1:26">
      <c r="B36" s="553"/>
      <c r="G36" s="538"/>
      <c r="H36" s="538"/>
      <c r="I36" s="538"/>
      <c r="J36" s="538"/>
      <c r="K36" s="538"/>
      <c r="L36" s="538"/>
      <c r="M36" s="538"/>
      <c r="N36" s="538"/>
      <c r="O36" s="538"/>
      <c r="P36" s="538"/>
      <c r="Q36" s="538"/>
      <c r="R36" s="538"/>
      <c r="S36" s="538"/>
      <c r="T36" s="538"/>
      <c r="U36" s="538"/>
      <c r="V36" s="538"/>
      <c r="W36" s="538"/>
      <c r="X36" s="538"/>
      <c r="Y36" s="538"/>
      <c r="Z36" s="538"/>
    </row>
    <row r="37" spans="1:26">
      <c r="G37" s="538"/>
      <c r="H37" s="538"/>
      <c r="I37" s="538"/>
      <c r="J37" s="538"/>
      <c r="K37" s="538"/>
      <c r="L37" s="538"/>
      <c r="M37" s="538"/>
      <c r="N37" s="538"/>
      <c r="O37" s="538"/>
      <c r="P37" s="538"/>
      <c r="Q37" s="538"/>
      <c r="R37" s="538"/>
      <c r="S37" s="538"/>
      <c r="T37" s="538"/>
      <c r="U37" s="538"/>
      <c r="V37" s="538"/>
      <c r="W37" s="538"/>
      <c r="X37" s="538"/>
      <c r="Y37" s="538"/>
      <c r="Z37" s="538"/>
    </row>
    <row r="38" spans="1:26">
      <c r="B38" s="542" t="s">
        <v>278</v>
      </c>
      <c r="G38" s="782"/>
      <c r="H38" s="538"/>
      <c r="I38" s="538"/>
      <c r="J38" s="538"/>
      <c r="K38" s="538"/>
      <c r="L38" s="538"/>
      <c r="M38" s="538"/>
      <c r="N38" s="538"/>
      <c r="O38" s="538"/>
      <c r="P38" s="538"/>
      <c r="Q38" s="538"/>
      <c r="R38" s="538"/>
      <c r="S38" s="538"/>
      <c r="T38" s="538"/>
      <c r="U38" s="538"/>
      <c r="V38" s="538"/>
      <c r="W38" s="538"/>
      <c r="X38" s="538"/>
      <c r="Y38" s="538"/>
      <c r="Z38" s="538"/>
    </row>
    <row r="39" spans="1:26" s="549" customFormat="1" ht="27">
      <c r="A39" s="543" t="s">
        <v>136</v>
      </c>
      <c r="B39" s="544" t="s">
        <v>177</v>
      </c>
      <c r="C39" s="545" t="s">
        <v>178</v>
      </c>
      <c r="D39" s="545" t="s">
        <v>179</v>
      </c>
      <c r="E39" s="546" t="s">
        <v>250</v>
      </c>
      <c r="F39" s="547" t="s">
        <v>251</v>
      </c>
      <c r="G39" s="548"/>
      <c r="H39" s="548"/>
      <c r="I39" s="548"/>
      <c r="J39" s="548"/>
      <c r="K39" s="548"/>
      <c r="L39" s="548"/>
      <c r="M39" s="548"/>
      <c r="N39" s="548"/>
      <c r="O39" s="548"/>
      <c r="P39" s="548"/>
      <c r="Q39" s="548"/>
      <c r="R39" s="548"/>
      <c r="S39" s="548"/>
      <c r="T39" s="548"/>
      <c r="U39" s="548"/>
      <c r="V39" s="548"/>
      <c r="W39" s="548"/>
      <c r="X39" s="548"/>
      <c r="Y39" s="548"/>
      <c r="Z39" s="548"/>
    </row>
    <row r="40" spans="1:26" ht="27">
      <c r="A40" s="533">
        <v>2</v>
      </c>
      <c r="B40" s="540" t="s">
        <v>279</v>
      </c>
      <c r="C40" s="535">
        <v>1</v>
      </c>
      <c r="D40" s="535" t="s">
        <v>255</v>
      </c>
      <c r="E40" s="536" t="s">
        <v>256</v>
      </c>
      <c r="F40" s="541" t="s">
        <v>256</v>
      </c>
      <c r="G40" s="538"/>
      <c r="H40" s="538"/>
      <c r="I40" s="538"/>
      <c r="J40" s="538"/>
      <c r="K40" s="538"/>
      <c r="L40" s="538"/>
      <c r="M40" s="538"/>
      <c r="N40" s="538"/>
      <c r="O40" s="538"/>
      <c r="P40" s="538"/>
      <c r="Q40" s="538"/>
      <c r="R40" s="538"/>
      <c r="S40" s="538"/>
      <c r="T40" s="538"/>
      <c r="U40" s="538"/>
      <c r="V40" s="538"/>
      <c r="W40" s="538"/>
      <c r="X40" s="538"/>
      <c r="Y40" s="538"/>
      <c r="Z40" s="538"/>
    </row>
    <row r="41" spans="1:26">
      <c r="G41" s="561"/>
      <c r="H41" s="561"/>
      <c r="I41" s="561"/>
      <c r="J41" s="561"/>
      <c r="K41" s="561"/>
      <c r="L41" s="561"/>
      <c r="M41" s="561"/>
      <c r="N41" s="561"/>
      <c r="O41" s="561"/>
      <c r="P41" s="561"/>
      <c r="Q41" s="561"/>
      <c r="R41" s="561"/>
      <c r="S41" s="561"/>
      <c r="T41" s="561"/>
      <c r="U41" s="561"/>
      <c r="V41" s="561"/>
      <c r="W41" s="561"/>
      <c r="X41" s="561"/>
      <c r="Y41" s="561"/>
      <c r="Z41" s="561"/>
    </row>
    <row r="42" spans="1:26" s="549" customFormat="1">
      <c r="A42" s="550"/>
      <c r="B42" s="562" t="s">
        <v>280</v>
      </c>
      <c r="C42" s="551"/>
      <c r="D42" s="551"/>
      <c r="E42" s="552"/>
      <c r="F42" s="547"/>
      <c r="G42" s="548"/>
      <c r="H42" s="548"/>
      <c r="I42" s="548"/>
      <c r="J42" s="548"/>
      <c r="K42" s="548"/>
      <c r="L42" s="548"/>
      <c r="M42" s="548"/>
      <c r="N42" s="548"/>
      <c r="O42" s="548"/>
      <c r="P42" s="548"/>
      <c r="Q42" s="548"/>
      <c r="R42" s="548"/>
      <c r="S42" s="548"/>
      <c r="T42" s="548"/>
      <c r="U42" s="548"/>
      <c r="V42" s="548"/>
      <c r="W42" s="548"/>
      <c r="X42" s="548"/>
      <c r="Y42" s="548"/>
      <c r="Z42" s="548"/>
    </row>
    <row r="43" spans="1:26">
      <c r="B43" s="563"/>
      <c r="G43" s="538"/>
      <c r="H43" s="538"/>
      <c r="I43" s="538"/>
      <c r="J43" s="538"/>
      <c r="K43" s="538"/>
      <c r="L43" s="538"/>
      <c r="M43" s="538"/>
      <c r="N43" s="538"/>
      <c r="O43" s="538"/>
      <c r="P43" s="538"/>
      <c r="Q43" s="538"/>
      <c r="R43" s="538"/>
      <c r="S43" s="538"/>
      <c r="T43" s="538"/>
      <c r="U43" s="538"/>
      <c r="V43" s="538"/>
      <c r="W43" s="538"/>
      <c r="X43" s="538"/>
      <c r="Y43" s="538"/>
      <c r="Z43" s="538"/>
    </row>
    <row r="44" spans="1:26" ht="40.200000000000003">
      <c r="B44" s="564" t="s">
        <v>281</v>
      </c>
      <c r="G44" s="538"/>
      <c r="H44" s="538"/>
      <c r="I44" s="538"/>
      <c r="J44" s="538"/>
      <c r="K44" s="538"/>
      <c r="L44" s="538"/>
      <c r="M44" s="538"/>
      <c r="N44" s="538"/>
      <c r="O44" s="538"/>
      <c r="P44" s="538"/>
      <c r="Q44" s="538"/>
      <c r="R44" s="538"/>
      <c r="S44" s="538"/>
      <c r="T44" s="538"/>
      <c r="U44" s="538"/>
      <c r="V44" s="538"/>
      <c r="W44" s="538"/>
      <c r="X44" s="538"/>
      <c r="Y44" s="538"/>
      <c r="Z44" s="538"/>
    </row>
    <row r="45" spans="1:26">
      <c r="B45" s="564"/>
      <c r="G45" s="538"/>
      <c r="H45" s="538"/>
      <c r="I45" s="538"/>
      <c r="J45" s="538"/>
      <c r="K45" s="538"/>
      <c r="L45" s="538"/>
      <c r="M45" s="538"/>
      <c r="N45" s="538"/>
      <c r="O45" s="538"/>
      <c r="P45" s="538"/>
      <c r="Q45" s="538"/>
      <c r="R45" s="538"/>
      <c r="S45" s="538"/>
      <c r="T45" s="538"/>
      <c r="U45" s="538"/>
      <c r="V45" s="538"/>
      <c r="W45" s="538"/>
      <c r="X45" s="538"/>
      <c r="Y45" s="538"/>
      <c r="Z45" s="538"/>
    </row>
    <row r="46" spans="1:26">
      <c r="B46" s="563" t="s">
        <v>282</v>
      </c>
      <c r="G46" s="538"/>
      <c r="H46" s="538"/>
      <c r="I46" s="538"/>
      <c r="J46" s="538"/>
      <c r="K46" s="538"/>
      <c r="L46" s="538"/>
      <c r="M46" s="538"/>
      <c r="N46" s="538"/>
      <c r="O46" s="538"/>
      <c r="P46" s="538"/>
      <c r="Q46" s="538"/>
      <c r="R46" s="538"/>
      <c r="S46" s="538"/>
      <c r="T46" s="538"/>
      <c r="U46" s="538"/>
      <c r="V46" s="538"/>
      <c r="W46" s="538"/>
      <c r="X46" s="538"/>
      <c r="Y46" s="538"/>
      <c r="Z46" s="538"/>
    </row>
    <row r="47" spans="1:26">
      <c r="A47" s="533">
        <v>2.0009999999999999</v>
      </c>
      <c r="B47" s="564" t="s">
        <v>283</v>
      </c>
      <c r="C47" s="535">
        <v>25</v>
      </c>
      <c r="D47" s="535" t="s">
        <v>284</v>
      </c>
      <c r="E47" s="536">
        <f>Elec_Est!E38</f>
        <v>3.56</v>
      </c>
      <c r="F47" s="541">
        <f t="shared" ref="F47" si="0">C47*E47</f>
        <v>89</v>
      </c>
      <c r="G47" s="538"/>
      <c r="H47" s="538"/>
      <c r="I47" s="538"/>
      <c r="J47" s="538"/>
      <c r="K47" s="538"/>
      <c r="L47" s="538"/>
      <c r="M47" s="538"/>
      <c r="N47" s="538"/>
      <c r="O47" s="538"/>
      <c r="P47" s="538"/>
      <c r="Q47" s="538"/>
      <c r="R47" s="538"/>
      <c r="S47" s="538"/>
      <c r="T47" s="538"/>
      <c r="U47" s="538"/>
      <c r="V47" s="538"/>
      <c r="W47" s="538"/>
      <c r="X47" s="538"/>
      <c r="Y47" s="538"/>
      <c r="Z47" s="538"/>
    </row>
    <row r="48" spans="1:26">
      <c r="A48" s="533" t="s">
        <v>481</v>
      </c>
      <c r="G48" s="538"/>
      <c r="H48" s="538"/>
      <c r="I48" s="538"/>
      <c r="J48" s="538"/>
      <c r="K48" s="538"/>
      <c r="L48" s="538"/>
      <c r="M48" s="538"/>
      <c r="N48" s="538"/>
      <c r="O48" s="538"/>
      <c r="P48" s="538"/>
      <c r="Q48" s="538"/>
      <c r="R48" s="538"/>
      <c r="S48" s="538"/>
      <c r="T48" s="538"/>
      <c r="U48" s="538"/>
      <c r="V48" s="538"/>
      <c r="W48" s="538"/>
      <c r="X48" s="538"/>
      <c r="Y48" s="538"/>
      <c r="Z48" s="538"/>
    </row>
    <row r="49" spans="1:26" s="549" customFormat="1">
      <c r="A49" s="550"/>
      <c r="B49" s="562" t="s">
        <v>285</v>
      </c>
      <c r="C49" s="551"/>
      <c r="D49" s="551"/>
      <c r="E49" s="552"/>
      <c r="F49" s="547"/>
      <c r="G49" s="548"/>
      <c r="H49" s="548"/>
      <c r="I49" s="548"/>
      <c r="J49" s="548"/>
      <c r="K49" s="548"/>
      <c r="L49" s="548"/>
      <c r="M49" s="548"/>
      <c r="N49" s="548"/>
      <c r="O49" s="548"/>
      <c r="P49" s="548"/>
      <c r="Q49" s="548"/>
      <c r="R49" s="548"/>
      <c r="S49" s="548"/>
      <c r="T49" s="548"/>
      <c r="U49" s="548"/>
      <c r="V49" s="548"/>
      <c r="W49" s="548"/>
      <c r="X49" s="548"/>
      <c r="Y49" s="548"/>
      <c r="Z49" s="548"/>
    </row>
    <row r="50" spans="1:26" ht="53.4">
      <c r="B50" s="564" t="s">
        <v>286</v>
      </c>
      <c r="G50" s="538"/>
      <c r="H50" s="538"/>
      <c r="I50" s="538"/>
      <c r="J50" s="538"/>
      <c r="K50" s="538"/>
      <c r="L50" s="538"/>
      <c r="M50" s="538"/>
      <c r="N50" s="538"/>
      <c r="O50" s="538"/>
      <c r="P50" s="538"/>
      <c r="Q50" s="538"/>
      <c r="R50" s="538"/>
      <c r="S50" s="538"/>
      <c r="T50" s="538"/>
      <c r="U50" s="538"/>
      <c r="V50" s="538"/>
      <c r="W50" s="538"/>
      <c r="X50" s="538"/>
      <c r="Y50" s="538"/>
      <c r="Z50" s="538"/>
    </row>
    <row r="51" spans="1:26" ht="40.200000000000003">
      <c r="A51" s="533">
        <v>2.0019999999999998</v>
      </c>
      <c r="B51" s="540" t="s">
        <v>287</v>
      </c>
      <c r="C51" s="535">
        <v>1</v>
      </c>
      <c r="D51" s="535" t="s">
        <v>255</v>
      </c>
      <c r="E51" s="536">
        <f>Elec_Est!E56</f>
        <v>528.28</v>
      </c>
      <c r="F51" s="541">
        <f t="shared" ref="F51:F56" si="1">C51*E51</f>
        <v>528.28</v>
      </c>
      <c r="G51" s="538"/>
      <c r="H51" s="538"/>
      <c r="I51" s="538"/>
      <c r="J51" s="538"/>
      <c r="K51" s="538"/>
      <c r="L51" s="538"/>
      <c r="M51" s="538"/>
      <c r="N51" s="538"/>
      <c r="O51" s="538"/>
      <c r="P51" s="538"/>
      <c r="Q51" s="538"/>
      <c r="R51" s="538"/>
      <c r="S51" s="538"/>
      <c r="T51" s="538"/>
      <c r="U51" s="538"/>
      <c r="V51" s="538"/>
      <c r="W51" s="538"/>
      <c r="X51" s="538"/>
      <c r="Y51" s="538"/>
      <c r="Z51" s="538"/>
    </row>
    <row r="52" spans="1:26" ht="27">
      <c r="A52" s="533">
        <v>2.0029999999999997</v>
      </c>
      <c r="B52" s="540" t="s">
        <v>288</v>
      </c>
      <c r="C52" s="535">
        <v>1</v>
      </c>
      <c r="D52" s="535" t="s">
        <v>255</v>
      </c>
      <c r="E52" s="536">
        <f>Elec_Est!E78</f>
        <v>79.45</v>
      </c>
      <c r="F52" s="541">
        <f t="shared" si="1"/>
        <v>79.45</v>
      </c>
      <c r="G52" s="538"/>
      <c r="H52" s="538"/>
      <c r="I52" s="538"/>
      <c r="J52" s="538"/>
      <c r="K52" s="538"/>
      <c r="L52" s="538"/>
      <c r="M52" s="538"/>
      <c r="N52" s="538"/>
      <c r="O52" s="538"/>
      <c r="P52" s="538"/>
      <c r="Q52" s="538"/>
      <c r="R52" s="538"/>
      <c r="S52" s="538"/>
      <c r="T52" s="538"/>
      <c r="U52" s="538"/>
      <c r="V52" s="538"/>
      <c r="W52" s="538"/>
      <c r="X52" s="538"/>
      <c r="Y52" s="538"/>
      <c r="Z52" s="538"/>
    </row>
    <row r="53" spans="1:26" ht="40.200000000000003">
      <c r="A53" s="533">
        <v>2.0039999999999996</v>
      </c>
      <c r="B53" s="540" t="s">
        <v>289</v>
      </c>
      <c r="C53" s="535">
        <v>2</v>
      </c>
      <c r="D53" s="535" t="s">
        <v>255</v>
      </c>
      <c r="E53" s="536">
        <f>Elec_Est!E85</f>
        <v>30.8</v>
      </c>
      <c r="F53" s="541">
        <f t="shared" si="1"/>
        <v>61.6</v>
      </c>
      <c r="G53" s="538"/>
      <c r="H53" s="538"/>
      <c r="I53" s="538"/>
      <c r="J53" s="538"/>
      <c r="K53" s="538"/>
      <c r="L53" s="538"/>
      <c r="M53" s="538"/>
      <c r="N53" s="538"/>
      <c r="O53" s="538"/>
      <c r="P53" s="538"/>
      <c r="Q53" s="538"/>
      <c r="R53" s="538"/>
      <c r="S53" s="538"/>
      <c r="T53" s="538"/>
      <c r="U53" s="538"/>
      <c r="V53" s="538"/>
      <c r="W53" s="538"/>
      <c r="X53" s="538"/>
      <c r="Y53" s="538"/>
      <c r="Z53" s="538"/>
    </row>
    <row r="54" spans="1:26">
      <c r="A54" s="533" t="s">
        <v>481</v>
      </c>
      <c r="F54" s="541">
        <f t="shared" si="1"/>
        <v>0</v>
      </c>
      <c r="G54" s="538"/>
      <c r="H54" s="538"/>
      <c r="I54" s="538"/>
      <c r="J54" s="538"/>
      <c r="K54" s="538"/>
      <c r="L54" s="538"/>
      <c r="M54" s="538"/>
      <c r="N54" s="538"/>
      <c r="O54" s="538"/>
      <c r="P54" s="538"/>
      <c r="Q54" s="538"/>
      <c r="R54" s="538"/>
      <c r="S54" s="538"/>
      <c r="T54" s="538"/>
      <c r="U54" s="538"/>
      <c r="V54" s="538"/>
      <c r="W54" s="538"/>
      <c r="X54" s="538"/>
      <c r="Y54" s="538"/>
      <c r="Z54" s="538"/>
    </row>
    <row r="55" spans="1:26" s="549" customFormat="1">
      <c r="A55" s="550"/>
      <c r="B55" s="562" t="s">
        <v>290</v>
      </c>
      <c r="C55" s="551"/>
      <c r="D55" s="551"/>
      <c r="E55" s="552"/>
      <c r="F55" s="547">
        <f t="shared" si="1"/>
        <v>0</v>
      </c>
      <c r="G55" s="548"/>
      <c r="H55" s="548"/>
      <c r="I55" s="548"/>
      <c r="J55" s="548"/>
      <c r="K55" s="548"/>
      <c r="L55" s="548"/>
      <c r="M55" s="548"/>
      <c r="N55" s="548"/>
      <c r="O55" s="548"/>
      <c r="P55" s="548"/>
      <c r="Q55" s="548"/>
      <c r="R55" s="548"/>
      <c r="S55" s="548"/>
      <c r="T55" s="548"/>
      <c r="U55" s="548"/>
      <c r="V55" s="548"/>
      <c r="W55" s="548"/>
      <c r="X55" s="548"/>
      <c r="Y55" s="548"/>
      <c r="Z55" s="548"/>
    </row>
    <row r="56" spans="1:26">
      <c r="A56" s="533" t="s">
        <v>481</v>
      </c>
      <c r="F56" s="541">
        <f t="shared" si="1"/>
        <v>0</v>
      </c>
      <c r="G56" s="538"/>
      <c r="H56" s="538"/>
      <c r="I56" s="538"/>
      <c r="J56" s="538"/>
      <c r="K56" s="538"/>
      <c r="L56" s="538"/>
      <c r="M56" s="538"/>
      <c r="N56" s="538"/>
      <c r="O56" s="538"/>
      <c r="P56" s="538"/>
      <c r="Q56" s="538"/>
      <c r="R56" s="538"/>
      <c r="S56" s="538"/>
      <c r="T56" s="538"/>
      <c r="U56" s="538"/>
      <c r="V56" s="538"/>
      <c r="W56" s="538"/>
      <c r="X56" s="538"/>
      <c r="Y56" s="538"/>
      <c r="Z56" s="538"/>
    </row>
    <row r="57" spans="1:26">
      <c r="B57" s="563" t="s">
        <v>291</v>
      </c>
      <c r="G57" s="565"/>
      <c r="H57" s="565"/>
      <c r="I57" s="565"/>
      <c r="J57" s="565"/>
      <c r="K57" s="565"/>
      <c r="L57" s="565"/>
      <c r="M57" s="565"/>
      <c r="N57" s="565"/>
      <c r="O57" s="565"/>
      <c r="P57" s="565"/>
      <c r="Q57" s="565"/>
      <c r="R57" s="565"/>
      <c r="S57" s="565"/>
      <c r="T57" s="565"/>
      <c r="U57" s="565"/>
      <c r="V57" s="565"/>
      <c r="W57" s="565"/>
      <c r="X57" s="565"/>
      <c r="Y57" s="565"/>
      <c r="Z57" s="565"/>
    </row>
    <row r="58" spans="1:26" ht="53.4">
      <c r="B58" s="566" t="s">
        <v>292</v>
      </c>
      <c r="G58" s="538"/>
      <c r="H58" s="538"/>
      <c r="I58" s="538"/>
      <c r="J58" s="538"/>
      <c r="K58" s="538"/>
      <c r="L58" s="538"/>
      <c r="M58" s="538"/>
      <c r="N58" s="538"/>
      <c r="O58" s="538"/>
      <c r="P58" s="538"/>
      <c r="Q58" s="538"/>
      <c r="R58" s="538"/>
      <c r="S58" s="538"/>
      <c r="T58" s="538"/>
      <c r="U58" s="538"/>
      <c r="V58" s="538"/>
      <c r="W58" s="538"/>
      <c r="X58" s="538"/>
      <c r="Y58" s="538"/>
      <c r="Z58" s="538"/>
    </row>
    <row r="59" spans="1:26">
      <c r="A59" s="533">
        <v>2.0049999999999994</v>
      </c>
      <c r="B59" s="540" t="s">
        <v>293</v>
      </c>
      <c r="C59" s="535">
        <v>3</v>
      </c>
      <c r="D59" s="535" t="s">
        <v>294</v>
      </c>
      <c r="E59" s="536">
        <f ca="1">Elec_Est!E103</f>
        <v>34.89</v>
      </c>
      <c r="F59" s="541">
        <f t="shared" ref="F59:F107" ca="1" si="2">C59*E59</f>
        <v>104.67</v>
      </c>
      <c r="G59" s="538"/>
      <c r="H59" s="538"/>
      <c r="I59" s="538"/>
      <c r="J59" s="538"/>
      <c r="K59" s="538"/>
      <c r="L59" s="538"/>
      <c r="M59" s="538"/>
      <c r="N59" s="538"/>
      <c r="O59" s="538"/>
      <c r="P59" s="538"/>
      <c r="Q59" s="538"/>
      <c r="R59" s="538"/>
      <c r="S59" s="538"/>
      <c r="T59" s="538"/>
      <c r="U59" s="538"/>
      <c r="V59" s="538"/>
      <c r="W59" s="538"/>
      <c r="X59" s="538"/>
      <c r="Y59" s="538"/>
      <c r="Z59" s="538"/>
    </row>
    <row r="60" spans="1:26" ht="15.75" customHeight="1">
      <c r="A60" s="533">
        <v>2.0059999999999993</v>
      </c>
      <c r="B60" s="540" t="s">
        <v>295</v>
      </c>
      <c r="C60" s="535">
        <v>11</v>
      </c>
      <c r="D60" s="535" t="s">
        <v>294</v>
      </c>
      <c r="E60" s="536">
        <f>Elec_Est!E110</f>
        <v>19.809999999999999</v>
      </c>
      <c r="F60" s="541">
        <f t="shared" si="2"/>
        <v>217.91</v>
      </c>
      <c r="G60" s="538"/>
      <c r="H60" s="538"/>
      <c r="I60" s="538"/>
      <c r="J60" s="538"/>
      <c r="K60" s="538"/>
      <c r="L60" s="538"/>
      <c r="M60" s="538"/>
      <c r="N60" s="538"/>
      <c r="O60" s="538"/>
      <c r="P60" s="538"/>
      <c r="Q60" s="538"/>
      <c r="R60" s="538"/>
      <c r="S60" s="538"/>
      <c r="T60" s="538"/>
      <c r="U60" s="538"/>
      <c r="V60" s="538"/>
      <c r="W60" s="538"/>
      <c r="X60" s="538"/>
      <c r="Y60" s="538"/>
      <c r="Z60" s="538"/>
    </row>
    <row r="61" spans="1:26" ht="15.75" customHeight="1">
      <c r="A61" s="533">
        <v>2.0069999999999992</v>
      </c>
      <c r="B61" s="540" t="s">
        <v>296</v>
      </c>
      <c r="C61" s="535">
        <v>1</v>
      </c>
      <c r="D61" s="535" t="s">
        <v>294</v>
      </c>
      <c r="E61" s="1025" t="str">
        <f>Elec_Est!Q119</f>
        <v>Included in items 5.005 and 5.014</v>
      </c>
      <c r="F61" s="1025"/>
      <c r="G61" s="538"/>
      <c r="H61" s="538"/>
      <c r="I61" s="538"/>
      <c r="J61" s="538"/>
      <c r="K61" s="538"/>
      <c r="L61" s="538"/>
      <c r="M61" s="538"/>
      <c r="N61" s="538"/>
      <c r="O61" s="538"/>
      <c r="P61" s="538"/>
      <c r="Q61" s="538"/>
      <c r="R61" s="538"/>
      <c r="S61" s="538"/>
      <c r="T61" s="538"/>
      <c r="U61" s="538"/>
      <c r="V61" s="538"/>
      <c r="W61" s="538"/>
      <c r="X61" s="538"/>
      <c r="Y61" s="538"/>
      <c r="Z61" s="538"/>
    </row>
    <row r="62" spans="1:26">
      <c r="A62" s="533">
        <v>2.0079999999999991</v>
      </c>
      <c r="B62" s="540" t="s">
        <v>297</v>
      </c>
      <c r="C62" s="535">
        <v>32</v>
      </c>
      <c r="D62" s="535" t="s">
        <v>294</v>
      </c>
      <c r="E62" s="536">
        <f ca="1">Elec_Est!E126</f>
        <v>18.100000000000001</v>
      </c>
      <c r="F62" s="541">
        <f t="shared" ca="1" si="2"/>
        <v>579.20000000000005</v>
      </c>
      <c r="G62" s="565"/>
      <c r="H62" s="565"/>
      <c r="I62" s="565"/>
      <c r="J62" s="565"/>
      <c r="K62" s="565"/>
      <c r="L62" s="565"/>
      <c r="M62" s="565"/>
      <c r="N62" s="565"/>
      <c r="O62" s="565"/>
      <c r="P62" s="565"/>
      <c r="Q62" s="565"/>
      <c r="R62" s="565"/>
      <c r="S62" s="565"/>
      <c r="T62" s="565"/>
      <c r="U62" s="565"/>
      <c r="V62" s="565"/>
      <c r="W62" s="565"/>
      <c r="X62" s="565"/>
      <c r="Y62" s="565"/>
      <c r="Z62" s="565"/>
    </row>
    <row r="63" spans="1:26">
      <c r="A63" s="533">
        <v>2.008999999999999</v>
      </c>
      <c r="B63" s="540" t="s">
        <v>298</v>
      </c>
      <c r="C63" s="535">
        <v>2</v>
      </c>
      <c r="D63" s="535" t="s">
        <v>294</v>
      </c>
      <c r="E63" s="536">
        <f ca="1">Elec_Est!E133</f>
        <v>18.100000000000001</v>
      </c>
      <c r="F63" s="541">
        <f t="shared" ca="1" si="2"/>
        <v>36.200000000000003</v>
      </c>
      <c r="G63" s="565"/>
      <c r="H63" s="565"/>
      <c r="I63" s="565"/>
      <c r="J63" s="565"/>
      <c r="K63" s="565"/>
      <c r="L63" s="565"/>
      <c r="M63" s="565"/>
      <c r="N63" s="565"/>
      <c r="O63" s="565"/>
      <c r="P63" s="565"/>
      <c r="Q63" s="565"/>
      <c r="R63" s="565"/>
      <c r="S63" s="565"/>
      <c r="T63" s="565"/>
      <c r="U63" s="565"/>
      <c r="V63" s="565"/>
      <c r="W63" s="565"/>
      <c r="X63" s="565"/>
      <c r="Y63" s="565"/>
      <c r="Z63" s="565"/>
    </row>
    <row r="64" spans="1:26">
      <c r="A64" s="533">
        <v>2.0099999999999989</v>
      </c>
      <c r="B64" s="540" t="s">
        <v>299</v>
      </c>
      <c r="C64" s="535">
        <v>1</v>
      </c>
      <c r="D64" s="535" t="s">
        <v>294</v>
      </c>
      <c r="E64" s="536">
        <f ca="1">Elec_Est!E140</f>
        <v>18.100000000000001</v>
      </c>
      <c r="F64" s="541">
        <f t="shared" ca="1" si="2"/>
        <v>18.100000000000001</v>
      </c>
      <c r="G64" s="565"/>
      <c r="H64" s="565"/>
      <c r="I64" s="565"/>
      <c r="J64" s="565"/>
      <c r="K64" s="565"/>
      <c r="L64" s="565"/>
      <c r="M64" s="565"/>
      <c r="N64" s="565"/>
      <c r="O64" s="565"/>
      <c r="P64" s="565"/>
      <c r="Q64" s="565"/>
      <c r="R64" s="565"/>
      <c r="S64" s="565"/>
      <c r="T64" s="565"/>
      <c r="U64" s="565"/>
      <c r="V64" s="565"/>
      <c r="W64" s="565"/>
      <c r="X64" s="565"/>
      <c r="Y64" s="565"/>
      <c r="Z64" s="565"/>
    </row>
    <row r="65" spans="1:26">
      <c r="A65" s="533">
        <v>2.0109999999999988</v>
      </c>
      <c r="B65" s="540" t="s">
        <v>300</v>
      </c>
      <c r="C65" s="535">
        <v>1</v>
      </c>
      <c r="D65" s="535" t="s">
        <v>294</v>
      </c>
      <c r="E65" s="536">
        <f ca="1">Elec_Est!E147</f>
        <v>34.89</v>
      </c>
      <c r="F65" s="541">
        <f t="shared" ca="1" si="2"/>
        <v>34.89</v>
      </c>
      <c r="G65" s="565"/>
      <c r="H65" s="565"/>
      <c r="I65" s="565"/>
      <c r="J65" s="565"/>
      <c r="K65" s="565"/>
      <c r="L65" s="565"/>
      <c r="M65" s="565"/>
      <c r="N65" s="565"/>
      <c r="O65" s="565"/>
      <c r="P65" s="565"/>
      <c r="Q65" s="565"/>
      <c r="R65" s="565"/>
      <c r="S65" s="565"/>
      <c r="T65" s="565"/>
      <c r="U65" s="565"/>
      <c r="V65" s="565"/>
      <c r="W65" s="565"/>
      <c r="X65" s="565"/>
      <c r="Y65" s="565"/>
      <c r="Z65" s="565"/>
    </row>
    <row r="66" spans="1:26">
      <c r="A66" s="533">
        <v>2.0119999999999987</v>
      </c>
      <c r="B66" s="540" t="s">
        <v>301</v>
      </c>
      <c r="C66" s="535">
        <v>4</v>
      </c>
      <c r="D66" s="535" t="s">
        <v>294</v>
      </c>
      <c r="E66" s="536">
        <f ca="1">Elec_Est!E154</f>
        <v>34.89</v>
      </c>
      <c r="F66" s="541">
        <f t="shared" ca="1" si="2"/>
        <v>139.56</v>
      </c>
      <c r="G66" s="565"/>
      <c r="H66" s="565"/>
      <c r="I66" s="565"/>
      <c r="J66" s="565"/>
      <c r="K66" s="565"/>
      <c r="L66" s="565"/>
      <c r="M66" s="565"/>
      <c r="N66" s="565"/>
      <c r="O66" s="565"/>
      <c r="P66" s="565"/>
      <c r="Q66" s="565"/>
      <c r="R66" s="565"/>
      <c r="S66" s="565"/>
      <c r="T66" s="565"/>
      <c r="U66" s="565"/>
      <c r="V66" s="565"/>
      <c r="W66" s="565"/>
      <c r="X66" s="565"/>
      <c r="Y66" s="565"/>
      <c r="Z66" s="565"/>
    </row>
    <row r="67" spans="1:26">
      <c r="A67" s="533">
        <v>2.0129999999999986</v>
      </c>
      <c r="B67" s="540" t="s">
        <v>302</v>
      </c>
      <c r="C67" s="535">
        <v>7</v>
      </c>
      <c r="D67" s="535" t="s">
        <v>294</v>
      </c>
      <c r="E67" s="536">
        <f ca="1">Elec_Est!E161</f>
        <v>34.89</v>
      </c>
      <c r="F67" s="541">
        <f t="shared" ca="1" si="2"/>
        <v>244.23000000000002</v>
      </c>
      <c r="G67" s="565"/>
      <c r="H67" s="565"/>
      <c r="I67" s="565"/>
      <c r="J67" s="565"/>
      <c r="K67" s="565"/>
      <c r="L67" s="565"/>
      <c r="M67" s="565"/>
      <c r="N67" s="565"/>
      <c r="O67" s="565"/>
      <c r="P67" s="565"/>
      <c r="Q67" s="565"/>
      <c r="R67" s="565"/>
      <c r="S67" s="565"/>
      <c r="T67" s="565"/>
      <c r="U67" s="565"/>
      <c r="V67" s="565"/>
      <c r="W67" s="565"/>
      <c r="X67" s="565"/>
      <c r="Y67" s="565"/>
      <c r="Z67" s="565"/>
    </row>
    <row r="68" spans="1:26">
      <c r="A68" s="533">
        <v>2.0139999999999985</v>
      </c>
      <c r="B68" s="540" t="s">
        <v>303</v>
      </c>
      <c r="C68" s="535">
        <v>1</v>
      </c>
      <c r="D68" s="535" t="s">
        <v>294</v>
      </c>
      <c r="E68" s="536">
        <f ca="1">Elec_Est!E168</f>
        <v>34.89</v>
      </c>
      <c r="F68" s="541">
        <f t="shared" ca="1" si="2"/>
        <v>34.89</v>
      </c>
      <c r="G68" s="565"/>
      <c r="H68" s="565"/>
      <c r="I68" s="565"/>
      <c r="J68" s="565"/>
      <c r="K68" s="565"/>
      <c r="L68" s="565"/>
      <c r="M68" s="565"/>
      <c r="N68" s="565"/>
      <c r="O68" s="565"/>
      <c r="P68" s="565"/>
      <c r="Q68" s="565"/>
      <c r="R68" s="565"/>
      <c r="S68" s="565"/>
      <c r="T68" s="565"/>
      <c r="U68" s="565"/>
      <c r="V68" s="565"/>
      <c r="W68" s="565"/>
      <c r="X68" s="565"/>
      <c r="Y68" s="565"/>
      <c r="Z68" s="565"/>
    </row>
    <row r="69" spans="1:26">
      <c r="A69" s="533">
        <v>2.0149999999999983</v>
      </c>
      <c r="B69" s="540" t="s">
        <v>304</v>
      </c>
      <c r="C69" s="535">
        <v>1</v>
      </c>
      <c r="D69" s="535" t="s">
        <v>294</v>
      </c>
      <c r="E69" s="536">
        <f ca="1">Elec_Est!E175</f>
        <v>34.89</v>
      </c>
      <c r="F69" s="541">
        <f t="shared" ca="1" si="2"/>
        <v>34.89</v>
      </c>
      <c r="G69" s="565"/>
      <c r="H69" s="565"/>
      <c r="I69" s="565"/>
      <c r="J69" s="565"/>
      <c r="K69" s="565"/>
      <c r="L69" s="565"/>
      <c r="M69" s="565"/>
      <c r="N69" s="565"/>
      <c r="O69" s="565"/>
      <c r="P69" s="565"/>
      <c r="Q69" s="565"/>
      <c r="R69" s="565"/>
      <c r="S69" s="565"/>
      <c r="T69" s="565"/>
      <c r="U69" s="565"/>
      <c r="V69" s="565"/>
      <c r="W69" s="565"/>
      <c r="X69" s="565"/>
      <c r="Y69" s="565"/>
      <c r="Z69" s="565"/>
    </row>
    <row r="70" spans="1:26">
      <c r="A70" s="533">
        <v>2.0159999999999982</v>
      </c>
      <c r="B70" s="540" t="s">
        <v>305</v>
      </c>
      <c r="C70" s="535">
        <v>1</v>
      </c>
      <c r="D70" s="535" t="s">
        <v>294</v>
      </c>
      <c r="E70" s="536">
        <f ca="1">Elec_Est!E182</f>
        <v>34.89</v>
      </c>
      <c r="F70" s="541">
        <f t="shared" ca="1" si="2"/>
        <v>34.89</v>
      </c>
      <c r="G70" s="565"/>
      <c r="H70" s="565"/>
      <c r="I70" s="565"/>
      <c r="J70" s="565"/>
      <c r="K70" s="565"/>
      <c r="L70" s="565"/>
      <c r="M70" s="565"/>
      <c r="N70" s="565"/>
      <c r="O70" s="565"/>
      <c r="P70" s="565"/>
      <c r="Q70" s="565"/>
      <c r="R70" s="565"/>
      <c r="S70" s="565"/>
      <c r="T70" s="565"/>
      <c r="U70" s="565"/>
      <c r="V70" s="565"/>
      <c r="W70" s="565"/>
      <c r="X70" s="565"/>
      <c r="Y70" s="565"/>
      <c r="Z70" s="565"/>
    </row>
    <row r="71" spans="1:26">
      <c r="A71" s="533">
        <v>2.0169999999999981</v>
      </c>
      <c r="B71" s="540" t="s">
        <v>306</v>
      </c>
      <c r="C71" s="535">
        <v>1</v>
      </c>
      <c r="D71" s="535" t="s">
        <v>294</v>
      </c>
      <c r="E71" s="536">
        <f ca="1">Elec_Est!E189</f>
        <v>34.89</v>
      </c>
      <c r="F71" s="541">
        <f t="shared" ca="1" si="2"/>
        <v>34.89</v>
      </c>
      <c r="G71" s="565"/>
      <c r="H71" s="565"/>
      <c r="I71" s="565"/>
      <c r="J71" s="565"/>
      <c r="K71" s="565"/>
      <c r="L71" s="565"/>
      <c r="M71" s="565"/>
      <c r="N71" s="565"/>
      <c r="O71" s="565"/>
      <c r="P71" s="565"/>
      <c r="Q71" s="565"/>
      <c r="R71" s="565"/>
      <c r="S71" s="565"/>
      <c r="T71" s="565"/>
      <c r="U71" s="565"/>
      <c r="V71" s="565"/>
      <c r="W71" s="565"/>
      <c r="X71" s="565"/>
      <c r="Y71" s="565"/>
      <c r="Z71" s="565"/>
    </row>
    <row r="72" spans="1:26">
      <c r="A72" s="533">
        <v>2.017999999999998</v>
      </c>
      <c r="B72" s="540" t="s">
        <v>307</v>
      </c>
      <c r="C72" s="535">
        <v>1</v>
      </c>
      <c r="D72" s="535" t="s">
        <v>294</v>
      </c>
      <c r="E72" s="536">
        <f ca="1">Elec_Est!E196</f>
        <v>34.89</v>
      </c>
      <c r="F72" s="541">
        <f t="shared" ca="1" si="2"/>
        <v>34.89</v>
      </c>
      <c r="G72" s="565"/>
      <c r="H72" s="565"/>
      <c r="I72" s="565"/>
      <c r="J72" s="565"/>
      <c r="K72" s="565"/>
      <c r="L72" s="565"/>
      <c r="M72" s="565"/>
      <c r="N72" s="565"/>
      <c r="O72" s="565"/>
      <c r="P72" s="565"/>
      <c r="Q72" s="565"/>
      <c r="R72" s="565"/>
      <c r="S72" s="565"/>
      <c r="T72" s="565"/>
      <c r="U72" s="565"/>
      <c r="V72" s="565"/>
      <c r="W72" s="565"/>
      <c r="X72" s="565"/>
      <c r="Y72" s="565"/>
      <c r="Z72" s="565"/>
    </row>
    <row r="73" spans="1:26">
      <c r="A73" s="533">
        <v>2.0189999999999979</v>
      </c>
      <c r="B73" s="540" t="s">
        <v>308</v>
      </c>
      <c r="C73" s="535">
        <v>1</v>
      </c>
      <c r="D73" s="535" t="s">
        <v>294</v>
      </c>
      <c r="E73" s="536">
        <f ca="1">Elec_Est!E203</f>
        <v>34.89</v>
      </c>
      <c r="F73" s="541">
        <f t="shared" ca="1" si="2"/>
        <v>34.89</v>
      </c>
      <c r="G73" s="565"/>
      <c r="H73" s="565"/>
      <c r="I73" s="565"/>
      <c r="J73" s="565"/>
      <c r="K73" s="565"/>
      <c r="L73" s="565"/>
      <c r="M73" s="565"/>
      <c r="N73" s="565"/>
      <c r="O73" s="565"/>
      <c r="P73" s="565"/>
      <c r="Q73" s="565"/>
      <c r="R73" s="565"/>
      <c r="S73" s="565"/>
      <c r="T73" s="565"/>
      <c r="U73" s="565"/>
      <c r="V73" s="565"/>
      <c r="W73" s="565"/>
      <c r="X73" s="565"/>
      <c r="Y73" s="565"/>
      <c r="Z73" s="565"/>
    </row>
    <row r="74" spans="1:26" ht="27">
      <c r="A74" s="533">
        <v>2.0199999999999978</v>
      </c>
      <c r="B74" s="540" t="s">
        <v>309</v>
      </c>
      <c r="C74" s="535">
        <v>12</v>
      </c>
      <c r="D74" s="535" t="s">
        <v>294</v>
      </c>
      <c r="E74" s="536">
        <f>Elec_Est!E210</f>
        <v>10.09</v>
      </c>
      <c r="F74" s="541">
        <f t="shared" si="2"/>
        <v>121.08</v>
      </c>
      <c r="G74" s="565"/>
      <c r="H74" s="565"/>
      <c r="I74" s="565"/>
      <c r="J74" s="565"/>
      <c r="K74" s="565"/>
      <c r="L74" s="565"/>
      <c r="M74" s="565"/>
      <c r="N74" s="565"/>
      <c r="O74" s="565"/>
      <c r="P74" s="565"/>
      <c r="Q74" s="565"/>
      <c r="R74" s="565"/>
      <c r="S74" s="565"/>
      <c r="T74" s="565"/>
      <c r="U74" s="565"/>
      <c r="V74" s="565"/>
      <c r="W74" s="565"/>
      <c r="X74" s="565"/>
      <c r="Y74" s="565"/>
      <c r="Z74" s="565"/>
    </row>
    <row r="75" spans="1:26">
      <c r="F75" s="541">
        <f t="shared" si="2"/>
        <v>0</v>
      </c>
      <c r="G75" s="565"/>
      <c r="H75" s="565"/>
      <c r="I75" s="565"/>
      <c r="J75" s="565"/>
      <c r="K75" s="565"/>
      <c r="L75" s="565"/>
      <c r="M75" s="565"/>
      <c r="N75" s="565"/>
      <c r="O75" s="565"/>
      <c r="P75" s="565"/>
      <c r="Q75" s="565"/>
      <c r="R75" s="565"/>
      <c r="S75" s="565"/>
      <c r="T75" s="565"/>
      <c r="U75" s="565"/>
      <c r="V75" s="565"/>
      <c r="W75" s="565"/>
      <c r="X75" s="565"/>
      <c r="Y75" s="565"/>
      <c r="Z75" s="565"/>
    </row>
    <row r="76" spans="1:26">
      <c r="B76" s="564" t="s">
        <v>310</v>
      </c>
      <c r="F76" s="541">
        <f t="shared" si="2"/>
        <v>0</v>
      </c>
      <c r="G76" s="565"/>
      <c r="H76" s="565"/>
      <c r="I76" s="565"/>
      <c r="J76" s="565"/>
      <c r="K76" s="565"/>
      <c r="L76" s="565"/>
      <c r="M76" s="565"/>
      <c r="N76" s="565"/>
      <c r="O76" s="565"/>
      <c r="P76" s="565"/>
      <c r="Q76" s="565"/>
      <c r="R76" s="565"/>
      <c r="S76" s="565"/>
      <c r="T76" s="565"/>
      <c r="U76" s="565"/>
      <c r="V76" s="565"/>
      <c r="W76" s="565"/>
      <c r="X76" s="565"/>
      <c r="Y76" s="565"/>
      <c r="Z76" s="565"/>
    </row>
    <row r="77" spans="1:26" ht="27">
      <c r="A77" s="533">
        <v>2.0209999999999977</v>
      </c>
      <c r="B77" s="540" t="s">
        <v>311</v>
      </c>
      <c r="C77" s="535">
        <v>7</v>
      </c>
      <c r="D77" s="535" t="s">
        <v>294</v>
      </c>
      <c r="E77" s="536">
        <f>Elec_Est!E221</f>
        <v>59.76</v>
      </c>
      <c r="F77" s="541">
        <f t="shared" si="2"/>
        <v>418.32</v>
      </c>
      <c r="G77" s="565"/>
      <c r="H77" s="565"/>
      <c r="I77" s="565"/>
      <c r="J77" s="565"/>
      <c r="K77" s="565"/>
      <c r="L77" s="565"/>
      <c r="M77" s="565"/>
      <c r="N77" s="565"/>
      <c r="O77" s="565"/>
      <c r="P77" s="565"/>
      <c r="Q77" s="565"/>
      <c r="R77" s="565"/>
      <c r="S77" s="565"/>
      <c r="T77" s="565"/>
      <c r="U77" s="565"/>
      <c r="V77" s="565"/>
      <c r="W77" s="565"/>
      <c r="X77" s="565"/>
      <c r="Y77" s="565"/>
      <c r="Z77" s="565"/>
    </row>
    <row r="78" spans="1:26" ht="27">
      <c r="A78" s="533">
        <v>2.0219999999999976</v>
      </c>
      <c r="B78" s="540" t="s">
        <v>312</v>
      </c>
      <c r="C78" s="535">
        <v>1</v>
      </c>
      <c r="D78" s="535" t="s">
        <v>294</v>
      </c>
      <c r="E78" s="536">
        <f>Elec_Est!E227</f>
        <v>47.74</v>
      </c>
      <c r="F78" s="541">
        <f t="shared" si="2"/>
        <v>47.74</v>
      </c>
      <c r="G78" s="565"/>
      <c r="H78" s="565"/>
      <c r="I78" s="565"/>
      <c r="J78" s="565"/>
      <c r="K78" s="565"/>
      <c r="L78" s="565"/>
      <c r="M78" s="565"/>
      <c r="N78" s="565"/>
      <c r="O78" s="565"/>
      <c r="P78" s="565"/>
      <c r="Q78" s="565"/>
      <c r="R78" s="565"/>
      <c r="S78" s="565"/>
      <c r="T78" s="565"/>
      <c r="U78" s="565"/>
      <c r="V78" s="565"/>
      <c r="W78" s="565"/>
      <c r="X78" s="565"/>
      <c r="Y78" s="565"/>
      <c r="Z78" s="565"/>
    </row>
    <row r="79" spans="1:26">
      <c r="A79" s="533">
        <v>2.0229999999999975</v>
      </c>
      <c r="B79" s="540" t="s">
        <v>313</v>
      </c>
      <c r="C79" s="535">
        <v>2</v>
      </c>
      <c r="D79" s="535" t="s">
        <v>294</v>
      </c>
      <c r="E79" s="536">
        <f>Elec_Est!E233</f>
        <v>15.12</v>
      </c>
      <c r="F79" s="541">
        <f t="shared" si="2"/>
        <v>30.24</v>
      </c>
      <c r="G79" s="565"/>
      <c r="H79" s="565"/>
      <c r="I79" s="565"/>
      <c r="J79" s="565"/>
      <c r="K79" s="565"/>
      <c r="L79" s="565"/>
      <c r="M79" s="565"/>
      <c r="N79" s="565"/>
      <c r="O79" s="565"/>
      <c r="P79" s="565"/>
      <c r="Q79" s="565"/>
      <c r="R79" s="565"/>
      <c r="S79" s="565"/>
      <c r="T79" s="565"/>
      <c r="U79" s="565"/>
      <c r="V79" s="565"/>
      <c r="W79" s="565"/>
      <c r="X79" s="565"/>
      <c r="Y79" s="565"/>
      <c r="Z79" s="565"/>
    </row>
    <row r="80" spans="1:26">
      <c r="A80" s="533">
        <v>2.0239999999999974</v>
      </c>
      <c r="B80" s="540" t="s">
        <v>314</v>
      </c>
      <c r="C80" s="535">
        <v>3</v>
      </c>
      <c r="D80" s="535" t="s">
        <v>294</v>
      </c>
      <c r="E80" s="536">
        <f>Elec_Est!E239</f>
        <v>6.54</v>
      </c>
      <c r="F80" s="541">
        <f t="shared" si="2"/>
        <v>19.62</v>
      </c>
      <c r="G80" s="565"/>
      <c r="H80" s="565"/>
      <c r="I80" s="565"/>
      <c r="J80" s="565"/>
      <c r="K80" s="565"/>
      <c r="L80" s="565"/>
      <c r="M80" s="565"/>
      <c r="N80" s="565"/>
      <c r="O80" s="565"/>
      <c r="P80" s="565"/>
      <c r="Q80" s="565"/>
      <c r="R80" s="565"/>
      <c r="S80" s="565"/>
      <c r="T80" s="565"/>
      <c r="U80" s="565"/>
      <c r="V80" s="565"/>
      <c r="W80" s="565"/>
      <c r="X80" s="565"/>
      <c r="Y80" s="565"/>
      <c r="Z80" s="565"/>
    </row>
    <row r="81" spans="1:26">
      <c r="A81" s="533">
        <v>2.0249999999999972</v>
      </c>
      <c r="B81" s="540" t="s">
        <v>315</v>
      </c>
      <c r="C81" s="535">
        <v>7</v>
      </c>
      <c r="D81" s="535" t="s">
        <v>294</v>
      </c>
      <c r="E81" s="536">
        <f>Elec_Est!E245</f>
        <v>9.82</v>
      </c>
      <c r="F81" s="541">
        <f t="shared" si="2"/>
        <v>68.740000000000009</v>
      </c>
      <c r="G81" s="565"/>
      <c r="H81" s="565"/>
      <c r="I81" s="565"/>
      <c r="J81" s="565"/>
      <c r="K81" s="565"/>
      <c r="L81" s="565"/>
      <c r="M81" s="565"/>
      <c r="N81" s="565"/>
      <c r="O81" s="565"/>
      <c r="P81" s="565"/>
      <c r="Q81" s="565"/>
      <c r="R81" s="565"/>
      <c r="S81" s="565"/>
      <c r="T81" s="565"/>
      <c r="U81" s="565"/>
      <c r="V81" s="565"/>
      <c r="W81" s="565"/>
      <c r="X81" s="565"/>
      <c r="Y81" s="565"/>
      <c r="Z81" s="565"/>
    </row>
    <row r="82" spans="1:26">
      <c r="A82" s="533">
        <v>2.0259999999999971</v>
      </c>
      <c r="B82" s="540" t="s">
        <v>316</v>
      </c>
      <c r="C82" s="535">
        <v>1</v>
      </c>
      <c r="D82" s="535" t="s">
        <v>294</v>
      </c>
      <c r="E82" s="536">
        <f>Elec_Est!E251</f>
        <v>93.7</v>
      </c>
      <c r="F82" s="541">
        <f t="shared" si="2"/>
        <v>93.7</v>
      </c>
      <c r="G82" s="565"/>
      <c r="H82" s="565"/>
      <c r="I82" s="565"/>
      <c r="J82" s="565"/>
      <c r="K82" s="565"/>
      <c r="L82" s="565"/>
      <c r="M82" s="565"/>
      <c r="N82" s="565"/>
      <c r="O82" s="565"/>
      <c r="P82" s="565"/>
      <c r="Q82" s="565"/>
      <c r="R82" s="565"/>
      <c r="S82" s="565"/>
      <c r="T82" s="565"/>
      <c r="U82" s="565"/>
      <c r="V82" s="565"/>
      <c r="W82" s="565"/>
      <c r="X82" s="565"/>
      <c r="Y82" s="565"/>
      <c r="Z82" s="565"/>
    </row>
    <row r="83" spans="1:26">
      <c r="A83" s="533">
        <v>2.026999999999997</v>
      </c>
      <c r="B83" s="540" t="s">
        <v>317</v>
      </c>
      <c r="C83" s="535">
        <v>3</v>
      </c>
      <c r="D83" s="535" t="s">
        <v>294</v>
      </c>
      <c r="E83" s="1025" t="str">
        <f>Elec_Est!Q257</f>
        <v>Included in item 3.002</v>
      </c>
      <c r="F83" s="1025"/>
      <c r="G83" s="565"/>
      <c r="H83" s="565"/>
      <c r="I83" s="565"/>
      <c r="J83" s="565"/>
      <c r="K83" s="565"/>
      <c r="L83" s="565"/>
      <c r="M83" s="565"/>
      <c r="N83" s="565"/>
      <c r="O83" s="565"/>
      <c r="P83" s="565"/>
      <c r="Q83" s="565"/>
      <c r="R83" s="565"/>
      <c r="S83" s="565"/>
      <c r="T83" s="565"/>
      <c r="U83" s="565"/>
      <c r="V83" s="565"/>
      <c r="W83" s="565"/>
      <c r="X83" s="565"/>
      <c r="Y83" s="565"/>
      <c r="Z83" s="565"/>
    </row>
    <row r="84" spans="1:26" ht="27">
      <c r="A84" s="533">
        <v>2.0279999999999969</v>
      </c>
      <c r="B84" s="540" t="s">
        <v>318</v>
      </c>
      <c r="C84" s="535">
        <v>4</v>
      </c>
      <c r="D84" s="535" t="s">
        <v>294</v>
      </c>
      <c r="E84" s="536">
        <f>Elec_Est!E264</f>
        <v>8.8800000000000008</v>
      </c>
      <c r="F84" s="541">
        <f t="shared" si="2"/>
        <v>35.520000000000003</v>
      </c>
      <c r="G84" s="565"/>
      <c r="H84" s="565"/>
      <c r="I84" s="565"/>
      <c r="J84" s="565"/>
      <c r="K84" s="565"/>
      <c r="L84" s="565"/>
      <c r="M84" s="565"/>
      <c r="N84" s="565"/>
      <c r="O84" s="565"/>
      <c r="P84" s="565"/>
      <c r="Q84" s="565"/>
      <c r="R84" s="565"/>
      <c r="S84" s="565"/>
      <c r="T84" s="565"/>
      <c r="U84" s="565"/>
      <c r="V84" s="565"/>
      <c r="W84" s="565"/>
      <c r="X84" s="565"/>
      <c r="Y84" s="565"/>
      <c r="Z84" s="565"/>
    </row>
    <row r="85" spans="1:26" ht="27">
      <c r="A85" s="533">
        <v>2.0289999999999968</v>
      </c>
      <c r="B85" s="540" t="s">
        <v>319</v>
      </c>
      <c r="C85" s="535">
        <v>3</v>
      </c>
      <c r="D85" s="535" t="s">
        <v>294</v>
      </c>
      <c r="E85" s="536">
        <f>Elec_Est!E270</f>
        <v>11.58</v>
      </c>
      <c r="F85" s="541">
        <f t="shared" si="2"/>
        <v>34.74</v>
      </c>
      <c r="G85" s="565"/>
      <c r="H85" s="565"/>
      <c r="I85" s="565"/>
      <c r="J85" s="565"/>
      <c r="K85" s="565"/>
      <c r="L85" s="565"/>
      <c r="M85" s="565"/>
      <c r="N85" s="565"/>
      <c r="O85" s="565"/>
      <c r="P85" s="565"/>
      <c r="Q85" s="565"/>
      <c r="R85" s="565"/>
      <c r="S85" s="565"/>
      <c r="T85" s="565"/>
      <c r="U85" s="565"/>
      <c r="V85" s="565"/>
      <c r="W85" s="565"/>
      <c r="X85" s="565"/>
      <c r="Y85" s="565"/>
      <c r="Z85" s="565"/>
    </row>
    <row r="86" spans="1:26" ht="27">
      <c r="A86" s="533">
        <v>2.0299999999999967</v>
      </c>
      <c r="B86" s="540" t="s">
        <v>320</v>
      </c>
      <c r="C86" s="535">
        <v>1</v>
      </c>
      <c r="D86" s="535" t="s">
        <v>294</v>
      </c>
      <c r="E86" s="536">
        <f>Elec_Est!E276</f>
        <v>16.22</v>
      </c>
      <c r="F86" s="541">
        <f t="shared" si="2"/>
        <v>16.22</v>
      </c>
      <c r="G86" s="565"/>
      <c r="H86" s="565"/>
      <c r="I86" s="565"/>
      <c r="J86" s="565"/>
      <c r="K86" s="565"/>
      <c r="L86" s="565"/>
      <c r="M86" s="565"/>
      <c r="N86" s="565"/>
      <c r="O86" s="565"/>
      <c r="P86" s="565"/>
      <c r="Q86" s="565"/>
      <c r="R86" s="565"/>
      <c r="S86" s="565"/>
      <c r="T86" s="565"/>
      <c r="U86" s="565"/>
      <c r="V86" s="565"/>
      <c r="W86" s="565"/>
      <c r="X86" s="565"/>
      <c r="Y86" s="565"/>
      <c r="Z86" s="565"/>
    </row>
    <row r="87" spans="1:26">
      <c r="A87" s="533" t="s">
        <v>481</v>
      </c>
      <c r="F87" s="541">
        <f t="shared" si="2"/>
        <v>0</v>
      </c>
      <c r="G87" s="538"/>
      <c r="H87" s="538"/>
      <c r="I87" s="538"/>
      <c r="J87" s="538"/>
      <c r="K87" s="538"/>
      <c r="L87" s="538"/>
      <c r="M87" s="538"/>
      <c r="N87" s="538"/>
      <c r="O87" s="538"/>
      <c r="P87" s="538"/>
      <c r="Q87" s="538"/>
      <c r="R87" s="538"/>
      <c r="S87" s="538"/>
      <c r="T87" s="538"/>
      <c r="U87" s="538"/>
      <c r="V87" s="538"/>
      <c r="W87" s="538"/>
      <c r="X87" s="538"/>
      <c r="Y87" s="538"/>
      <c r="Z87" s="538"/>
    </row>
    <row r="88" spans="1:26">
      <c r="A88" s="533" t="s">
        <v>481</v>
      </c>
      <c r="B88" s="567"/>
      <c r="F88" s="541">
        <f t="shared" si="2"/>
        <v>0</v>
      </c>
      <c r="G88" s="538"/>
      <c r="H88" s="538"/>
      <c r="I88" s="538"/>
      <c r="J88" s="538"/>
      <c r="K88" s="538"/>
      <c r="L88" s="538"/>
      <c r="M88" s="538"/>
      <c r="N88" s="538"/>
      <c r="O88" s="538"/>
      <c r="P88" s="538"/>
      <c r="Q88" s="538"/>
      <c r="R88" s="538"/>
      <c r="S88" s="538"/>
      <c r="T88" s="538"/>
      <c r="U88" s="538"/>
      <c r="V88" s="538"/>
      <c r="W88" s="538"/>
      <c r="X88" s="538"/>
      <c r="Y88" s="538"/>
      <c r="Z88" s="538"/>
    </row>
    <row r="89" spans="1:26">
      <c r="A89" s="550"/>
      <c r="B89" s="568" t="s">
        <v>321</v>
      </c>
      <c r="C89" s="551"/>
      <c r="D89" s="551"/>
      <c r="E89" s="569"/>
      <c r="F89" s="547">
        <f t="shared" si="2"/>
        <v>0</v>
      </c>
      <c r="G89" s="538"/>
      <c r="H89" s="538"/>
      <c r="I89" s="538"/>
      <c r="J89" s="538"/>
      <c r="K89" s="538"/>
      <c r="L89" s="538"/>
      <c r="M89" s="538"/>
      <c r="N89" s="538"/>
      <c r="O89" s="538"/>
      <c r="P89" s="538"/>
      <c r="Q89" s="538"/>
      <c r="R89" s="538"/>
      <c r="S89" s="538"/>
      <c r="T89" s="538"/>
      <c r="U89" s="538"/>
      <c r="V89" s="538"/>
      <c r="W89" s="538"/>
      <c r="X89" s="538"/>
      <c r="Y89" s="538"/>
      <c r="Z89" s="538"/>
    </row>
    <row r="90" spans="1:26">
      <c r="A90" s="533" t="s">
        <v>481</v>
      </c>
      <c r="B90" s="567"/>
      <c r="E90" s="570"/>
      <c r="F90" s="541">
        <f t="shared" si="2"/>
        <v>0</v>
      </c>
      <c r="G90" s="538"/>
      <c r="H90" s="538"/>
      <c r="I90" s="538"/>
      <c r="J90" s="538"/>
      <c r="K90" s="538"/>
      <c r="L90" s="538"/>
      <c r="M90" s="538"/>
      <c r="N90" s="538"/>
      <c r="O90" s="538"/>
      <c r="P90" s="538"/>
      <c r="Q90" s="538"/>
      <c r="R90" s="538"/>
      <c r="S90" s="538"/>
      <c r="T90" s="538"/>
      <c r="U90" s="538"/>
      <c r="V90" s="538"/>
      <c r="W90" s="538"/>
      <c r="X90" s="538"/>
      <c r="Y90" s="538"/>
      <c r="Z90" s="538"/>
    </row>
    <row r="91" spans="1:26" ht="27">
      <c r="A91" s="533">
        <v>2.0309999999999966</v>
      </c>
      <c r="B91" s="567" t="s">
        <v>322</v>
      </c>
      <c r="C91" s="535">
        <v>8</v>
      </c>
      <c r="D91" s="535" t="s">
        <v>294</v>
      </c>
      <c r="E91" s="536">
        <f>Elec_Est!E286</f>
        <v>8.65</v>
      </c>
      <c r="F91" s="541">
        <f t="shared" si="2"/>
        <v>69.2</v>
      </c>
      <c r="G91" s="538"/>
      <c r="H91" s="538"/>
      <c r="I91" s="538"/>
      <c r="J91" s="538"/>
      <c r="K91" s="538"/>
      <c r="L91" s="538"/>
      <c r="M91" s="538"/>
      <c r="N91" s="538"/>
      <c r="O91" s="538"/>
      <c r="P91" s="538"/>
      <c r="Q91" s="538"/>
      <c r="R91" s="538"/>
      <c r="S91" s="538"/>
      <c r="T91" s="538"/>
      <c r="U91" s="538"/>
      <c r="V91" s="538"/>
      <c r="W91" s="538"/>
      <c r="X91" s="538"/>
      <c r="Y91" s="538"/>
      <c r="Z91" s="538"/>
    </row>
    <row r="92" spans="1:26">
      <c r="A92" s="533">
        <v>2.0319999999999965</v>
      </c>
      <c r="B92" s="567" t="s">
        <v>323</v>
      </c>
      <c r="C92" s="535">
        <v>40</v>
      </c>
      <c r="D92" s="535" t="s">
        <v>284</v>
      </c>
      <c r="E92" s="536">
        <f>Elec_Est!E292</f>
        <v>5.77</v>
      </c>
      <c r="F92" s="541">
        <f t="shared" si="2"/>
        <v>230.79999999999998</v>
      </c>
      <c r="G92" s="538"/>
      <c r="H92" s="538"/>
      <c r="I92" s="538"/>
      <c r="J92" s="538"/>
      <c r="K92" s="538"/>
      <c r="L92" s="538"/>
      <c r="M92" s="538"/>
      <c r="N92" s="538"/>
      <c r="O92" s="538"/>
      <c r="P92" s="538"/>
      <c r="Q92" s="538"/>
      <c r="R92" s="538"/>
      <c r="S92" s="538"/>
      <c r="T92" s="538"/>
      <c r="U92" s="538"/>
      <c r="V92" s="538"/>
      <c r="W92" s="538"/>
      <c r="X92" s="538"/>
      <c r="Y92" s="538"/>
      <c r="Z92" s="538"/>
    </row>
    <row r="93" spans="1:26" ht="27">
      <c r="A93" s="533">
        <v>2.0329999999999964</v>
      </c>
      <c r="B93" s="567" t="s">
        <v>324</v>
      </c>
      <c r="C93" s="535">
        <f>24</f>
        <v>24</v>
      </c>
      <c r="D93" s="535" t="s">
        <v>294</v>
      </c>
      <c r="E93" s="536">
        <f>Elec_Est!E298</f>
        <v>8.65</v>
      </c>
      <c r="F93" s="541">
        <f t="shared" si="2"/>
        <v>207.60000000000002</v>
      </c>
      <c r="G93" s="538"/>
      <c r="H93" s="538"/>
      <c r="I93" s="538"/>
      <c r="J93" s="538"/>
      <c r="K93" s="538"/>
      <c r="L93" s="538"/>
      <c r="M93" s="538"/>
      <c r="N93" s="538"/>
      <c r="O93" s="538"/>
      <c r="P93" s="538"/>
      <c r="Q93" s="538"/>
      <c r="R93" s="538"/>
      <c r="S93" s="538"/>
      <c r="T93" s="538"/>
      <c r="U93" s="538"/>
      <c r="V93" s="538"/>
      <c r="W93" s="538"/>
      <c r="X93" s="538"/>
      <c r="Y93" s="538"/>
      <c r="Z93" s="538"/>
    </row>
    <row r="94" spans="1:26" s="549" customFormat="1">
      <c r="A94" s="533">
        <v>2.0309999999999966</v>
      </c>
      <c r="B94" s="567" t="s">
        <v>325</v>
      </c>
      <c r="C94" s="535">
        <v>1</v>
      </c>
      <c r="D94" s="535" t="s">
        <v>255</v>
      </c>
      <c r="E94" s="1025" t="str">
        <f>Elec_Est!Q304</f>
        <v>Refer to covering letter</v>
      </c>
      <c r="F94" s="1025"/>
      <c r="G94" s="548"/>
      <c r="H94" s="548"/>
      <c r="I94" s="548"/>
      <c r="J94" s="548"/>
      <c r="K94" s="548"/>
      <c r="L94" s="548"/>
      <c r="M94" s="548"/>
      <c r="N94" s="548"/>
      <c r="O94" s="548"/>
      <c r="P94" s="548"/>
      <c r="Q94" s="548"/>
      <c r="R94" s="548"/>
      <c r="S94" s="548"/>
      <c r="T94" s="548"/>
      <c r="U94" s="548"/>
      <c r="V94" s="548"/>
      <c r="W94" s="548"/>
      <c r="X94" s="548"/>
      <c r="Y94" s="548"/>
      <c r="Z94" s="548"/>
    </row>
    <row r="95" spans="1:26" s="549" customFormat="1">
      <c r="A95" s="533" t="s">
        <v>481</v>
      </c>
      <c r="B95" s="540" t="s">
        <v>326</v>
      </c>
      <c r="C95" s="535"/>
      <c r="D95" s="535"/>
      <c r="E95" s="536"/>
      <c r="F95" s="541">
        <f t="shared" si="2"/>
        <v>0</v>
      </c>
      <c r="G95" s="548"/>
      <c r="H95" s="548"/>
      <c r="I95" s="548"/>
      <c r="J95" s="548"/>
      <c r="K95" s="548"/>
      <c r="L95" s="548"/>
      <c r="M95" s="548"/>
      <c r="N95" s="548"/>
      <c r="O95" s="548"/>
      <c r="P95" s="548"/>
      <c r="Q95" s="548"/>
      <c r="R95" s="548"/>
      <c r="S95" s="548"/>
      <c r="T95" s="548"/>
      <c r="U95" s="548"/>
      <c r="V95" s="548"/>
      <c r="W95" s="548"/>
      <c r="X95" s="548"/>
      <c r="Y95" s="548"/>
      <c r="Z95" s="548"/>
    </row>
    <row r="96" spans="1:26">
      <c r="G96" s="538"/>
      <c r="H96" s="538"/>
      <c r="I96" s="538"/>
      <c r="J96" s="538"/>
      <c r="K96" s="538"/>
      <c r="L96" s="538"/>
      <c r="M96" s="538"/>
      <c r="N96" s="538"/>
      <c r="O96" s="538"/>
      <c r="P96" s="538"/>
      <c r="Q96" s="538"/>
      <c r="R96" s="538"/>
      <c r="S96" s="538"/>
      <c r="T96" s="538"/>
      <c r="U96" s="538"/>
      <c r="V96" s="538"/>
      <c r="W96" s="538"/>
      <c r="X96" s="538"/>
      <c r="Y96" s="538"/>
      <c r="Z96" s="538"/>
    </row>
    <row r="97" spans="1:26">
      <c r="B97" s="564" t="s">
        <v>327</v>
      </c>
      <c r="F97" s="541">
        <f t="shared" si="2"/>
        <v>0</v>
      </c>
      <c r="G97" s="538"/>
      <c r="H97" s="538"/>
      <c r="I97" s="538"/>
      <c r="J97" s="538"/>
      <c r="K97" s="538"/>
      <c r="L97" s="538"/>
      <c r="M97" s="538"/>
      <c r="N97" s="538"/>
      <c r="O97" s="538"/>
      <c r="P97" s="538"/>
      <c r="Q97" s="538"/>
      <c r="R97" s="538"/>
      <c r="S97" s="538"/>
      <c r="T97" s="538"/>
      <c r="U97" s="538"/>
      <c r="V97" s="538"/>
      <c r="W97" s="538"/>
      <c r="X97" s="538"/>
      <c r="Y97" s="538"/>
      <c r="Z97" s="538"/>
    </row>
    <row r="98" spans="1:26">
      <c r="A98" s="550"/>
      <c r="B98" s="562" t="s">
        <v>328</v>
      </c>
      <c r="C98" s="551"/>
      <c r="D98" s="551"/>
      <c r="E98" s="552"/>
      <c r="F98" s="547">
        <f t="shared" si="2"/>
        <v>0</v>
      </c>
      <c r="G98" s="538"/>
      <c r="H98" s="538"/>
      <c r="I98" s="538"/>
      <c r="J98" s="538"/>
      <c r="K98" s="538"/>
      <c r="L98" s="538"/>
      <c r="M98" s="538"/>
      <c r="N98" s="538"/>
      <c r="O98" s="538"/>
      <c r="P98" s="538"/>
      <c r="Q98" s="538"/>
      <c r="R98" s="538"/>
      <c r="S98" s="538"/>
      <c r="T98" s="538"/>
      <c r="U98" s="538"/>
      <c r="V98" s="538"/>
      <c r="W98" s="538"/>
      <c r="X98" s="538"/>
      <c r="Y98" s="538"/>
      <c r="Z98" s="538"/>
    </row>
    <row r="99" spans="1:26" ht="40.200000000000003">
      <c r="A99" s="533">
        <v>2.0339999999999963</v>
      </c>
      <c r="B99" s="540" t="s">
        <v>329</v>
      </c>
      <c r="C99" s="535">
        <v>1</v>
      </c>
      <c r="D99" s="535" t="s">
        <v>330</v>
      </c>
      <c r="E99" s="536" t="str">
        <f>Elec_Est!Q319</f>
        <v>INC</v>
      </c>
      <c r="F99" s="541" t="s">
        <v>256</v>
      </c>
      <c r="G99" s="538"/>
      <c r="H99" s="538"/>
      <c r="I99" s="538"/>
      <c r="J99" s="538"/>
      <c r="K99" s="538"/>
      <c r="L99" s="538"/>
      <c r="M99" s="538"/>
      <c r="N99" s="538"/>
      <c r="O99" s="538"/>
      <c r="P99" s="538"/>
      <c r="Q99" s="538"/>
      <c r="R99" s="538"/>
      <c r="S99" s="538"/>
      <c r="T99" s="538"/>
      <c r="U99" s="538"/>
      <c r="V99" s="538"/>
      <c r="W99" s="538"/>
      <c r="X99" s="538"/>
      <c r="Y99" s="538"/>
      <c r="Z99" s="538"/>
    </row>
    <row r="100" spans="1:26" s="549" customFormat="1" ht="79.8">
      <c r="A100" s="533">
        <v>2.0349999999999961</v>
      </c>
      <c r="B100" s="540" t="s">
        <v>331</v>
      </c>
      <c r="C100" s="535">
        <v>1</v>
      </c>
      <c r="D100" s="535" t="s">
        <v>330</v>
      </c>
      <c r="E100" s="536" t="str">
        <f>Elec_Est!Q326</f>
        <v>INC</v>
      </c>
      <c r="F100" s="541" t="s">
        <v>256</v>
      </c>
      <c r="G100" s="548"/>
      <c r="H100" s="548"/>
      <c r="I100" s="548"/>
      <c r="J100" s="548"/>
      <c r="K100" s="548"/>
      <c r="L100" s="548"/>
      <c r="M100" s="548"/>
      <c r="N100" s="548"/>
      <c r="O100" s="548"/>
      <c r="P100" s="548"/>
      <c r="Q100" s="548"/>
      <c r="R100" s="548"/>
      <c r="S100" s="548"/>
      <c r="T100" s="548"/>
      <c r="U100" s="548"/>
      <c r="V100" s="548"/>
      <c r="W100" s="548"/>
      <c r="X100" s="548"/>
      <c r="Y100" s="548"/>
      <c r="Z100" s="548"/>
    </row>
    <row r="101" spans="1:26">
      <c r="A101" s="533" t="s">
        <v>481</v>
      </c>
      <c r="G101" s="538"/>
      <c r="H101" s="538"/>
      <c r="I101" s="538"/>
      <c r="J101" s="538"/>
      <c r="K101" s="538"/>
      <c r="L101" s="538"/>
      <c r="M101" s="538"/>
      <c r="N101" s="538"/>
      <c r="O101" s="538"/>
      <c r="P101" s="538"/>
      <c r="Q101" s="538"/>
      <c r="R101" s="538"/>
      <c r="S101" s="538"/>
      <c r="T101" s="538"/>
      <c r="U101" s="538"/>
      <c r="V101" s="538"/>
      <c r="W101" s="538"/>
      <c r="X101" s="538"/>
      <c r="Y101" s="538"/>
      <c r="Z101" s="538"/>
    </row>
    <row r="102" spans="1:26">
      <c r="A102" s="550"/>
      <c r="B102" s="562" t="s">
        <v>332</v>
      </c>
      <c r="C102" s="551"/>
      <c r="D102" s="551"/>
      <c r="E102" s="552"/>
      <c r="F102" s="547"/>
      <c r="G102" s="538"/>
      <c r="H102" s="538"/>
      <c r="I102" s="538"/>
      <c r="J102" s="538"/>
      <c r="K102" s="538"/>
      <c r="L102" s="538"/>
      <c r="M102" s="538"/>
      <c r="N102" s="538"/>
      <c r="O102" s="538"/>
      <c r="P102" s="538"/>
      <c r="Q102" s="538"/>
      <c r="R102" s="538"/>
      <c r="S102" s="538"/>
      <c r="T102" s="538"/>
      <c r="U102" s="538"/>
      <c r="V102" s="538"/>
      <c r="W102" s="538"/>
      <c r="X102" s="538"/>
      <c r="Y102" s="538"/>
      <c r="Z102" s="538"/>
    </row>
    <row r="103" spans="1:26" s="549" customFormat="1" ht="27">
      <c r="A103" s="533">
        <v>2.035999999999996</v>
      </c>
      <c r="B103" s="540" t="s">
        <v>333</v>
      </c>
      <c r="C103" s="535">
        <v>1</v>
      </c>
      <c r="D103" s="535" t="s">
        <v>330</v>
      </c>
      <c r="E103" s="536" t="str">
        <f>Elec_Est!Q337</f>
        <v>INC</v>
      </c>
      <c r="F103" s="541" t="s">
        <v>256</v>
      </c>
      <c r="G103" s="548"/>
      <c r="H103" s="548"/>
      <c r="I103" s="548"/>
      <c r="J103" s="548"/>
      <c r="K103" s="548"/>
      <c r="L103" s="548"/>
      <c r="M103" s="548"/>
      <c r="N103" s="548"/>
      <c r="O103" s="548"/>
      <c r="P103" s="548"/>
      <c r="Q103" s="548"/>
      <c r="R103" s="548"/>
      <c r="S103" s="548"/>
      <c r="T103" s="548"/>
      <c r="U103" s="548"/>
      <c r="V103" s="548"/>
      <c r="W103" s="548"/>
      <c r="X103" s="548"/>
      <c r="Y103" s="548"/>
      <c r="Z103" s="548"/>
    </row>
    <row r="104" spans="1:26">
      <c r="A104" s="533" t="s">
        <v>481</v>
      </c>
      <c r="G104" s="538"/>
      <c r="H104" s="538"/>
      <c r="I104" s="538"/>
      <c r="J104" s="538"/>
      <c r="K104" s="538"/>
      <c r="L104" s="538"/>
      <c r="M104" s="538"/>
      <c r="N104" s="538"/>
      <c r="O104" s="538"/>
      <c r="P104" s="538"/>
      <c r="Q104" s="538"/>
      <c r="R104" s="538"/>
      <c r="S104" s="538"/>
      <c r="T104" s="538"/>
      <c r="U104" s="538"/>
      <c r="V104" s="538"/>
      <c r="W104" s="538"/>
      <c r="X104" s="538"/>
      <c r="Y104" s="538"/>
      <c r="Z104" s="538"/>
    </row>
    <row r="105" spans="1:26">
      <c r="A105" s="550"/>
      <c r="B105" s="562" t="s">
        <v>334</v>
      </c>
      <c r="C105" s="551"/>
      <c r="D105" s="551"/>
      <c r="E105" s="552"/>
      <c r="F105" s="547"/>
      <c r="G105" s="538"/>
      <c r="H105" s="538"/>
      <c r="I105" s="538"/>
      <c r="J105" s="538"/>
      <c r="K105" s="538"/>
      <c r="L105" s="538"/>
      <c r="M105" s="538"/>
      <c r="N105" s="538"/>
      <c r="O105" s="538"/>
      <c r="P105" s="538"/>
      <c r="Q105" s="538"/>
      <c r="R105" s="538"/>
      <c r="S105" s="538"/>
      <c r="T105" s="538"/>
      <c r="U105" s="538"/>
      <c r="V105" s="538"/>
      <c r="W105" s="538"/>
      <c r="X105" s="538"/>
      <c r="Y105" s="538"/>
      <c r="Z105" s="538"/>
    </row>
    <row r="106" spans="1:26" ht="27">
      <c r="A106" s="533">
        <v>2.0369999999999959</v>
      </c>
      <c r="B106" s="540" t="s">
        <v>335</v>
      </c>
      <c r="C106" s="535">
        <v>1</v>
      </c>
      <c r="D106" s="535" t="s">
        <v>330</v>
      </c>
      <c r="E106" s="536" t="str">
        <f>Elec_Est!Q348</f>
        <v>INC</v>
      </c>
      <c r="F106" s="541" t="s">
        <v>256</v>
      </c>
      <c r="G106" s="538"/>
      <c r="H106" s="538"/>
      <c r="I106" s="538"/>
      <c r="J106" s="538"/>
      <c r="K106" s="538"/>
      <c r="L106" s="538"/>
      <c r="M106" s="538"/>
      <c r="N106" s="538"/>
      <c r="O106" s="538"/>
      <c r="P106" s="538"/>
      <c r="Q106" s="538"/>
      <c r="R106" s="538"/>
      <c r="S106" s="538"/>
      <c r="T106" s="538"/>
      <c r="U106" s="538"/>
      <c r="V106" s="538"/>
      <c r="W106" s="538"/>
      <c r="X106" s="538"/>
      <c r="Y106" s="538"/>
      <c r="Z106" s="538"/>
    </row>
    <row r="107" spans="1:26" s="560" customFormat="1" ht="24.75" customHeight="1">
      <c r="A107" s="533">
        <v>2.0379999999999958</v>
      </c>
      <c r="B107" s="540" t="s">
        <v>336</v>
      </c>
      <c r="C107" s="535">
        <v>1</v>
      </c>
      <c r="D107" s="535" t="s">
        <v>330</v>
      </c>
      <c r="E107" s="536">
        <f>Elec_Est!E355</f>
        <v>48.73</v>
      </c>
      <c r="F107" s="541">
        <f t="shared" si="2"/>
        <v>48.73</v>
      </c>
      <c r="G107" s="559"/>
      <c r="H107" s="559"/>
      <c r="I107" s="559"/>
      <c r="J107" s="559"/>
      <c r="K107" s="559"/>
      <c r="L107" s="559"/>
      <c r="M107" s="559"/>
      <c r="N107" s="559"/>
      <c r="O107" s="559"/>
      <c r="P107" s="559"/>
      <c r="Q107" s="559"/>
      <c r="R107" s="559"/>
      <c r="S107" s="559"/>
      <c r="T107" s="559"/>
      <c r="U107" s="559"/>
      <c r="V107" s="559"/>
      <c r="W107" s="559"/>
      <c r="X107" s="559"/>
      <c r="Y107" s="559"/>
      <c r="Z107" s="559"/>
    </row>
    <row r="108" spans="1:26">
      <c r="A108" s="555"/>
      <c r="B108" s="556" t="s">
        <v>337</v>
      </c>
      <c r="C108" s="557"/>
      <c r="D108" s="557"/>
      <c r="E108" s="558"/>
      <c r="F108" s="571">
        <f ca="1">SUM(F41:F107)</f>
        <v>3784.6799999999985</v>
      </c>
      <c r="G108" s="538"/>
      <c r="H108" s="538"/>
      <c r="I108" s="538"/>
      <c r="J108" s="538"/>
      <c r="K108" s="538"/>
      <c r="L108" s="538"/>
      <c r="M108" s="538"/>
      <c r="N108" s="538"/>
      <c r="O108" s="538"/>
      <c r="P108" s="538"/>
      <c r="Q108" s="538"/>
      <c r="R108" s="538"/>
      <c r="S108" s="538"/>
      <c r="T108" s="538"/>
      <c r="U108" s="538"/>
      <c r="V108" s="538"/>
      <c r="W108" s="538"/>
      <c r="X108" s="538"/>
      <c r="Y108" s="538"/>
      <c r="Z108" s="538"/>
    </row>
    <row r="109" spans="1:26" s="549" customFormat="1">
      <c r="A109" s="533"/>
      <c r="B109" s="540"/>
      <c r="C109" s="535"/>
      <c r="D109" s="535"/>
      <c r="E109" s="536"/>
      <c r="F109" s="541"/>
      <c r="G109" s="548"/>
      <c r="H109" s="548"/>
      <c r="I109" s="548"/>
      <c r="J109" s="548"/>
      <c r="K109" s="548"/>
      <c r="L109" s="548"/>
      <c r="M109" s="548"/>
      <c r="N109" s="548"/>
      <c r="O109" s="548"/>
      <c r="P109" s="548"/>
      <c r="Q109" s="548"/>
      <c r="R109" s="548"/>
      <c r="S109" s="548"/>
      <c r="T109" s="548"/>
      <c r="U109" s="548"/>
      <c r="V109" s="548"/>
      <c r="W109" s="548"/>
      <c r="X109" s="548"/>
      <c r="Y109" s="548"/>
      <c r="Z109" s="548"/>
    </row>
    <row r="110" spans="1:26">
      <c r="B110" s="542" t="s">
        <v>338</v>
      </c>
      <c r="G110" s="538"/>
      <c r="H110" s="538"/>
      <c r="I110" s="538"/>
      <c r="J110" s="538"/>
      <c r="K110" s="538"/>
      <c r="L110" s="538"/>
      <c r="M110" s="538"/>
      <c r="N110" s="538"/>
      <c r="O110" s="538"/>
      <c r="P110" s="538"/>
      <c r="Q110" s="538"/>
      <c r="R110" s="538"/>
      <c r="S110" s="538"/>
      <c r="T110" s="538"/>
      <c r="U110" s="538"/>
      <c r="V110" s="538"/>
      <c r="W110" s="538"/>
      <c r="X110" s="538"/>
      <c r="Y110" s="538"/>
      <c r="Z110" s="538"/>
    </row>
    <row r="111" spans="1:26" ht="27">
      <c r="A111" s="543" t="s">
        <v>136</v>
      </c>
      <c r="B111" s="544" t="s">
        <v>177</v>
      </c>
      <c r="C111" s="545" t="s">
        <v>178</v>
      </c>
      <c r="D111" s="545" t="s">
        <v>179</v>
      </c>
      <c r="E111" s="546" t="s">
        <v>250</v>
      </c>
      <c r="F111" s="547" t="s">
        <v>251</v>
      </c>
      <c r="G111" s="538"/>
      <c r="H111" s="538"/>
      <c r="I111" s="538"/>
      <c r="J111" s="538"/>
      <c r="K111" s="538"/>
      <c r="L111" s="538"/>
      <c r="M111" s="538"/>
      <c r="N111" s="538"/>
      <c r="O111" s="538"/>
      <c r="P111" s="538"/>
      <c r="Q111" s="538"/>
      <c r="R111" s="538"/>
      <c r="S111" s="538"/>
      <c r="T111" s="538"/>
      <c r="U111" s="538"/>
      <c r="V111" s="538"/>
      <c r="W111" s="538"/>
      <c r="X111" s="538"/>
      <c r="Y111" s="538"/>
      <c r="Z111" s="538"/>
    </row>
    <row r="112" spans="1:26" ht="27">
      <c r="A112" s="533">
        <v>3</v>
      </c>
      <c r="B112" s="540" t="s">
        <v>279</v>
      </c>
      <c r="C112" s="535">
        <v>1</v>
      </c>
      <c r="D112" s="535" t="s">
        <v>255</v>
      </c>
      <c r="E112" s="536" t="str">
        <f>Elec_Est!Q371</f>
        <v>INC</v>
      </c>
      <c r="F112" s="541" t="s">
        <v>256</v>
      </c>
      <c r="G112" s="538"/>
      <c r="H112" s="538"/>
      <c r="I112" s="538"/>
      <c r="J112" s="538"/>
      <c r="K112" s="538"/>
      <c r="L112" s="538"/>
      <c r="M112" s="538"/>
      <c r="N112" s="538"/>
      <c r="O112" s="538"/>
      <c r="P112" s="538"/>
      <c r="Q112" s="538"/>
      <c r="R112" s="538"/>
      <c r="S112" s="538"/>
      <c r="T112" s="538"/>
      <c r="U112" s="538"/>
      <c r="V112" s="538"/>
      <c r="W112" s="538"/>
      <c r="X112" s="538"/>
      <c r="Y112" s="538"/>
      <c r="Z112" s="538"/>
    </row>
    <row r="113" spans="1:26" ht="40.200000000000003">
      <c r="B113" s="564" t="s">
        <v>339</v>
      </c>
      <c r="G113" s="538"/>
      <c r="H113" s="538"/>
      <c r="I113" s="538"/>
      <c r="J113" s="538"/>
      <c r="K113" s="538"/>
      <c r="L113" s="538"/>
      <c r="M113" s="538"/>
      <c r="N113" s="538"/>
      <c r="O113" s="538"/>
      <c r="P113" s="538"/>
      <c r="Q113" s="538"/>
      <c r="R113" s="538"/>
      <c r="S113" s="538"/>
      <c r="T113" s="538"/>
      <c r="U113" s="538"/>
      <c r="V113" s="538"/>
      <c r="W113" s="538"/>
      <c r="X113" s="538"/>
      <c r="Y113" s="538"/>
      <c r="Z113" s="538"/>
    </row>
    <row r="114" spans="1:26">
      <c r="A114" s="533" t="s">
        <v>481</v>
      </c>
      <c r="B114" s="564"/>
      <c r="G114" s="538"/>
      <c r="H114" s="538"/>
      <c r="I114" s="538"/>
      <c r="J114" s="538"/>
      <c r="K114" s="538"/>
      <c r="L114" s="538"/>
      <c r="M114" s="538"/>
      <c r="N114" s="538"/>
      <c r="O114" s="538"/>
      <c r="P114" s="538"/>
      <c r="Q114" s="538"/>
      <c r="R114" s="538"/>
      <c r="S114" s="538"/>
      <c r="T114" s="538"/>
      <c r="U114" s="538"/>
      <c r="V114" s="538"/>
      <c r="W114" s="538"/>
      <c r="X114" s="538"/>
      <c r="Y114" s="538"/>
      <c r="Z114" s="538"/>
    </row>
    <row r="115" spans="1:26">
      <c r="A115" s="533">
        <v>3.0009999999999999</v>
      </c>
      <c r="B115" s="540" t="s">
        <v>340</v>
      </c>
      <c r="C115" s="535">
        <v>6</v>
      </c>
      <c r="D115" s="535" t="s">
        <v>294</v>
      </c>
      <c r="E115" s="536">
        <f>Elec_Est!E382</f>
        <v>28.78</v>
      </c>
      <c r="F115" s="541">
        <f t="shared" ref="F115:F120" si="3">C115*E115</f>
        <v>172.68</v>
      </c>
      <c r="G115" s="538"/>
      <c r="H115" s="538"/>
      <c r="I115" s="538"/>
      <c r="J115" s="538"/>
      <c r="K115" s="538"/>
      <c r="L115" s="538"/>
      <c r="M115" s="538"/>
      <c r="N115" s="538"/>
      <c r="O115" s="538"/>
      <c r="P115" s="538"/>
      <c r="Q115" s="538"/>
      <c r="R115" s="538"/>
      <c r="S115" s="538"/>
      <c r="T115" s="538"/>
      <c r="U115" s="538"/>
      <c r="V115" s="538"/>
      <c r="W115" s="538"/>
      <c r="X115" s="538"/>
      <c r="Y115" s="538"/>
      <c r="Z115" s="538"/>
    </row>
    <row r="116" spans="1:26">
      <c r="A116" s="533" t="s">
        <v>481</v>
      </c>
      <c r="F116" s="541">
        <f t="shared" si="3"/>
        <v>0</v>
      </c>
      <c r="G116" s="538"/>
      <c r="H116" s="538"/>
      <c r="I116" s="538"/>
      <c r="J116" s="538"/>
      <c r="K116" s="538"/>
      <c r="L116" s="538"/>
      <c r="M116" s="538"/>
      <c r="N116" s="538"/>
      <c r="O116" s="538"/>
      <c r="P116" s="538"/>
      <c r="Q116" s="538"/>
      <c r="R116" s="538"/>
      <c r="S116" s="538"/>
      <c r="T116" s="538"/>
      <c r="U116" s="538"/>
      <c r="V116" s="538"/>
      <c r="W116" s="538"/>
      <c r="X116" s="538"/>
      <c r="Y116" s="538"/>
      <c r="Z116" s="538"/>
    </row>
    <row r="117" spans="1:26" ht="40.200000000000003">
      <c r="B117" s="566" t="s">
        <v>341</v>
      </c>
      <c r="F117" s="541">
        <f t="shared" si="3"/>
        <v>0</v>
      </c>
      <c r="G117" s="538"/>
      <c r="H117" s="538"/>
      <c r="I117" s="538"/>
      <c r="J117" s="538"/>
      <c r="K117" s="538"/>
      <c r="L117" s="538"/>
      <c r="M117" s="538"/>
      <c r="N117" s="538"/>
      <c r="O117" s="538"/>
      <c r="P117" s="538"/>
      <c r="Q117" s="538"/>
      <c r="R117" s="538"/>
      <c r="S117" s="538"/>
      <c r="T117" s="538"/>
      <c r="U117" s="538"/>
      <c r="V117" s="538"/>
      <c r="W117" s="538"/>
      <c r="X117" s="538"/>
      <c r="Y117" s="538"/>
      <c r="Z117" s="538"/>
    </row>
    <row r="118" spans="1:26">
      <c r="A118" s="533">
        <v>3.0019999999999998</v>
      </c>
      <c r="B118" s="540" t="s">
        <v>342</v>
      </c>
      <c r="C118" s="535">
        <v>5</v>
      </c>
      <c r="D118" s="535" t="s">
        <v>294</v>
      </c>
      <c r="E118" s="536">
        <f>Elec_Est!E392</f>
        <v>25.08</v>
      </c>
      <c r="F118" s="541">
        <f t="shared" si="3"/>
        <v>125.39999999999999</v>
      </c>
      <c r="G118" s="538"/>
      <c r="H118" s="538"/>
      <c r="I118" s="538"/>
      <c r="J118" s="538"/>
      <c r="K118" s="538"/>
      <c r="L118" s="538"/>
      <c r="M118" s="538"/>
      <c r="N118" s="538"/>
      <c r="O118" s="538"/>
      <c r="P118" s="538"/>
      <c r="Q118" s="538"/>
      <c r="R118" s="538"/>
      <c r="S118" s="538"/>
      <c r="T118" s="538"/>
      <c r="U118" s="538"/>
      <c r="V118" s="538"/>
      <c r="W118" s="538"/>
      <c r="X118" s="538"/>
      <c r="Y118" s="538"/>
      <c r="Z118" s="538"/>
    </row>
    <row r="119" spans="1:26">
      <c r="A119" s="533">
        <v>3.0029999999999997</v>
      </c>
      <c r="B119" s="540" t="s">
        <v>343</v>
      </c>
      <c r="C119" s="535">
        <v>6</v>
      </c>
      <c r="D119" s="535" t="s">
        <v>294</v>
      </c>
      <c r="E119" s="536">
        <f>Elec_Est!E399</f>
        <v>9</v>
      </c>
      <c r="F119" s="541">
        <f t="shared" si="3"/>
        <v>54</v>
      </c>
      <c r="G119" s="538"/>
      <c r="H119" s="538"/>
      <c r="I119" s="538"/>
      <c r="J119" s="538"/>
      <c r="K119" s="538"/>
      <c r="L119" s="538"/>
      <c r="M119" s="538"/>
      <c r="N119" s="538"/>
      <c r="O119" s="538"/>
      <c r="P119" s="538"/>
      <c r="Q119" s="538"/>
      <c r="R119" s="538"/>
      <c r="S119" s="538"/>
      <c r="T119" s="538"/>
      <c r="U119" s="538"/>
      <c r="V119" s="538"/>
      <c r="W119" s="538"/>
      <c r="X119" s="538"/>
      <c r="Y119" s="538"/>
      <c r="Z119" s="538"/>
    </row>
    <row r="120" spans="1:26">
      <c r="A120" s="533">
        <v>3.0039999999999996</v>
      </c>
      <c r="B120" s="540" t="s">
        <v>344</v>
      </c>
      <c r="C120" s="535">
        <v>1</v>
      </c>
      <c r="D120" s="535" t="s">
        <v>294</v>
      </c>
      <c r="E120" s="536">
        <f>Elec_Est!E405</f>
        <v>5.18</v>
      </c>
      <c r="F120" s="541">
        <f t="shared" si="3"/>
        <v>5.18</v>
      </c>
      <c r="G120" s="538"/>
      <c r="H120" s="538"/>
      <c r="I120" s="538"/>
      <c r="J120" s="538"/>
      <c r="K120" s="538"/>
      <c r="L120" s="538"/>
      <c r="M120" s="538"/>
      <c r="N120" s="538"/>
      <c r="O120" s="538"/>
      <c r="P120" s="538"/>
      <c r="Q120" s="538"/>
      <c r="R120" s="538"/>
      <c r="S120" s="538"/>
      <c r="T120" s="538"/>
      <c r="U120" s="538"/>
      <c r="V120" s="538"/>
      <c r="W120" s="538"/>
      <c r="X120" s="538"/>
      <c r="Y120" s="538"/>
      <c r="Z120" s="538"/>
    </row>
    <row r="121" spans="1:26" ht="27">
      <c r="A121" s="533">
        <v>3.0049999999999994</v>
      </c>
      <c r="B121" s="540" t="s">
        <v>345</v>
      </c>
      <c r="C121" s="535">
        <v>1</v>
      </c>
      <c r="D121" s="535" t="s">
        <v>255</v>
      </c>
      <c r="E121" s="536">
        <f>Elec_Est!E411</f>
        <v>1.04</v>
      </c>
      <c r="F121" s="858" t="s">
        <v>689</v>
      </c>
      <c r="G121" s="538"/>
      <c r="H121" s="538"/>
      <c r="I121" s="538"/>
      <c r="J121" s="538"/>
      <c r="K121" s="538"/>
      <c r="L121" s="538"/>
      <c r="M121" s="538"/>
      <c r="N121" s="538"/>
      <c r="O121" s="538"/>
      <c r="P121" s="538"/>
      <c r="Q121" s="538"/>
      <c r="R121" s="538"/>
      <c r="S121" s="538"/>
      <c r="T121" s="538"/>
      <c r="U121" s="538"/>
      <c r="V121" s="538"/>
      <c r="W121" s="538"/>
      <c r="X121" s="538"/>
      <c r="Y121" s="538"/>
      <c r="Z121" s="538"/>
    </row>
    <row r="122" spans="1:26">
      <c r="A122" s="533" t="s">
        <v>481</v>
      </c>
      <c r="B122" s="564"/>
      <c r="G122" s="538"/>
      <c r="H122" s="538"/>
      <c r="I122" s="538"/>
      <c r="J122" s="538"/>
      <c r="K122" s="538"/>
      <c r="L122" s="538"/>
      <c r="M122" s="538"/>
      <c r="N122" s="538"/>
      <c r="O122" s="538"/>
      <c r="P122" s="538"/>
      <c r="Q122" s="538"/>
      <c r="R122" s="538"/>
      <c r="S122" s="538"/>
      <c r="T122" s="538"/>
      <c r="U122" s="538"/>
      <c r="V122" s="538"/>
      <c r="W122" s="538"/>
      <c r="X122" s="538"/>
      <c r="Y122" s="538"/>
      <c r="Z122" s="538"/>
    </row>
    <row r="123" spans="1:26">
      <c r="A123" s="550"/>
      <c r="B123" s="562" t="s">
        <v>328</v>
      </c>
      <c r="C123" s="551"/>
      <c r="D123" s="551"/>
      <c r="E123" s="552"/>
      <c r="F123" s="547"/>
      <c r="G123" s="538"/>
      <c r="H123" s="538"/>
      <c r="I123" s="538"/>
      <c r="J123" s="538"/>
      <c r="K123" s="538"/>
      <c r="L123" s="538"/>
      <c r="M123" s="538"/>
      <c r="N123" s="538"/>
      <c r="O123" s="538"/>
      <c r="P123" s="538"/>
      <c r="Q123" s="538"/>
      <c r="R123" s="538"/>
      <c r="S123" s="538"/>
      <c r="T123" s="538"/>
      <c r="U123" s="538"/>
      <c r="V123" s="538"/>
      <c r="W123" s="538"/>
      <c r="X123" s="538"/>
      <c r="Y123" s="538"/>
      <c r="Z123" s="538"/>
    </row>
    <row r="124" spans="1:26" ht="40.200000000000003">
      <c r="A124" s="533">
        <v>3.0059999999999993</v>
      </c>
      <c r="B124" s="540" t="s">
        <v>329</v>
      </c>
      <c r="C124" s="535">
        <v>1</v>
      </c>
      <c r="D124" s="535" t="s">
        <v>330</v>
      </c>
      <c r="E124" s="536" t="str">
        <f>Elec_Est!Q421</f>
        <v>INC</v>
      </c>
      <c r="F124" s="541" t="s">
        <v>256</v>
      </c>
      <c r="G124" s="538"/>
      <c r="H124" s="538"/>
      <c r="I124" s="538"/>
      <c r="J124" s="538"/>
      <c r="K124" s="538"/>
      <c r="L124" s="538"/>
      <c r="M124" s="538"/>
      <c r="N124" s="538"/>
      <c r="O124" s="538"/>
      <c r="P124" s="538"/>
      <c r="Q124" s="538"/>
      <c r="R124" s="538"/>
      <c r="S124" s="538"/>
      <c r="T124" s="538"/>
      <c r="U124" s="538"/>
      <c r="V124" s="538"/>
      <c r="W124" s="538"/>
      <c r="X124" s="538"/>
      <c r="Y124" s="538"/>
      <c r="Z124" s="538"/>
    </row>
    <row r="125" spans="1:26" s="549" customFormat="1" ht="79.8">
      <c r="A125" s="533">
        <v>3.0069999999999992</v>
      </c>
      <c r="B125" s="540" t="s">
        <v>331</v>
      </c>
      <c r="C125" s="535">
        <v>1</v>
      </c>
      <c r="D125" s="535" t="s">
        <v>330</v>
      </c>
      <c r="E125" s="536" t="str">
        <f>Elec_Est!Q428</f>
        <v>INC</v>
      </c>
      <c r="F125" s="541" t="s">
        <v>256</v>
      </c>
      <c r="G125" s="548"/>
      <c r="H125" s="548"/>
      <c r="I125" s="548"/>
      <c r="J125" s="548"/>
      <c r="K125" s="548"/>
      <c r="L125" s="548"/>
      <c r="M125" s="548"/>
      <c r="N125" s="548"/>
      <c r="O125" s="548"/>
      <c r="P125" s="548"/>
      <c r="Q125" s="548"/>
      <c r="R125" s="548"/>
      <c r="S125" s="548"/>
      <c r="T125" s="548"/>
      <c r="U125" s="548"/>
      <c r="V125" s="548"/>
      <c r="W125" s="548"/>
      <c r="X125" s="548"/>
      <c r="Y125" s="548"/>
      <c r="Z125" s="548"/>
    </row>
    <row r="126" spans="1:26">
      <c r="A126" s="533" t="s">
        <v>481</v>
      </c>
      <c r="G126" s="538"/>
      <c r="H126" s="538"/>
      <c r="I126" s="538"/>
      <c r="J126" s="538"/>
      <c r="K126" s="538"/>
      <c r="L126" s="538"/>
      <c r="M126" s="538"/>
      <c r="N126" s="538"/>
      <c r="O126" s="538"/>
      <c r="P126" s="538"/>
      <c r="Q126" s="538"/>
      <c r="R126" s="538"/>
      <c r="S126" s="538"/>
      <c r="T126" s="538"/>
      <c r="U126" s="538"/>
      <c r="V126" s="538"/>
      <c r="W126" s="538"/>
      <c r="X126" s="538"/>
      <c r="Y126" s="538"/>
      <c r="Z126" s="538"/>
    </row>
    <row r="127" spans="1:26">
      <c r="A127" s="550"/>
      <c r="B127" s="562" t="s">
        <v>332</v>
      </c>
      <c r="C127" s="551"/>
      <c r="D127" s="551"/>
      <c r="E127" s="552"/>
      <c r="F127" s="547"/>
      <c r="G127" s="538"/>
      <c r="H127" s="538"/>
      <c r="I127" s="538"/>
      <c r="J127" s="538"/>
      <c r="K127" s="538"/>
      <c r="L127" s="538"/>
      <c r="M127" s="538"/>
      <c r="N127" s="538"/>
      <c r="O127" s="538"/>
      <c r="P127" s="538"/>
      <c r="Q127" s="538"/>
      <c r="R127" s="538"/>
      <c r="S127" s="538"/>
      <c r="T127" s="538"/>
      <c r="U127" s="538"/>
      <c r="V127" s="538"/>
      <c r="W127" s="538"/>
      <c r="X127" s="538"/>
      <c r="Y127" s="538"/>
      <c r="Z127" s="538"/>
    </row>
    <row r="128" spans="1:26" s="549" customFormat="1" ht="27">
      <c r="A128" s="533">
        <v>3.0079999999999991</v>
      </c>
      <c r="B128" s="540" t="s">
        <v>333</v>
      </c>
      <c r="C128" s="535">
        <v>1</v>
      </c>
      <c r="D128" s="535" t="s">
        <v>330</v>
      </c>
      <c r="E128" s="536" t="str">
        <f>Elec_Est!Q439</f>
        <v>INC</v>
      </c>
      <c r="F128" s="541" t="s">
        <v>256</v>
      </c>
      <c r="G128" s="548"/>
      <c r="H128" s="548"/>
      <c r="I128" s="548"/>
      <c r="J128" s="548"/>
      <c r="K128" s="548"/>
      <c r="L128" s="548"/>
      <c r="M128" s="548"/>
      <c r="N128" s="548"/>
      <c r="O128" s="548"/>
      <c r="P128" s="548"/>
      <c r="Q128" s="548"/>
      <c r="R128" s="548"/>
      <c r="S128" s="548"/>
      <c r="T128" s="548"/>
      <c r="U128" s="548"/>
      <c r="V128" s="548"/>
      <c r="W128" s="548"/>
      <c r="X128" s="548"/>
      <c r="Y128" s="548"/>
      <c r="Z128" s="548"/>
    </row>
    <row r="129" spans="1:26">
      <c r="A129" s="533" t="s">
        <v>481</v>
      </c>
      <c r="G129" s="538"/>
      <c r="H129" s="538"/>
      <c r="I129" s="538"/>
      <c r="J129" s="538"/>
      <c r="K129" s="538"/>
      <c r="L129" s="538"/>
      <c r="M129" s="538"/>
      <c r="N129" s="538"/>
      <c r="O129" s="538"/>
      <c r="P129" s="538"/>
      <c r="Q129" s="538"/>
      <c r="R129" s="538"/>
      <c r="S129" s="538"/>
      <c r="T129" s="538"/>
      <c r="U129" s="538"/>
      <c r="V129" s="538"/>
      <c r="W129" s="538"/>
      <c r="X129" s="538"/>
      <c r="Y129" s="538"/>
      <c r="Z129" s="538"/>
    </row>
    <row r="130" spans="1:26">
      <c r="A130" s="550"/>
      <c r="B130" s="562" t="s">
        <v>334</v>
      </c>
      <c r="C130" s="551"/>
      <c r="D130" s="551"/>
      <c r="E130" s="552"/>
      <c r="F130" s="547"/>
      <c r="G130" s="538"/>
      <c r="H130" s="538"/>
      <c r="I130" s="538"/>
      <c r="J130" s="538"/>
      <c r="K130" s="538"/>
      <c r="L130" s="538"/>
      <c r="M130" s="538"/>
      <c r="N130" s="538"/>
      <c r="O130" s="538"/>
      <c r="P130" s="538"/>
      <c r="Q130" s="538"/>
      <c r="R130" s="538"/>
      <c r="S130" s="538"/>
      <c r="T130" s="538"/>
      <c r="U130" s="538"/>
      <c r="V130" s="538"/>
      <c r="W130" s="538"/>
      <c r="X130" s="538"/>
      <c r="Y130" s="538"/>
      <c r="Z130" s="538"/>
    </row>
    <row r="131" spans="1:26" ht="27">
      <c r="A131" s="533">
        <v>3.008999999999999</v>
      </c>
      <c r="B131" s="540" t="s">
        <v>335</v>
      </c>
      <c r="C131" s="535">
        <v>1</v>
      </c>
      <c r="D131" s="535" t="s">
        <v>330</v>
      </c>
      <c r="E131" s="536" t="str">
        <f>Elec_Est!Q450</f>
        <v>INC</v>
      </c>
      <c r="F131" s="541" t="s">
        <v>256</v>
      </c>
      <c r="G131" s="538"/>
      <c r="H131" s="538"/>
      <c r="I131" s="538"/>
      <c r="J131" s="538"/>
      <c r="K131" s="538"/>
      <c r="L131" s="538"/>
      <c r="M131" s="538"/>
      <c r="N131" s="538"/>
      <c r="O131" s="538"/>
      <c r="P131" s="538"/>
      <c r="Q131" s="538"/>
      <c r="R131" s="538"/>
      <c r="S131" s="538"/>
      <c r="T131" s="538"/>
      <c r="U131" s="538"/>
      <c r="V131" s="538"/>
      <c r="W131" s="538"/>
      <c r="X131" s="538"/>
      <c r="Y131" s="538"/>
      <c r="Z131" s="538"/>
    </row>
    <row r="132" spans="1:26" s="560" customFormat="1" ht="27">
      <c r="A132" s="533">
        <v>3.0099999999999989</v>
      </c>
      <c r="B132" s="540" t="s">
        <v>346</v>
      </c>
      <c r="C132" s="535">
        <v>1</v>
      </c>
      <c r="D132" s="535" t="s">
        <v>330</v>
      </c>
      <c r="E132" s="536" t="str">
        <f>Elec_Est!Q457</f>
        <v>INC</v>
      </c>
      <c r="F132" s="541" t="s">
        <v>256</v>
      </c>
      <c r="G132" s="559"/>
      <c r="H132" s="559"/>
      <c r="I132" s="559"/>
      <c r="J132" s="559"/>
      <c r="K132" s="559"/>
      <c r="L132" s="559"/>
      <c r="M132" s="559"/>
      <c r="N132" s="559"/>
      <c r="O132" s="559"/>
      <c r="P132" s="559"/>
      <c r="Q132" s="559"/>
      <c r="R132" s="559"/>
      <c r="S132" s="559"/>
      <c r="T132" s="559"/>
      <c r="U132" s="559"/>
      <c r="V132" s="559"/>
      <c r="W132" s="559"/>
      <c r="X132" s="559"/>
      <c r="Y132" s="559"/>
      <c r="Z132" s="559"/>
    </row>
    <row r="133" spans="1:26">
      <c r="A133" s="533">
        <v>3.0109999999999988</v>
      </c>
      <c r="B133" s="540" t="s">
        <v>347</v>
      </c>
      <c r="C133" s="535">
        <v>1</v>
      </c>
      <c r="D133" s="535" t="s">
        <v>255</v>
      </c>
      <c r="E133" s="536" t="str">
        <f>Elec_Est!Q464</f>
        <v>INC</v>
      </c>
      <c r="F133" s="541" t="s">
        <v>256</v>
      </c>
      <c r="G133" s="538"/>
      <c r="H133" s="538"/>
      <c r="I133" s="538"/>
      <c r="J133" s="538"/>
      <c r="K133" s="538"/>
      <c r="L133" s="538"/>
      <c r="M133" s="538"/>
      <c r="N133" s="538"/>
      <c r="O133" s="538"/>
      <c r="P133" s="538"/>
      <c r="Q133" s="538"/>
      <c r="R133" s="538"/>
      <c r="S133" s="538"/>
      <c r="T133" s="538"/>
      <c r="U133" s="538"/>
      <c r="V133" s="538"/>
      <c r="W133" s="538"/>
      <c r="X133" s="538"/>
      <c r="Y133" s="538"/>
      <c r="Z133" s="538"/>
    </row>
    <row r="134" spans="1:26" ht="27">
      <c r="A134" s="555"/>
      <c r="B134" s="556" t="s">
        <v>348</v>
      </c>
      <c r="C134" s="557"/>
      <c r="D134" s="557"/>
      <c r="E134" s="558"/>
      <c r="F134" s="571">
        <f>SUM(F112:F133)</f>
        <v>357.26</v>
      </c>
      <c r="G134" s="538"/>
      <c r="H134" s="538"/>
      <c r="I134" s="538"/>
      <c r="J134" s="538"/>
      <c r="K134" s="538"/>
      <c r="L134" s="538"/>
      <c r="M134" s="538"/>
      <c r="N134" s="538"/>
      <c r="O134" s="538"/>
      <c r="P134" s="538"/>
      <c r="Q134" s="538"/>
      <c r="R134" s="538"/>
      <c r="S134" s="538"/>
      <c r="T134" s="538"/>
      <c r="U134" s="538"/>
      <c r="V134" s="538"/>
      <c r="W134" s="538"/>
      <c r="X134" s="538"/>
      <c r="Y134" s="538"/>
      <c r="Z134" s="538"/>
    </row>
    <row r="135" spans="1:26" s="549" customFormat="1">
      <c r="A135" s="533"/>
      <c r="B135" s="553"/>
      <c r="C135" s="535"/>
      <c r="D135" s="535"/>
      <c r="E135" s="536"/>
      <c r="F135" s="541"/>
      <c r="G135" s="548"/>
      <c r="H135" s="548"/>
      <c r="I135" s="548"/>
      <c r="J135" s="548"/>
      <c r="K135" s="548"/>
      <c r="L135" s="548"/>
      <c r="M135" s="548"/>
      <c r="N135" s="548"/>
      <c r="O135" s="548"/>
      <c r="P135" s="548"/>
      <c r="Q135" s="548"/>
      <c r="R135" s="548"/>
      <c r="S135" s="548"/>
      <c r="T135" s="548"/>
      <c r="U135" s="548"/>
      <c r="V135" s="548"/>
      <c r="W135" s="548"/>
      <c r="X135" s="548"/>
      <c r="Y135" s="548"/>
      <c r="Z135" s="548"/>
    </row>
    <row r="136" spans="1:26">
      <c r="B136" s="542" t="s">
        <v>349</v>
      </c>
      <c r="G136" s="538"/>
      <c r="H136" s="538"/>
      <c r="I136" s="538"/>
      <c r="J136" s="538"/>
      <c r="K136" s="538"/>
      <c r="L136" s="538"/>
      <c r="M136" s="538"/>
      <c r="N136" s="538"/>
      <c r="O136" s="538"/>
      <c r="P136" s="538"/>
      <c r="Q136" s="538"/>
      <c r="R136" s="538"/>
      <c r="S136" s="538"/>
      <c r="T136" s="538"/>
      <c r="U136" s="538"/>
      <c r="V136" s="538"/>
      <c r="W136" s="538"/>
      <c r="X136" s="538"/>
      <c r="Y136" s="538"/>
      <c r="Z136" s="538"/>
    </row>
    <row r="137" spans="1:26" ht="27">
      <c r="A137" s="585" t="s">
        <v>136</v>
      </c>
      <c r="B137" s="586" t="s">
        <v>177</v>
      </c>
      <c r="C137" s="587" t="s">
        <v>178</v>
      </c>
      <c r="D137" s="587" t="s">
        <v>179</v>
      </c>
      <c r="E137" s="588" t="s">
        <v>250</v>
      </c>
      <c r="F137" s="589" t="s">
        <v>251</v>
      </c>
      <c r="G137" s="538"/>
      <c r="H137" s="538"/>
      <c r="I137" s="538"/>
      <c r="J137" s="538"/>
      <c r="K137" s="538"/>
      <c r="L137" s="538"/>
      <c r="M137" s="538"/>
      <c r="N137" s="538"/>
      <c r="O137" s="538"/>
      <c r="P137" s="538"/>
      <c r="Q137" s="538"/>
      <c r="R137" s="538"/>
      <c r="S137" s="538"/>
      <c r="T137" s="538"/>
      <c r="U137" s="538"/>
      <c r="V137" s="538"/>
      <c r="W137" s="538"/>
      <c r="X137" s="538"/>
      <c r="Y137" s="538"/>
      <c r="Z137" s="538"/>
    </row>
    <row r="138" spans="1:26" ht="27">
      <c r="A138" s="590">
        <v>4</v>
      </c>
      <c r="B138" s="591" t="s">
        <v>279</v>
      </c>
      <c r="C138" s="592">
        <v>1</v>
      </c>
      <c r="D138" s="592" t="s">
        <v>255</v>
      </c>
      <c r="E138" s="593" t="s">
        <v>256</v>
      </c>
      <c r="F138" s="594" t="s">
        <v>256</v>
      </c>
      <c r="G138" s="538"/>
      <c r="H138" s="538"/>
      <c r="I138" s="538"/>
      <c r="J138" s="538"/>
      <c r="K138" s="538"/>
      <c r="L138" s="538"/>
      <c r="M138" s="538"/>
      <c r="N138" s="538"/>
      <c r="O138" s="538"/>
      <c r="P138" s="538"/>
      <c r="Q138" s="538"/>
      <c r="R138" s="538"/>
      <c r="S138" s="538"/>
      <c r="T138" s="538"/>
      <c r="U138" s="538"/>
      <c r="V138" s="538"/>
      <c r="W138" s="538"/>
      <c r="X138" s="538"/>
      <c r="Y138" s="538"/>
      <c r="Z138" s="538"/>
    </row>
    <row r="139" spans="1:26" ht="27">
      <c r="A139" s="590"/>
      <c r="B139" s="595" t="s">
        <v>350</v>
      </c>
      <c r="C139" s="592"/>
      <c r="D139" s="592"/>
      <c r="E139" s="593"/>
      <c r="F139" s="594"/>
      <c r="G139" s="538"/>
      <c r="H139" s="538"/>
      <c r="I139" s="538"/>
      <c r="J139" s="538"/>
      <c r="K139" s="538"/>
      <c r="L139" s="538"/>
      <c r="M139" s="538"/>
      <c r="N139" s="538"/>
      <c r="O139" s="538"/>
      <c r="P139" s="538"/>
      <c r="Q139" s="538"/>
      <c r="R139" s="538"/>
      <c r="S139" s="538"/>
      <c r="T139" s="538"/>
      <c r="U139" s="538"/>
      <c r="V139" s="538"/>
      <c r="W139" s="538"/>
      <c r="X139" s="538"/>
      <c r="Y139" s="538"/>
      <c r="Z139" s="538"/>
    </row>
    <row r="140" spans="1:26">
      <c r="A140" s="590">
        <v>4.0010000000000003</v>
      </c>
      <c r="B140" s="591" t="s">
        <v>351</v>
      </c>
      <c r="C140" s="592">
        <v>16</v>
      </c>
      <c r="D140" s="592" t="s">
        <v>284</v>
      </c>
      <c r="E140" s="593"/>
      <c r="F140" s="594">
        <f t="shared" ref="F140:F146" si="4">C140*E140</f>
        <v>0</v>
      </c>
      <c r="G140" s="538"/>
      <c r="H140" s="538"/>
      <c r="I140" s="538"/>
      <c r="J140" s="538"/>
      <c r="K140" s="538"/>
      <c r="L140" s="538"/>
      <c r="M140" s="538"/>
      <c r="N140" s="538"/>
      <c r="O140" s="538"/>
      <c r="P140" s="538"/>
      <c r="Q140" s="538"/>
      <c r="R140" s="538"/>
      <c r="S140" s="538"/>
      <c r="T140" s="538"/>
      <c r="U140" s="538"/>
      <c r="V140" s="538"/>
      <c r="W140" s="538"/>
      <c r="X140" s="538"/>
      <c r="Y140" s="538"/>
      <c r="Z140" s="538"/>
    </row>
    <row r="141" spans="1:26">
      <c r="A141" s="590">
        <v>4.0020000000000007</v>
      </c>
      <c r="B141" s="591" t="s">
        <v>352</v>
      </c>
      <c r="C141" s="592">
        <v>2</v>
      </c>
      <c r="D141" s="592" t="s">
        <v>284</v>
      </c>
      <c r="E141" s="593"/>
      <c r="F141" s="594">
        <f t="shared" si="4"/>
        <v>0</v>
      </c>
      <c r="G141" s="538"/>
      <c r="H141" s="538"/>
      <c r="I141" s="538"/>
      <c r="J141" s="538"/>
      <c r="K141" s="538"/>
      <c r="L141" s="538"/>
      <c r="M141" s="538"/>
      <c r="N141" s="538"/>
      <c r="O141" s="538"/>
      <c r="P141" s="538"/>
      <c r="Q141" s="538"/>
      <c r="R141" s="538"/>
      <c r="S141" s="538"/>
      <c r="T141" s="538"/>
      <c r="U141" s="538"/>
      <c r="V141" s="538"/>
      <c r="W141" s="538"/>
      <c r="X141" s="538"/>
      <c r="Y141" s="538"/>
      <c r="Z141" s="538"/>
    </row>
    <row r="142" spans="1:26">
      <c r="A142" s="590">
        <v>4.003000000000001</v>
      </c>
      <c r="B142" s="591" t="s">
        <v>353</v>
      </c>
      <c r="C142" s="592">
        <v>8</v>
      </c>
      <c r="D142" s="592" t="s">
        <v>284</v>
      </c>
      <c r="E142" s="593"/>
      <c r="F142" s="594">
        <f t="shared" si="4"/>
        <v>0</v>
      </c>
      <c r="G142" s="538"/>
      <c r="H142" s="538"/>
      <c r="I142" s="538"/>
      <c r="J142" s="538"/>
      <c r="K142" s="538"/>
      <c r="L142" s="538"/>
      <c r="M142" s="538"/>
      <c r="N142" s="538"/>
      <c r="O142" s="538"/>
      <c r="P142" s="538"/>
      <c r="Q142" s="538"/>
      <c r="R142" s="538"/>
      <c r="S142" s="538"/>
      <c r="T142" s="538"/>
      <c r="U142" s="538"/>
      <c r="V142" s="538"/>
      <c r="W142" s="538"/>
      <c r="X142" s="538"/>
      <c r="Y142" s="538"/>
      <c r="Z142" s="538"/>
    </row>
    <row r="143" spans="1:26" ht="27">
      <c r="A143" s="590">
        <v>4.0040000000000013</v>
      </c>
      <c r="B143" s="591" t="s">
        <v>354</v>
      </c>
      <c r="C143" s="592">
        <v>2</v>
      </c>
      <c r="D143" s="592" t="s">
        <v>294</v>
      </c>
      <c r="E143" s="593"/>
      <c r="F143" s="594">
        <f t="shared" si="4"/>
        <v>0</v>
      </c>
      <c r="G143" s="538"/>
      <c r="H143" s="538"/>
      <c r="I143" s="538"/>
      <c r="J143" s="538"/>
      <c r="K143" s="538"/>
      <c r="L143" s="538"/>
      <c r="M143" s="538"/>
      <c r="N143" s="538"/>
      <c r="O143" s="538"/>
      <c r="P143" s="538"/>
      <c r="Q143" s="538"/>
      <c r="R143" s="538"/>
      <c r="S143" s="538"/>
      <c r="T143" s="538"/>
      <c r="U143" s="538"/>
      <c r="V143" s="538"/>
      <c r="W143" s="538"/>
      <c r="X143" s="538"/>
      <c r="Y143" s="538"/>
      <c r="Z143" s="538"/>
    </row>
    <row r="144" spans="1:26" ht="27">
      <c r="A144" s="590">
        <v>4.0050000000000017</v>
      </c>
      <c r="B144" s="591" t="s">
        <v>355</v>
      </c>
      <c r="C144" s="592">
        <v>5</v>
      </c>
      <c r="D144" s="592" t="s">
        <v>294</v>
      </c>
      <c r="E144" s="593"/>
      <c r="F144" s="594">
        <f t="shared" si="4"/>
        <v>0</v>
      </c>
      <c r="G144" s="538"/>
      <c r="H144" s="538"/>
      <c r="I144" s="538"/>
      <c r="J144" s="538"/>
      <c r="K144" s="538"/>
      <c r="L144" s="538"/>
      <c r="M144" s="538"/>
      <c r="N144" s="538"/>
      <c r="O144" s="538"/>
      <c r="P144" s="538"/>
      <c r="Q144" s="538"/>
      <c r="R144" s="538"/>
      <c r="S144" s="538"/>
      <c r="T144" s="538"/>
      <c r="U144" s="538"/>
      <c r="V144" s="538"/>
      <c r="W144" s="538"/>
      <c r="X144" s="538"/>
      <c r="Y144" s="538"/>
      <c r="Z144" s="538"/>
    </row>
    <row r="145" spans="1:26">
      <c r="A145" s="590">
        <v>4.006000000000002</v>
      </c>
      <c r="B145" s="591" t="s">
        <v>356</v>
      </c>
      <c r="C145" s="592">
        <v>2</v>
      </c>
      <c r="D145" s="592" t="s">
        <v>294</v>
      </c>
      <c r="E145" s="593"/>
      <c r="F145" s="594">
        <f t="shared" si="4"/>
        <v>0</v>
      </c>
      <c r="G145" s="538"/>
      <c r="H145" s="538"/>
      <c r="I145" s="538"/>
      <c r="J145" s="538"/>
      <c r="K145" s="538"/>
      <c r="L145" s="538"/>
      <c r="M145" s="538"/>
      <c r="N145" s="538"/>
      <c r="O145" s="538"/>
      <c r="P145" s="538"/>
      <c r="Q145" s="538"/>
      <c r="R145" s="538"/>
      <c r="S145" s="538"/>
      <c r="T145" s="538"/>
      <c r="U145" s="538"/>
      <c r="V145" s="538"/>
      <c r="W145" s="538"/>
      <c r="X145" s="538"/>
      <c r="Y145" s="538"/>
      <c r="Z145" s="538"/>
    </row>
    <row r="146" spans="1:26">
      <c r="A146" s="590">
        <v>4.0070000000000023</v>
      </c>
      <c r="B146" s="591" t="s">
        <v>357</v>
      </c>
      <c r="C146" s="592">
        <v>2</v>
      </c>
      <c r="D146" s="592" t="s">
        <v>294</v>
      </c>
      <c r="E146" s="593"/>
      <c r="F146" s="594">
        <f t="shared" si="4"/>
        <v>0</v>
      </c>
      <c r="G146" s="538"/>
      <c r="H146" s="538"/>
      <c r="I146" s="538"/>
      <c r="J146" s="538"/>
      <c r="K146" s="538"/>
      <c r="L146" s="538"/>
      <c r="M146" s="538"/>
      <c r="N146" s="538"/>
      <c r="O146" s="538"/>
      <c r="P146" s="538"/>
      <c r="Q146" s="538"/>
      <c r="R146" s="538"/>
      <c r="S146" s="538"/>
      <c r="T146" s="538"/>
      <c r="U146" s="538"/>
      <c r="V146" s="538"/>
      <c r="W146" s="538"/>
      <c r="X146" s="538"/>
      <c r="Y146" s="538"/>
      <c r="Z146" s="538"/>
    </row>
    <row r="147" spans="1:26">
      <c r="A147" s="590" t="s">
        <v>481</v>
      </c>
      <c r="B147" s="595"/>
      <c r="C147" s="592"/>
      <c r="D147" s="592"/>
      <c r="E147" s="593"/>
      <c r="F147" s="594"/>
      <c r="G147" s="538"/>
      <c r="H147" s="538"/>
      <c r="I147" s="538"/>
      <c r="J147" s="538"/>
      <c r="K147" s="538"/>
      <c r="L147" s="538"/>
      <c r="M147" s="538"/>
      <c r="N147" s="538"/>
      <c r="O147" s="538"/>
      <c r="P147" s="538"/>
      <c r="Q147" s="538"/>
      <c r="R147" s="538"/>
      <c r="S147" s="538"/>
      <c r="T147" s="538"/>
      <c r="U147" s="538"/>
      <c r="V147" s="538"/>
      <c r="W147" s="538"/>
      <c r="X147" s="538"/>
      <c r="Y147" s="538"/>
      <c r="Z147" s="538"/>
    </row>
    <row r="148" spans="1:26">
      <c r="A148" s="596" t="s">
        <v>481</v>
      </c>
      <c r="B148" s="597" t="s">
        <v>328</v>
      </c>
      <c r="C148" s="598"/>
      <c r="D148" s="598"/>
      <c r="E148" s="599"/>
      <c r="F148" s="589"/>
      <c r="G148" s="538"/>
      <c r="H148" s="538"/>
      <c r="I148" s="538"/>
      <c r="J148" s="538"/>
      <c r="K148" s="538"/>
      <c r="L148" s="538"/>
      <c r="M148" s="538"/>
      <c r="N148" s="538"/>
      <c r="O148" s="538"/>
      <c r="P148" s="538"/>
      <c r="Q148" s="538"/>
      <c r="R148" s="538"/>
      <c r="S148" s="538"/>
      <c r="T148" s="538"/>
      <c r="U148" s="538"/>
      <c r="V148" s="538"/>
      <c r="W148" s="538"/>
      <c r="X148" s="538"/>
      <c r="Y148" s="538"/>
      <c r="Z148" s="538"/>
    </row>
    <row r="149" spans="1:26" ht="40.200000000000003">
      <c r="A149" s="590">
        <v>4.0080000000000027</v>
      </c>
      <c r="B149" s="591" t="s">
        <v>329</v>
      </c>
      <c r="C149" s="592">
        <v>1</v>
      </c>
      <c r="D149" s="592" t="s">
        <v>330</v>
      </c>
      <c r="E149" s="593" t="s">
        <v>256</v>
      </c>
      <c r="F149" s="594" t="s">
        <v>256</v>
      </c>
      <c r="G149" s="538"/>
      <c r="H149" s="538"/>
      <c r="I149" s="538"/>
      <c r="J149" s="538"/>
      <c r="K149" s="538"/>
      <c r="L149" s="538"/>
      <c r="M149" s="538"/>
      <c r="N149" s="538"/>
      <c r="O149" s="538"/>
      <c r="P149" s="538"/>
      <c r="Q149" s="538"/>
      <c r="R149" s="538"/>
      <c r="S149" s="538"/>
      <c r="T149" s="538"/>
      <c r="U149" s="538"/>
      <c r="V149" s="538"/>
      <c r="W149" s="538"/>
      <c r="X149" s="538"/>
      <c r="Y149" s="538"/>
      <c r="Z149" s="538"/>
    </row>
    <row r="150" spans="1:26" s="549" customFormat="1" ht="79.8">
      <c r="A150" s="590">
        <v>4.009000000000003</v>
      </c>
      <c r="B150" s="591" t="s">
        <v>331</v>
      </c>
      <c r="C150" s="592">
        <v>1</v>
      </c>
      <c r="D150" s="592" t="s">
        <v>330</v>
      </c>
      <c r="E150" s="593" t="s">
        <v>256</v>
      </c>
      <c r="F150" s="594" t="s">
        <v>256</v>
      </c>
      <c r="G150" s="548"/>
      <c r="H150" s="548"/>
      <c r="I150" s="548"/>
      <c r="J150" s="548"/>
      <c r="K150" s="548"/>
      <c r="L150" s="548"/>
      <c r="M150" s="548"/>
      <c r="N150" s="548"/>
      <c r="O150" s="548"/>
      <c r="P150" s="548"/>
      <c r="Q150" s="548"/>
      <c r="R150" s="548"/>
      <c r="S150" s="548"/>
      <c r="T150" s="548"/>
      <c r="U150" s="548"/>
      <c r="V150" s="548"/>
      <c r="W150" s="548"/>
      <c r="X150" s="548"/>
      <c r="Y150" s="548"/>
      <c r="Z150" s="548"/>
    </row>
    <row r="151" spans="1:26">
      <c r="A151" s="590" t="s">
        <v>481</v>
      </c>
      <c r="B151" s="591"/>
      <c r="C151" s="592"/>
      <c r="D151" s="592"/>
      <c r="E151" s="593"/>
      <c r="F151" s="594"/>
      <c r="G151" s="538"/>
      <c r="H151" s="538"/>
      <c r="I151" s="538"/>
      <c r="J151" s="538"/>
      <c r="K151" s="538"/>
      <c r="L151" s="538"/>
      <c r="M151" s="538"/>
      <c r="N151" s="538"/>
      <c r="O151" s="538"/>
      <c r="P151" s="538"/>
      <c r="Q151" s="538"/>
      <c r="R151" s="538"/>
      <c r="S151" s="538"/>
      <c r="T151" s="538"/>
      <c r="U151" s="538"/>
      <c r="V151" s="538"/>
      <c r="W151" s="538"/>
      <c r="X151" s="538"/>
      <c r="Y151" s="538"/>
      <c r="Z151" s="538"/>
    </row>
    <row r="152" spans="1:26">
      <c r="A152" s="590" t="s">
        <v>481</v>
      </c>
      <c r="B152" s="591"/>
      <c r="C152" s="592"/>
      <c r="D152" s="592"/>
      <c r="E152" s="593"/>
      <c r="F152" s="594"/>
      <c r="G152" s="538"/>
      <c r="H152" s="538"/>
      <c r="I152" s="538"/>
      <c r="J152" s="538"/>
      <c r="K152" s="538"/>
      <c r="L152" s="538"/>
      <c r="M152" s="538"/>
      <c r="N152" s="538"/>
      <c r="O152" s="538"/>
      <c r="P152" s="538"/>
      <c r="Q152" s="538"/>
      <c r="R152" s="538"/>
      <c r="S152" s="538"/>
      <c r="T152" s="538"/>
      <c r="U152" s="538"/>
      <c r="V152" s="538"/>
      <c r="W152" s="538"/>
      <c r="X152" s="538"/>
      <c r="Y152" s="538"/>
      <c r="Z152" s="538"/>
    </row>
    <row r="153" spans="1:26">
      <c r="A153" s="596" t="s">
        <v>481</v>
      </c>
      <c r="B153" s="597" t="s">
        <v>334</v>
      </c>
      <c r="C153" s="598"/>
      <c r="D153" s="598"/>
      <c r="E153" s="599"/>
      <c r="F153" s="589"/>
      <c r="G153" s="538"/>
      <c r="H153" s="538"/>
      <c r="I153" s="538"/>
      <c r="J153" s="538"/>
      <c r="K153" s="538"/>
      <c r="L153" s="538"/>
      <c r="M153" s="538"/>
      <c r="N153" s="538"/>
      <c r="O153" s="538"/>
      <c r="P153" s="538"/>
      <c r="Q153" s="538"/>
      <c r="R153" s="538"/>
      <c r="S153" s="538"/>
      <c r="T153" s="538"/>
      <c r="U153" s="538"/>
      <c r="V153" s="538"/>
      <c r="W153" s="538"/>
      <c r="X153" s="538"/>
      <c r="Y153" s="538"/>
      <c r="Z153" s="538"/>
    </row>
    <row r="154" spans="1:26" ht="27">
      <c r="A154" s="590">
        <v>4.0100000000000033</v>
      </c>
      <c r="B154" s="591" t="s">
        <v>335</v>
      </c>
      <c r="C154" s="592">
        <v>1</v>
      </c>
      <c r="D154" s="592" t="s">
        <v>330</v>
      </c>
      <c r="E154" s="593" t="s">
        <v>256</v>
      </c>
      <c r="F154" s="594" t="s">
        <v>256</v>
      </c>
      <c r="G154" s="538"/>
      <c r="H154" s="538"/>
      <c r="I154" s="538"/>
      <c r="J154" s="538"/>
      <c r="K154" s="538"/>
      <c r="L154" s="538"/>
      <c r="M154" s="538"/>
      <c r="N154" s="538"/>
      <c r="O154" s="538"/>
      <c r="P154" s="538"/>
      <c r="Q154" s="538"/>
      <c r="R154" s="538"/>
      <c r="S154" s="538"/>
      <c r="T154" s="538"/>
      <c r="U154" s="538"/>
      <c r="V154" s="538"/>
      <c r="W154" s="538"/>
      <c r="X154" s="538"/>
      <c r="Y154" s="538"/>
      <c r="Z154" s="538"/>
    </row>
    <row r="155" spans="1:26">
      <c r="A155" s="555"/>
      <c r="B155" s="556" t="s">
        <v>358</v>
      </c>
      <c r="C155" s="557"/>
      <c r="D155" s="557"/>
      <c r="E155" s="558"/>
      <c r="F155" s="571">
        <f>SUM(F139:F154)</f>
        <v>0</v>
      </c>
      <c r="G155" s="538"/>
      <c r="H155" s="538"/>
      <c r="I155" s="538"/>
      <c r="J155" s="538"/>
      <c r="K155" s="538"/>
      <c r="L155" s="538"/>
      <c r="M155" s="538"/>
      <c r="N155" s="538"/>
      <c r="O155" s="538"/>
      <c r="P155" s="538"/>
      <c r="Q155" s="538"/>
      <c r="R155" s="538"/>
      <c r="S155" s="538"/>
      <c r="T155" s="538"/>
      <c r="U155" s="538"/>
      <c r="V155" s="538"/>
      <c r="W155" s="538"/>
      <c r="X155" s="538"/>
      <c r="Y155" s="538"/>
      <c r="Z155" s="538"/>
    </row>
    <row r="156" spans="1:26" ht="25.5" customHeight="1">
      <c r="B156" s="542"/>
      <c r="G156" s="538"/>
      <c r="H156" s="538"/>
      <c r="I156" s="538"/>
      <c r="J156" s="538"/>
      <c r="K156" s="538"/>
      <c r="L156" s="538"/>
      <c r="M156" s="538"/>
      <c r="N156" s="538"/>
      <c r="O156" s="538"/>
      <c r="P156" s="538"/>
      <c r="Q156" s="538"/>
      <c r="R156" s="538"/>
      <c r="S156" s="538"/>
      <c r="T156" s="538"/>
      <c r="U156" s="538"/>
      <c r="V156" s="538"/>
      <c r="W156" s="538"/>
      <c r="X156" s="538"/>
      <c r="Y156" s="538"/>
      <c r="Z156" s="538"/>
    </row>
    <row r="157" spans="1:26">
      <c r="B157" s="542" t="s">
        <v>359</v>
      </c>
      <c r="G157" s="538"/>
      <c r="H157" s="538"/>
      <c r="I157" s="538"/>
      <c r="J157" s="538"/>
      <c r="K157" s="538"/>
      <c r="L157" s="538"/>
      <c r="M157" s="538"/>
      <c r="N157" s="538"/>
      <c r="O157" s="538"/>
      <c r="P157" s="538"/>
      <c r="Q157" s="538"/>
      <c r="R157" s="538"/>
      <c r="S157" s="538"/>
      <c r="T157" s="538"/>
      <c r="U157" s="538"/>
      <c r="V157" s="538"/>
      <c r="W157" s="538"/>
      <c r="X157" s="538"/>
      <c r="Y157" s="538"/>
      <c r="Z157" s="538"/>
    </row>
    <row r="158" spans="1:26" ht="27">
      <c r="A158" s="543" t="s">
        <v>136</v>
      </c>
      <c r="B158" s="544" t="s">
        <v>177</v>
      </c>
      <c r="C158" s="545" t="s">
        <v>178</v>
      </c>
      <c r="D158" s="545" t="s">
        <v>179</v>
      </c>
      <c r="E158" s="546" t="s">
        <v>250</v>
      </c>
      <c r="F158" s="547" t="s">
        <v>251</v>
      </c>
      <c r="G158" s="538"/>
      <c r="H158" s="538"/>
      <c r="I158" s="538"/>
      <c r="J158" s="538"/>
      <c r="K158" s="538"/>
      <c r="L158" s="538"/>
      <c r="M158" s="538"/>
      <c r="N158" s="538"/>
      <c r="O158" s="538"/>
      <c r="P158" s="538"/>
      <c r="Q158" s="538"/>
      <c r="R158" s="538"/>
      <c r="S158" s="538"/>
      <c r="T158" s="538"/>
      <c r="U158" s="538"/>
      <c r="V158" s="538"/>
      <c r="W158" s="538"/>
      <c r="X158" s="538"/>
      <c r="Y158" s="538"/>
      <c r="Z158" s="538"/>
    </row>
    <row r="159" spans="1:26" ht="27">
      <c r="A159" s="533">
        <v>5</v>
      </c>
      <c r="B159" s="540" t="s">
        <v>279</v>
      </c>
      <c r="C159" s="535">
        <v>1</v>
      </c>
      <c r="D159" s="535" t="s">
        <v>255</v>
      </c>
      <c r="E159" s="536" t="str">
        <f>Elec_Est!Q481</f>
        <v>INC</v>
      </c>
      <c r="F159" s="541" t="s">
        <v>256</v>
      </c>
      <c r="G159" s="538"/>
      <c r="H159" s="538"/>
      <c r="I159" s="538"/>
      <c r="J159" s="538"/>
      <c r="K159" s="538"/>
      <c r="L159" s="538"/>
      <c r="M159" s="538"/>
      <c r="N159" s="538"/>
      <c r="O159" s="538"/>
      <c r="P159" s="538"/>
      <c r="Q159" s="538"/>
      <c r="R159" s="538"/>
      <c r="S159" s="538"/>
      <c r="T159" s="538"/>
      <c r="U159" s="538"/>
      <c r="V159" s="538"/>
      <c r="W159" s="538"/>
      <c r="X159" s="538"/>
      <c r="Y159" s="538"/>
      <c r="Z159" s="538"/>
    </row>
    <row r="160" spans="1:26" ht="40.200000000000003">
      <c r="B160" s="564" t="s">
        <v>360</v>
      </c>
      <c r="G160" s="538"/>
      <c r="H160" s="538"/>
      <c r="I160" s="538"/>
      <c r="J160" s="538"/>
      <c r="K160" s="538"/>
      <c r="L160" s="538"/>
      <c r="M160" s="538"/>
      <c r="N160" s="538"/>
      <c r="O160" s="538"/>
      <c r="P160" s="538"/>
      <c r="Q160" s="538"/>
      <c r="R160" s="538"/>
      <c r="S160" s="538"/>
      <c r="T160" s="538"/>
      <c r="U160" s="538"/>
      <c r="V160" s="538"/>
      <c r="W160" s="538"/>
      <c r="X160" s="538"/>
      <c r="Y160" s="538"/>
      <c r="Z160" s="538"/>
    </row>
    <row r="161" spans="1:26">
      <c r="A161" s="533">
        <v>5.0010000000000003</v>
      </c>
      <c r="B161" s="540" t="s">
        <v>361</v>
      </c>
      <c r="C161" s="535">
        <v>1</v>
      </c>
      <c r="D161" s="535" t="s">
        <v>294</v>
      </c>
      <c r="E161" s="536">
        <f ca="1">Elec_Est!E492</f>
        <v>18</v>
      </c>
      <c r="F161" s="541">
        <f t="shared" ref="F161:F189" ca="1" si="5">C161*E161</f>
        <v>18</v>
      </c>
      <c r="G161" s="538"/>
      <c r="H161" s="538"/>
      <c r="I161" s="538"/>
      <c r="J161" s="538"/>
      <c r="K161" s="538"/>
      <c r="L161" s="538"/>
      <c r="M161" s="538"/>
      <c r="N161" s="538"/>
      <c r="O161" s="538"/>
      <c r="P161" s="538"/>
      <c r="Q161" s="538"/>
      <c r="R161" s="538"/>
      <c r="S161" s="538"/>
      <c r="T161" s="538"/>
      <c r="U161" s="538"/>
      <c r="V161" s="538"/>
      <c r="W161" s="538"/>
      <c r="X161" s="538"/>
      <c r="Y161" s="538"/>
      <c r="Z161" s="538"/>
    </row>
    <row r="162" spans="1:26">
      <c r="A162" s="533">
        <v>5.0020000000000007</v>
      </c>
      <c r="B162" s="540" t="s">
        <v>362</v>
      </c>
      <c r="C162" s="535">
        <v>1</v>
      </c>
      <c r="D162" s="535" t="s">
        <v>294</v>
      </c>
      <c r="E162" s="536">
        <f ca="1">Elec_Est!E499</f>
        <v>18</v>
      </c>
      <c r="F162" s="541">
        <f t="shared" ca="1" si="5"/>
        <v>18</v>
      </c>
      <c r="G162" s="538"/>
      <c r="H162" s="538"/>
      <c r="I162" s="538"/>
      <c r="J162" s="538"/>
      <c r="K162" s="538"/>
      <c r="L162" s="538"/>
      <c r="M162" s="538"/>
      <c r="N162" s="538"/>
      <c r="O162" s="538"/>
      <c r="P162" s="538"/>
      <c r="Q162" s="538"/>
      <c r="R162" s="538"/>
      <c r="S162" s="538"/>
      <c r="T162" s="538"/>
      <c r="U162" s="538"/>
      <c r="V162" s="538"/>
      <c r="W162" s="538"/>
      <c r="X162" s="538"/>
      <c r="Y162" s="538"/>
      <c r="Z162" s="538"/>
    </row>
    <row r="163" spans="1:26">
      <c r="A163" s="533">
        <v>5.003000000000001</v>
      </c>
      <c r="B163" s="540" t="s">
        <v>363</v>
      </c>
      <c r="C163" s="535">
        <v>1</v>
      </c>
      <c r="D163" s="535" t="s">
        <v>294</v>
      </c>
      <c r="E163" s="536">
        <f ca="1">Elec_Est!E506</f>
        <v>18</v>
      </c>
      <c r="F163" s="541">
        <f t="shared" ca="1" si="5"/>
        <v>18</v>
      </c>
      <c r="G163" s="538"/>
      <c r="H163" s="538"/>
      <c r="I163" s="538"/>
      <c r="J163" s="538"/>
      <c r="K163" s="538"/>
      <c r="L163" s="538"/>
      <c r="M163" s="538"/>
      <c r="N163" s="538"/>
      <c r="O163" s="538"/>
      <c r="P163" s="538"/>
      <c r="Q163" s="538"/>
      <c r="R163" s="538"/>
      <c r="S163" s="538"/>
      <c r="T163" s="538"/>
      <c r="U163" s="538"/>
      <c r="V163" s="538"/>
      <c r="W163" s="538"/>
      <c r="X163" s="538"/>
      <c r="Y163" s="538"/>
      <c r="Z163" s="538"/>
    </row>
    <row r="164" spans="1:26">
      <c r="A164" s="533">
        <v>5.0040000000000013</v>
      </c>
      <c r="B164" s="540" t="s">
        <v>364</v>
      </c>
      <c r="C164" s="535">
        <v>5</v>
      </c>
      <c r="D164" s="535" t="s">
        <v>294</v>
      </c>
      <c r="E164" s="536">
        <f ca="1">Elec_Est!E513</f>
        <v>18</v>
      </c>
      <c r="F164" s="541">
        <f t="shared" ca="1" si="5"/>
        <v>90</v>
      </c>
      <c r="G164" s="538"/>
      <c r="H164" s="538"/>
      <c r="I164" s="538"/>
      <c r="J164" s="538"/>
      <c r="K164" s="538"/>
      <c r="L164" s="538"/>
      <c r="M164" s="538"/>
      <c r="N164" s="538"/>
      <c r="O164" s="538"/>
      <c r="P164" s="538"/>
      <c r="Q164" s="538"/>
      <c r="R164" s="538"/>
      <c r="S164" s="538"/>
      <c r="T164" s="538"/>
      <c r="U164" s="538"/>
      <c r="V164" s="538"/>
      <c r="W164" s="538"/>
      <c r="X164" s="538"/>
      <c r="Y164" s="538"/>
      <c r="Z164" s="538"/>
    </row>
    <row r="165" spans="1:26">
      <c r="A165" s="533">
        <v>5.0050000000000017</v>
      </c>
      <c r="B165" s="540" t="s">
        <v>365</v>
      </c>
      <c r="C165" s="535">
        <v>1</v>
      </c>
      <c r="D165" s="535" t="s">
        <v>294</v>
      </c>
      <c r="E165" s="536">
        <f ca="1">Elec_Est!E520</f>
        <v>18</v>
      </c>
      <c r="F165" s="541">
        <f t="shared" ca="1" si="5"/>
        <v>18</v>
      </c>
      <c r="G165" s="538"/>
      <c r="H165" s="538"/>
      <c r="I165" s="538"/>
      <c r="J165" s="538"/>
      <c r="K165" s="538"/>
      <c r="L165" s="538"/>
      <c r="M165" s="538"/>
      <c r="N165" s="538"/>
      <c r="O165" s="538"/>
      <c r="P165" s="538"/>
      <c r="Q165" s="538"/>
      <c r="R165" s="538"/>
      <c r="S165" s="538"/>
      <c r="T165" s="538"/>
      <c r="U165" s="538"/>
      <c r="V165" s="538"/>
      <c r="W165" s="538"/>
      <c r="X165" s="538"/>
      <c r="Y165" s="538"/>
      <c r="Z165" s="538"/>
    </row>
    <row r="166" spans="1:26">
      <c r="A166" s="533">
        <v>5.006000000000002</v>
      </c>
      <c r="B166" s="540" t="s">
        <v>366</v>
      </c>
      <c r="C166" s="535">
        <v>1</v>
      </c>
      <c r="D166" s="535" t="s">
        <v>294</v>
      </c>
      <c r="E166" s="536">
        <f ca="1">Elec_Est!E527</f>
        <v>18</v>
      </c>
      <c r="F166" s="541">
        <f t="shared" ca="1" si="5"/>
        <v>18</v>
      </c>
      <c r="G166" s="538"/>
      <c r="H166" s="538"/>
      <c r="I166" s="538"/>
      <c r="J166" s="538"/>
      <c r="K166" s="538"/>
      <c r="L166" s="538"/>
      <c r="M166" s="538"/>
      <c r="N166" s="538"/>
      <c r="O166" s="538"/>
      <c r="P166" s="538"/>
      <c r="Q166" s="538"/>
      <c r="R166" s="538"/>
      <c r="S166" s="538"/>
      <c r="T166" s="538"/>
      <c r="U166" s="538"/>
      <c r="V166" s="538"/>
      <c r="W166" s="538"/>
      <c r="X166" s="538"/>
      <c r="Y166" s="538"/>
      <c r="Z166" s="538"/>
    </row>
    <row r="167" spans="1:26">
      <c r="A167" s="533">
        <v>5.0070000000000023</v>
      </c>
      <c r="B167" s="540" t="s">
        <v>367</v>
      </c>
      <c r="C167" s="535">
        <v>1</v>
      </c>
      <c r="D167" s="535" t="s">
        <v>294</v>
      </c>
      <c r="E167" s="536">
        <f ca="1">Elec_Est!E534</f>
        <v>18</v>
      </c>
      <c r="F167" s="541">
        <f t="shared" ca="1" si="5"/>
        <v>18</v>
      </c>
      <c r="G167" s="538"/>
      <c r="H167" s="538"/>
      <c r="I167" s="538"/>
      <c r="J167" s="538"/>
      <c r="K167" s="538"/>
      <c r="L167" s="538"/>
      <c r="M167" s="538"/>
      <c r="N167" s="538"/>
      <c r="O167" s="538"/>
      <c r="P167" s="538"/>
      <c r="Q167" s="538"/>
      <c r="R167" s="538"/>
      <c r="S167" s="538"/>
      <c r="T167" s="538"/>
      <c r="U167" s="538"/>
      <c r="V167" s="538"/>
      <c r="W167" s="538"/>
      <c r="X167" s="538"/>
      <c r="Y167" s="538"/>
      <c r="Z167" s="538"/>
    </row>
    <row r="168" spans="1:26">
      <c r="A168" s="533">
        <v>5.0080000000000027</v>
      </c>
      <c r="B168" s="540" t="s">
        <v>368</v>
      </c>
      <c r="C168" s="535">
        <v>1</v>
      </c>
      <c r="D168" s="535" t="s">
        <v>294</v>
      </c>
      <c r="E168" s="536">
        <f ca="1">Elec_Est!E541</f>
        <v>18</v>
      </c>
      <c r="F168" s="541">
        <f t="shared" ca="1" si="5"/>
        <v>18</v>
      </c>
      <c r="G168" s="538"/>
      <c r="H168" s="538"/>
      <c r="I168" s="538"/>
      <c r="J168" s="538"/>
      <c r="K168" s="538"/>
      <c r="L168" s="538"/>
      <c r="M168" s="538"/>
      <c r="N168" s="538"/>
      <c r="O168" s="538"/>
      <c r="P168" s="538"/>
      <c r="Q168" s="538"/>
      <c r="R168" s="538"/>
      <c r="S168" s="538"/>
      <c r="T168" s="538"/>
      <c r="U168" s="538"/>
      <c r="V168" s="538"/>
      <c r="W168" s="538"/>
      <c r="X168" s="538"/>
      <c r="Y168" s="538"/>
      <c r="Z168" s="538"/>
    </row>
    <row r="169" spans="1:26" ht="27">
      <c r="B169" s="564" t="s">
        <v>369</v>
      </c>
      <c r="F169" s="541">
        <f t="shared" si="5"/>
        <v>0</v>
      </c>
      <c r="G169" s="538"/>
      <c r="H169" s="538"/>
      <c r="I169" s="538"/>
      <c r="J169" s="538"/>
      <c r="K169" s="538"/>
      <c r="L169" s="538"/>
      <c r="M169" s="538"/>
      <c r="N169" s="538"/>
      <c r="O169" s="538"/>
      <c r="P169" s="538"/>
      <c r="Q169" s="538"/>
      <c r="R169" s="538"/>
      <c r="S169" s="538"/>
      <c r="T169" s="538"/>
      <c r="U169" s="538"/>
      <c r="V169" s="538"/>
      <c r="W169" s="538"/>
      <c r="X169" s="538"/>
      <c r="Y169" s="538"/>
      <c r="Z169" s="538"/>
    </row>
    <row r="170" spans="1:26">
      <c r="A170" s="533">
        <v>5.009000000000003</v>
      </c>
      <c r="B170" s="540" t="s">
        <v>370</v>
      </c>
      <c r="C170" s="535">
        <v>1</v>
      </c>
      <c r="D170" s="535" t="s">
        <v>294</v>
      </c>
      <c r="E170" s="536">
        <f ca="1">Elec_Est!E552</f>
        <v>11.48</v>
      </c>
      <c r="F170" s="541">
        <f t="shared" ca="1" si="5"/>
        <v>11.48</v>
      </c>
      <c r="G170" s="538"/>
      <c r="H170" s="538"/>
      <c r="I170" s="538"/>
      <c r="J170" s="538"/>
      <c r="K170" s="538"/>
      <c r="L170" s="538"/>
      <c r="M170" s="538"/>
      <c r="N170" s="538"/>
      <c r="O170" s="538"/>
      <c r="P170" s="538"/>
      <c r="Q170" s="538"/>
      <c r="R170" s="538"/>
      <c r="S170" s="538"/>
      <c r="T170" s="538"/>
      <c r="U170" s="538"/>
      <c r="V170" s="538"/>
      <c r="W170" s="538"/>
      <c r="X170" s="538"/>
      <c r="Y170" s="538"/>
      <c r="Z170" s="538"/>
    </row>
    <row r="171" spans="1:26">
      <c r="A171" s="533">
        <v>5.0100000000000033</v>
      </c>
      <c r="B171" s="540" t="s">
        <v>371</v>
      </c>
      <c r="C171" s="535">
        <v>1</v>
      </c>
      <c r="D171" s="535" t="s">
        <v>294</v>
      </c>
      <c r="E171" s="536">
        <f ca="1">Elec_Est!E559</f>
        <v>11.48</v>
      </c>
      <c r="F171" s="541">
        <f t="shared" ca="1" si="5"/>
        <v>11.48</v>
      </c>
      <c r="G171" s="538"/>
      <c r="H171" s="538"/>
      <c r="I171" s="538"/>
      <c r="J171" s="538"/>
      <c r="K171" s="538"/>
      <c r="L171" s="538"/>
      <c r="M171" s="538"/>
      <c r="N171" s="538"/>
      <c r="O171" s="538"/>
      <c r="P171" s="538"/>
      <c r="Q171" s="538"/>
      <c r="R171" s="538"/>
      <c r="S171" s="538"/>
      <c r="T171" s="538"/>
      <c r="U171" s="538"/>
      <c r="V171" s="538"/>
      <c r="W171" s="538"/>
      <c r="X171" s="538"/>
      <c r="Y171" s="538"/>
      <c r="Z171" s="538"/>
    </row>
    <row r="172" spans="1:26">
      <c r="A172" s="533">
        <v>5.0110000000000037</v>
      </c>
      <c r="B172" s="540" t="s">
        <v>363</v>
      </c>
      <c r="C172" s="535">
        <v>1</v>
      </c>
      <c r="D172" s="535" t="s">
        <v>294</v>
      </c>
      <c r="E172" s="536">
        <f ca="1">Elec_Est!E566</f>
        <v>11.48</v>
      </c>
      <c r="F172" s="541">
        <f t="shared" ca="1" si="5"/>
        <v>11.48</v>
      </c>
      <c r="G172" s="538"/>
      <c r="H172" s="538"/>
      <c r="I172" s="538"/>
      <c r="J172" s="538"/>
      <c r="K172" s="538"/>
      <c r="L172" s="538"/>
      <c r="M172" s="538"/>
      <c r="N172" s="538"/>
      <c r="O172" s="538"/>
      <c r="P172" s="538"/>
      <c r="Q172" s="538"/>
      <c r="R172" s="538"/>
      <c r="S172" s="538"/>
      <c r="T172" s="538"/>
      <c r="U172" s="538"/>
      <c r="V172" s="538"/>
      <c r="W172" s="538"/>
      <c r="X172" s="538"/>
      <c r="Y172" s="538"/>
      <c r="Z172" s="538"/>
    </row>
    <row r="173" spans="1:26">
      <c r="A173" s="533">
        <v>5.012000000000004</v>
      </c>
      <c r="B173" s="540" t="s">
        <v>364</v>
      </c>
      <c r="C173" s="535">
        <v>5</v>
      </c>
      <c r="D173" s="535" t="s">
        <v>294</v>
      </c>
      <c r="E173" s="536">
        <f ca="1">Elec_Est!E573</f>
        <v>22.96</v>
      </c>
      <c r="F173" s="541">
        <f t="shared" ca="1" si="5"/>
        <v>114.80000000000001</v>
      </c>
      <c r="G173" s="538"/>
      <c r="H173" s="538"/>
      <c r="I173" s="538"/>
      <c r="J173" s="538"/>
      <c r="K173" s="538"/>
      <c r="L173" s="538"/>
      <c r="M173" s="538"/>
      <c r="N173" s="538"/>
      <c r="O173" s="538"/>
      <c r="P173" s="538"/>
      <c r="Q173" s="538"/>
      <c r="R173" s="538"/>
      <c r="S173" s="538"/>
      <c r="T173" s="538"/>
      <c r="U173" s="538"/>
      <c r="V173" s="538"/>
      <c r="W173" s="538"/>
      <c r="X173" s="538"/>
      <c r="Y173" s="538"/>
      <c r="Z173" s="538"/>
    </row>
    <row r="174" spans="1:26">
      <c r="A174" s="533">
        <v>5.0130000000000043</v>
      </c>
      <c r="B174" s="540" t="s">
        <v>372</v>
      </c>
      <c r="C174" s="535">
        <v>2</v>
      </c>
      <c r="D174" s="535" t="s">
        <v>294</v>
      </c>
      <c r="E174" s="536">
        <f ca="1">Elec_Est!E582</f>
        <v>11.48</v>
      </c>
      <c r="F174" s="541">
        <f t="shared" ca="1" si="5"/>
        <v>22.96</v>
      </c>
      <c r="G174" s="538"/>
      <c r="H174" s="538"/>
      <c r="I174" s="538"/>
      <c r="J174" s="538"/>
      <c r="K174" s="538"/>
      <c r="L174" s="538"/>
      <c r="M174" s="538"/>
      <c r="N174" s="538"/>
      <c r="O174" s="538"/>
      <c r="P174" s="538"/>
      <c r="Q174" s="538"/>
      <c r="R174" s="538"/>
      <c r="S174" s="538"/>
      <c r="T174" s="538"/>
      <c r="U174" s="538"/>
      <c r="V174" s="538"/>
      <c r="W174" s="538"/>
      <c r="X174" s="538"/>
      <c r="Y174" s="538"/>
      <c r="Z174" s="538"/>
    </row>
    <row r="175" spans="1:26">
      <c r="A175" s="533">
        <v>5.0140000000000047</v>
      </c>
      <c r="B175" s="540" t="s">
        <v>373</v>
      </c>
      <c r="C175" s="535">
        <v>1</v>
      </c>
      <c r="D175" s="535" t="s">
        <v>294</v>
      </c>
      <c r="E175" s="536">
        <f ca="1">Elec_Est!E589</f>
        <v>20.39</v>
      </c>
      <c r="F175" s="541">
        <f t="shared" ca="1" si="5"/>
        <v>20.39</v>
      </c>
      <c r="G175" s="538"/>
      <c r="H175" s="538"/>
      <c r="I175" s="538"/>
      <c r="J175" s="538"/>
      <c r="K175" s="538"/>
      <c r="L175" s="538"/>
      <c r="M175" s="538"/>
      <c r="N175" s="538"/>
      <c r="O175" s="538"/>
      <c r="P175" s="538"/>
      <c r="Q175" s="538"/>
      <c r="R175" s="538"/>
      <c r="S175" s="538"/>
      <c r="T175" s="538"/>
      <c r="U175" s="538"/>
      <c r="V175" s="538"/>
      <c r="W175" s="538"/>
      <c r="X175" s="538"/>
      <c r="Y175" s="538"/>
      <c r="Z175" s="538"/>
    </row>
    <row r="176" spans="1:26">
      <c r="A176" s="533">
        <v>5.015000000000005</v>
      </c>
      <c r="B176" s="540" t="s">
        <v>374</v>
      </c>
      <c r="C176" s="535">
        <v>1</v>
      </c>
      <c r="D176" s="535" t="s">
        <v>294</v>
      </c>
      <c r="E176" s="536">
        <f ca="1">Elec_Est!E597</f>
        <v>11.48</v>
      </c>
      <c r="F176" s="541">
        <f t="shared" ca="1" si="5"/>
        <v>11.48</v>
      </c>
      <c r="G176" s="538"/>
      <c r="H176" s="538"/>
      <c r="I176" s="538"/>
      <c r="J176" s="538"/>
      <c r="K176" s="538"/>
      <c r="L176" s="538"/>
      <c r="M176" s="538"/>
      <c r="N176" s="538"/>
      <c r="O176" s="538"/>
      <c r="P176" s="538"/>
      <c r="Q176" s="538"/>
      <c r="R176" s="538"/>
      <c r="S176" s="538"/>
      <c r="T176" s="538"/>
      <c r="U176" s="538"/>
      <c r="V176" s="538"/>
      <c r="W176" s="538"/>
      <c r="X176" s="538"/>
      <c r="Y176" s="538"/>
      <c r="Z176" s="538"/>
    </row>
    <row r="177" spans="1:26">
      <c r="A177" s="533">
        <v>5.0160000000000053</v>
      </c>
      <c r="B177" s="540" t="s">
        <v>375</v>
      </c>
      <c r="C177" s="535">
        <v>1</v>
      </c>
      <c r="D177" s="535" t="s">
        <v>294</v>
      </c>
      <c r="E177" s="536">
        <f ca="1">Elec_Est!E604</f>
        <v>11.48</v>
      </c>
      <c r="F177" s="541">
        <f t="shared" ca="1" si="5"/>
        <v>11.48</v>
      </c>
      <c r="G177" s="538"/>
      <c r="H177" s="538"/>
      <c r="I177" s="538"/>
      <c r="J177" s="538"/>
      <c r="K177" s="538"/>
      <c r="L177" s="538"/>
      <c r="M177" s="538"/>
      <c r="N177" s="538"/>
      <c r="O177" s="538"/>
      <c r="P177" s="538"/>
      <c r="Q177" s="538"/>
      <c r="R177" s="538"/>
      <c r="S177" s="538"/>
      <c r="T177" s="538"/>
      <c r="U177" s="538"/>
      <c r="V177" s="538"/>
      <c r="W177" s="538"/>
      <c r="X177" s="538"/>
      <c r="Y177" s="538"/>
      <c r="Z177" s="538"/>
    </row>
    <row r="178" spans="1:26">
      <c r="A178" s="533">
        <v>5.0170000000000057</v>
      </c>
      <c r="B178" s="540" t="s">
        <v>376</v>
      </c>
      <c r="C178" s="535">
        <v>1</v>
      </c>
      <c r="D178" s="535" t="s">
        <v>294</v>
      </c>
      <c r="E178" s="536">
        <f ca="1">Elec_Est!E611</f>
        <v>22.96</v>
      </c>
      <c r="F178" s="541">
        <f t="shared" ca="1" si="5"/>
        <v>22.96</v>
      </c>
      <c r="G178" s="538"/>
      <c r="H178" s="538"/>
      <c r="I178" s="538"/>
      <c r="J178" s="538"/>
      <c r="K178" s="538"/>
      <c r="L178" s="538"/>
      <c r="M178" s="538"/>
      <c r="N178" s="538"/>
      <c r="O178" s="538"/>
      <c r="P178" s="538"/>
      <c r="Q178" s="538"/>
      <c r="R178" s="538"/>
      <c r="S178" s="538"/>
      <c r="T178" s="538"/>
      <c r="U178" s="538"/>
      <c r="V178" s="538"/>
      <c r="W178" s="538"/>
      <c r="X178" s="538"/>
      <c r="Y178" s="538"/>
      <c r="Z178" s="538"/>
    </row>
    <row r="179" spans="1:26">
      <c r="B179" s="564" t="s">
        <v>377</v>
      </c>
      <c r="F179" s="541">
        <f t="shared" si="5"/>
        <v>0</v>
      </c>
      <c r="G179" s="538"/>
      <c r="H179" s="538"/>
      <c r="I179" s="538"/>
      <c r="J179" s="538"/>
      <c r="K179" s="538"/>
      <c r="L179" s="538"/>
      <c r="M179" s="538"/>
      <c r="N179" s="538"/>
      <c r="O179" s="538"/>
      <c r="P179" s="538"/>
      <c r="Q179" s="538"/>
      <c r="R179" s="538"/>
      <c r="S179" s="538"/>
      <c r="T179" s="538"/>
      <c r="U179" s="538"/>
      <c r="V179" s="538"/>
      <c r="W179" s="538"/>
      <c r="X179" s="538"/>
      <c r="Y179" s="538"/>
      <c r="Z179" s="538"/>
    </row>
    <row r="180" spans="1:26">
      <c r="A180" s="533">
        <v>5.018000000000006</v>
      </c>
      <c r="B180" s="540" t="s">
        <v>378</v>
      </c>
      <c r="C180" s="535">
        <v>1</v>
      </c>
      <c r="D180" s="535" t="s">
        <v>294</v>
      </c>
      <c r="E180" s="536">
        <f>Elec_Est!E624</f>
        <v>345</v>
      </c>
      <c r="F180" s="541">
        <f t="shared" si="5"/>
        <v>345</v>
      </c>
      <c r="G180" s="538"/>
      <c r="H180" s="538"/>
      <c r="I180" s="538"/>
      <c r="J180" s="538"/>
      <c r="K180" s="538"/>
      <c r="L180" s="538"/>
      <c r="M180" s="538"/>
      <c r="N180" s="538"/>
      <c r="O180" s="538"/>
      <c r="P180" s="538"/>
      <c r="Q180" s="538"/>
      <c r="R180" s="538"/>
      <c r="S180" s="538"/>
      <c r="T180" s="538"/>
      <c r="U180" s="538"/>
      <c r="V180" s="538"/>
      <c r="W180" s="538"/>
      <c r="X180" s="538"/>
      <c r="Y180" s="538"/>
      <c r="Z180" s="538"/>
    </row>
    <row r="181" spans="1:26">
      <c r="A181" s="533">
        <v>5.0190000000000063</v>
      </c>
      <c r="B181" s="540" t="s">
        <v>379</v>
      </c>
      <c r="C181" s="535">
        <v>1</v>
      </c>
      <c r="D181" s="535" t="s">
        <v>255</v>
      </c>
      <c r="E181" s="536">
        <f>Elec_Est!E630</f>
        <v>114.65</v>
      </c>
      <c r="F181" s="541">
        <f t="shared" si="5"/>
        <v>114.65</v>
      </c>
      <c r="G181" s="538"/>
      <c r="H181" s="538"/>
      <c r="I181" s="538"/>
      <c r="J181" s="538"/>
      <c r="K181" s="538"/>
      <c r="L181" s="538"/>
      <c r="M181" s="538"/>
      <c r="N181" s="538"/>
      <c r="O181" s="538"/>
      <c r="P181" s="538"/>
      <c r="Q181" s="538"/>
      <c r="R181" s="538"/>
      <c r="S181" s="538"/>
      <c r="T181" s="538"/>
      <c r="U181" s="538"/>
      <c r="V181" s="538"/>
      <c r="W181" s="538"/>
      <c r="X181" s="538"/>
      <c r="Y181" s="538"/>
      <c r="Z181" s="538"/>
    </row>
    <row r="182" spans="1:26">
      <c r="A182" s="533">
        <v>5.0200000000000067</v>
      </c>
      <c r="B182" s="540" t="s">
        <v>380</v>
      </c>
      <c r="C182" s="535">
        <v>5</v>
      </c>
      <c r="D182" s="535" t="s">
        <v>294</v>
      </c>
      <c r="E182" s="536">
        <f>Elec_Est!E636</f>
        <v>20.09</v>
      </c>
      <c r="F182" s="541">
        <f t="shared" si="5"/>
        <v>100.45</v>
      </c>
      <c r="G182" s="538"/>
      <c r="H182" s="538"/>
      <c r="I182" s="538"/>
      <c r="J182" s="538"/>
      <c r="K182" s="538"/>
      <c r="L182" s="538"/>
      <c r="M182" s="538"/>
      <c r="N182" s="538"/>
      <c r="O182" s="538"/>
      <c r="P182" s="538"/>
      <c r="Q182" s="538"/>
      <c r="R182" s="538"/>
      <c r="S182" s="538"/>
      <c r="T182" s="538"/>
      <c r="U182" s="538"/>
      <c r="V182" s="538"/>
      <c r="W182" s="538"/>
      <c r="X182" s="538"/>
      <c r="Y182" s="538"/>
      <c r="Z182" s="538"/>
    </row>
    <row r="183" spans="1:26">
      <c r="A183" s="533">
        <v>5.0190000000000063</v>
      </c>
      <c r="B183" s="540" t="s">
        <v>381</v>
      </c>
      <c r="C183" s="535">
        <v>1</v>
      </c>
      <c r="D183" s="535" t="s">
        <v>294</v>
      </c>
      <c r="E183" s="536">
        <f>Elec_Est!E642</f>
        <v>5</v>
      </c>
      <c r="F183" s="541">
        <f t="shared" si="5"/>
        <v>5</v>
      </c>
      <c r="G183" s="538"/>
      <c r="H183" s="538"/>
      <c r="I183" s="538"/>
      <c r="J183" s="538"/>
      <c r="K183" s="538"/>
      <c r="L183" s="538"/>
      <c r="M183" s="538"/>
      <c r="N183" s="538"/>
      <c r="O183" s="538"/>
      <c r="P183" s="538"/>
      <c r="Q183" s="538"/>
      <c r="R183" s="538"/>
      <c r="S183" s="538"/>
      <c r="T183" s="538"/>
      <c r="U183" s="538"/>
      <c r="V183" s="538"/>
      <c r="W183" s="538"/>
      <c r="X183" s="538"/>
      <c r="Y183" s="538"/>
      <c r="Z183" s="538"/>
    </row>
    <row r="184" spans="1:26">
      <c r="A184" s="533">
        <v>5.021000000000007</v>
      </c>
      <c r="B184" s="540" t="s">
        <v>382</v>
      </c>
      <c r="C184" s="535">
        <v>1</v>
      </c>
      <c r="D184" s="535" t="s">
        <v>294</v>
      </c>
      <c r="E184" s="536">
        <f>Elec_Est!E648</f>
        <v>5</v>
      </c>
      <c r="F184" s="541">
        <f t="shared" si="5"/>
        <v>5</v>
      </c>
      <c r="G184" s="538"/>
      <c r="H184" s="538"/>
      <c r="I184" s="538"/>
      <c r="J184" s="538"/>
      <c r="K184" s="538"/>
      <c r="L184" s="538"/>
      <c r="M184" s="538"/>
      <c r="N184" s="538"/>
      <c r="O184" s="538"/>
      <c r="P184" s="538"/>
      <c r="Q184" s="538"/>
      <c r="R184" s="538"/>
      <c r="S184" s="538"/>
      <c r="T184" s="538"/>
      <c r="U184" s="538"/>
      <c r="V184" s="538"/>
      <c r="W184" s="538"/>
      <c r="X184" s="538"/>
      <c r="Y184" s="538"/>
      <c r="Z184" s="538"/>
    </row>
    <row r="185" spans="1:26">
      <c r="A185" s="533">
        <v>5.0220000000000073</v>
      </c>
      <c r="B185" s="540" t="s">
        <v>383</v>
      </c>
      <c r="C185" s="535">
        <v>5</v>
      </c>
      <c r="D185" s="535" t="s">
        <v>294</v>
      </c>
      <c r="E185" s="536">
        <f>Elec_Est!E654</f>
        <v>26</v>
      </c>
      <c r="F185" s="541">
        <f t="shared" si="5"/>
        <v>130</v>
      </c>
      <c r="G185" s="538"/>
      <c r="H185" s="538"/>
      <c r="I185" s="538"/>
      <c r="J185" s="538"/>
      <c r="K185" s="538"/>
      <c r="L185" s="538"/>
      <c r="M185" s="538"/>
      <c r="N185" s="538"/>
      <c r="O185" s="538"/>
      <c r="P185" s="538"/>
      <c r="Q185" s="538"/>
      <c r="R185" s="538"/>
      <c r="S185" s="538"/>
      <c r="T185" s="538"/>
      <c r="U185" s="538"/>
      <c r="V185" s="538"/>
      <c r="W185" s="538"/>
      <c r="X185" s="538"/>
      <c r="Y185" s="538"/>
      <c r="Z185" s="538"/>
    </row>
    <row r="186" spans="1:26" ht="40.200000000000003">
      <c r="A186" s="533">
        <v>5.0230000000000077</v>
      </c>
      <c r="B186" s="540" t="s">
        <v>384</v>
      </c>
      <c r="C186" s="535">
        <v>1</v>
      </c>
      <c r="D186" s="535" t="s">
        <v>255</v>
      </c>
      <c r="E186" s="536">
        <f>Elec_Est!E660</f>
        <v>268.5</v>
      </c>
      <c r="F186" s="541">
        <f t="shared" si="5"/>
        <v>268.5</v>
      </c>
      <c r="G186" s="538"/>
      <c r="H186" s="538"/>
      <c r="I186" s="538"/>
      <c r="J186" s="538"/>
      <c r="K186" s="538"/>
      <c r="L186" s="538"/>
      <c r="M186" s="538"/>
      <c r="N186" s="538"/>
      <c r="O186" s="538"/>
      <c r="P186" s="538"/>
      <c r="Q186" s="538"/>
      <c r="R186" s="538"/>
      <c r="S186" s="538"/>
      <c r="T186" s="538"/>
      <c r="U186" s="538"/>
      <c r="V186" s="538"/>
      <c r="W186" s="538"/>
      <c r="X186" s="538"/>
      <c r="Y186" s="538"/>
      <c r="Z186" s="538"/>
    </row>
    <row r="187" spans="1:26">
      <c r="A187" s="533">
        <v>5.024000000000008</v>
      </c>
      <c r="B187" s="540" t="s">
        <v>385</v>
      </c>
      <c r="C187" s="535">
        <v>1</v>
      </c>
      <c r="D187" s="535" t="s">
        <v>294</v>
      </c>
      <c r="E187" s="536">
        <f>Elec_Est!E676</f>
        <v>27.5</v>
      </c>
      <c r="F187" s="541">
        <f t="shared" si="5"/>
        <v>27.5</v>
      </c>
      <c r="G187" s="538"/>
      <c r="H187" s="538"/>
      <c r="I187" s="538"/>
      <c r="J187" s="538"/>
      <c r="K187" s="538"/>
      <c r="L187" s="538"/>
      <c r="M187" s="538"/>
      <c r="N187" s="538"/>
      <c r="O187" s="538"/>
      <c r="P187" s="538"/>
      <c r="Q187" s="538"/>
      <c r="R187" s="538"/>
      <c r="S187" s="538"/>
      <c r="T187" s="538"/>
      <c r="U187" s="538"/>
      <c r="V187" s="538"/>
      <c r="W187" s="538"/>
      <c r="X187" s="538"/>
      <c r="Y187" s="538"/>
      <c r="Z187" s="538"/>
    </row>
    <row r="188" spans="1:26" ht="53.4">
      <c r="A188" s="533">
        <v>5.0250000000000083</v>
      </c>
      <c r="B188" s="540" t="s">
        <v>386</v>
      </c>
      <c r="C188" s="535">
        <v>1</v>
      </c>
      <c r="D188" s="535" t="s">
        <v>255</v>
      </c>
      <c r="E188" s="536">
        <f>Elec_Est!E682</f>
        <v>195.5</v>
      </c>
      <c r="F188" s="541">
        <f t="shared" si="5"/>
        <v>195.5</v>
      </c>
      <c r="G188" s="538"/>
      <c r="H188" s="538"/>
      <c r="I188" s="538"/>
      <c r="J188" s="538"/>
      <c r="K188" s="538"/>
      <c r="L188" s="538"/>
      <c r="M188" s="538"/>
      <c r="N188" s="538"/>
      <c r="O188" s="538"/>
      <c r="P188" s="538"/>
      <c r="Q188" s="538"/>
      <c r="R188" s="538"/>
      <c r="S188" s="538"/>
      <c r="T188" s="538"/>
      <c r="U188" s="538"/>
      <c r="V188" s="538"/>
      <c r="W188" s="538"/>
      <c r="X188" s="538"/>
      <c r="Y188" s="538"/>
      <c r="Z188" s="538"/>
    </row>
    <row r="189" spans="1:26" ht="93">
      <c r="B189" s="572" t="s">
        <v>387</v>
      </c>
      <c r="F189" s="541">
        <f t="shared" si="5"/>
        <v>0</v>
      </c>
      <c r="G189" s="538"/>
      <c r="H189" s="538"/>
      <c r="I189" s="538"/>
      <c r="J189" s="538"/>
      <c r="K189" s="538"/>
      <c r="L189" s="538"/>
      <c r="M189" s="538"/>
      <c r="N189" s="538"/>
      <c r="O189" s="538"/>
      <c r="P189" s="538"/>
      <c r="Q189" s="538"/>
      <c r="R189" s="538"/>
      <c r="S189" s="538"/>
      <c r="T189" s="538"/>
      <c r="U189" s="538"/>
      <c r="V189" s="538"/>
      <c r="W189" s="538"/>
      <c r="X189" s="538"/>
      <c r="Y189" s="538"/>
      <c r="Z189" s="538"/>
    </row>
    <row r="190" spans="1:26">
      <c r="A190" s="533" t="s">
        <v>481</v>
      </c>
      <c r="G190" s="561"/>
      <c r="H190" s="561"/>
      <c r="I190" s="561"/>
      <c r="J190" s="561"/>
      <c r="K190" s="561"/>
      <c r="L190" s="561"/>
      <c r="M190" s="561"/>
      <c r="N190" s="561"/>
      <c r="O190" s="561"/>
      <c r="P190" s="561"/>
      <c r="Q190" s="561"/>
      <c r="R190" s="561"/>
      <c r="S190" s="561"/>
      <c r="T190" s="561"/>
      <c r="U190" s="561"/>
      <c r="V190" s="561"/>
      <c r="W190" s="561"/>
      <c r="X190" s="561"/>
      <c r="Y190" s="561"/>
      <c r="Z190" s="561"/>
    </row>
    <row r="191" spans="1:26">
      <c r="G191" s="561"/>
      <c r="H191" s="561"/>
      <c r="I191" s="561"/>
      <c r="J191" s="561"/>
      <c r="K191" s="561"/>
      <c r="L191" s="561"/>
      <c r="M191" s="561"/>
      <c r="N191" s="561"/>
      <c r="O191" s="561"/>
      <c r="P191" s="561"/>
      <c r="Q191" s="561"/>
      <c r="R191" s="561"/>
      <c r="S191" s="561"/>
      <c r="T191" s="561"/>
      <c r="U191" s="561"/>
      <c r="V191" s="561"/>
      <c r="W191" s="561"/>
      <c r="X191" s="561"/>
      <c r="Y191" s="561"/>
      <c r="Z191" s="561"/>
    </row>
    <row r="192" spans="1:26" s="549" customFormat="1">
      <c r="A192" s="533"/>
      <c r="B192" s="564" t="s">
        <v>327</v>
      </c>
      <c r="C192" s="535"/>
      <c r="D192" s="535"/>
      <c r="E192" s="536"/>
      <c r="F192" s="541"/>
      <c r="G192" s="548"/>
      <c r="H192" s="548"/>
      <c r="I192" s="548"/>
      <c r="J192" s="548"/>
      <c r="K192" s="548"/>
      <c r="L192" s="548"/>
      <c r="M192" s="548"/>
      <c r="N192" s="548"/>
      <c r="O192" s="548"/>
      <c r="P192" s="548"/>
      <c r="Q192" s="548"/>
      <c r="R192" s="548"/>
      <c r="S192" s="548"/>
      <c r="T192" s="548"/>
      <c r="U192" s="548"/>
      <c r="V192" s="548"/>
      <c r="W192" s="548"/>
      <c r="X192" s="548"/>
      <c r="Y192" s="548"/>
      <c r="Z192" s="548"/>
    </row>
    <row r="193" spans="1:26">
      <c r="A193" s="533" t="s">
        <v>481</v>
      </c>
      <c r="B193" s="564"/>
      <c r="G193" s="538"/>
      <c r="H193" s="538"/>
      <c r="I193" s="538"/>
      <c r="J193" s="538"/>
      <c r="K193" s="538"/>
      <c r="L193" s="538"/>
      <c r="M193" s="538"/>
      <c r="N193" s="538"/>
      <c r="O193" s="538"/>
      <c r="P193" s="538"/>
      <c r="Q193" s="538"/>
      <c r="R193" s="538"/>
      <c r="S193" s="538"/>
      <c r="T193" s="538"/>
      <c r="U193" s="538"/>
      <c r="V193" s="538"/>
      <c r="W193" s="538"/>
      <c r="X193" s="538"/>
      <c r="Y193" s="538"/>
      <c r="Z193" s="538"/>
    </row>
    <row r="194" spans="1:26">
      <c r="A194" s="550"/>
      <c r="B194" s="562" t="s">
        <v>328</v>
      </c>
      <c r="C194" s="551"/>
      <c r="D194" s="551"/>
      <c r="E194" s="552"/>
      <c r="F194" s="547"/>
      <c r="G194" s="538"/>
      <c r="H194" s="538"/>
      <c r="I194" s="538"/>
      <c r="J194" s="538"/>
      <c r="K194" s="538"/>
      <c r="L194" s="538"/>
      <c r="M194" s="538"/>
      <c r="N194" s="538"/>
      <c r="O194" s="538"/>
      <c r="P194" s="538"/>
      <c r="Q194" s="538"/>
      <c r="R194" s="538"/>
      <c r="S194" s="538"/>
      <c r="T194" s="538"/>
      <c r="U194" s="538"/>
      <c r="V194" s="538"/>
      <c r="W194" s="538"/>
      <c r="X194" s="538"/>
      <c r="Y194" s="538"/>
      <c r="Z194" s="538"/>
    </row>
    <row r="195" spans="1:26" ht="40.200000000000003">
      <c r="A195" s="533">
        <v>5.0260000000000087</v>
      </c>
      <c r="B195" s="540" t="s">
        <v>329</v>
      </c>
      <c r="C195" s="535">
        <v>1</v>
      </c>
      <c r="D195" s="535" t="s">
        <v>330</v>
      </c>
      <c r="E195" s="536" t="str">
        <f>Elec_Est!Q700</f>
        <v>INC</v>
      </c>
      <c r="F195" s="541" t="s">
        <v>256</v>
      </c>
      <c r="G195" s="538"/>
      <c r="H195" s="538"/>
      <c r="I195" s="538"/>
      <c r="J195" s="538"/>
      <c r="K195" s="538"/>
      <c r="L195" s="538"/>
      <c r="M195" s="538"/>
      <c r="N195" s="538"/>
      <c r="O195" s="538"/>
      <c r="P195" s="538"/>
      <c r="Q195" s="538"/>
      <c r="R195" s="538"/>
      <c r="S195" s="538"/>
      <c r="T195" s="538"/>
      <c r="U195" s="538"/>
      <c r="V195" s="538"/>
      <c r="W195" s="538"/>
      <c r="X195" s="538"/>
      <c r="Y195" s="538"/>
      <c r="Z195" s="538"/>
    </row>
    <row r="196" spans="1:26" s="549" customFormat="1" ht="79.8">
      <c r="A196" s="533">
        <v>5.027000000000009</v>
      </c>
      <c r="B196" s="540" t="s">
        <v>331</v>
      </c>
      <c r="C196" s="535">
        <v>1</v>
      </c>
      <c r="D196" s="535" t="s">
        <v>330</v>
      </c>
      <c r="E196" s="536" t="str">
        <f>Elec_Est!Q707</f>
        <v>INC</v>
      </c>
      <c r="F196" s="541" t="s">
        <v>256</v>
      </c>
      <c r="G196" s="548"/>
      <c r="H196" s="548"/>
      <c r="I196" s="548"/>
      <c r="J196" s="548"/>
      <c r="K196" s="548"/>
      <c r="L196" s="548"/>
      <c r="M196" s="548"/>
      <c r="N196" s="548"/>
      <c r="O196" s="548"/>
      <c r="P196" s="548"/>
      <c r="Q196" s="548"/>
      <c r="R196" s="548"/>
      <c r="S196" s="548"/>
      <c r="T196" s="548"/>
      <c r="U196" s="548"/>
      <c r="V196" s="548"/>
      <c r="W196" s="548"/>
      <c r="X196" s="548"/>
      <c r="Y196" s="548"/>
      <c r="Z196" s="548"/>
    </row>
    <row r="197" spans="1:26">
      <c r="A197" s="533" t="s">
        <v>481</v>
      </c>
      <c r="G197" s="538"/>
      <c r="H197" s="538"/>
      <c r="I197" s="538"/>
      <c r="J197" s="538"/>
      <c r="K197" s="538"/>
      <c r="L197" s="538"/>
      <c r="M197" s="538"/>
      <c r="N197" s="538"/>
      <c r="O197" s="538"/>
      <c r="P197" s="538"/>
      <c r="Q197" s="538"/>
      <c r="R197" s="538"/>
      <c r="S197" s="538"/>
      <c r="T197" s="538"/>
      <c r="U197" s="538"/>
      <c r="V197" s="538"/>
      <c r="W197" s="538"/>
      <c r="X197" s="538"/>
      <c r="Y197" s="538"/>
      <c r="Z197" s="538"/>
    </row>
    <row r="198" spans="1:26">
      <c r="A198" s="550"/>
      <c r="B198" s="562" t="s">
        <v>332</v>
      </c>
      <c r="C198" s="551"/>
      <c r="D198" s="551"/>
      <c r="E198" s="552"/>
      <c r="F198" s="547"/>
      <c r="G198" s="538"/>
      <c r="H198" s="538"/>
      <c r="I198" s="538"/>
      <c r="J198" s="538"/>
      <c r="K198" s="538"/>
      <c r="L198" s="538"/>
      <c r="M198" s="538"/>
      <c r="N198" s="538"/>
      <c r="O198" s="538"/>
      <c r="P198" s="538"/>
      <c r="Q198" s="538"/>
      <c r="R198" s="538"/>
      <c r="S198" s="538"/>
      <c r="T198" s="538"/>
      <c r="U198" s="538"/>
      <c r="V198" s="538"/>
      <c r="W198" s="538"/>
      <c r="X198" s="538"/>
      <c r="Y198" s="538"/>
      <c r="Z198" s="538"/>
    </row>
    <row r="199" spans="1:26" s="549" customFormat="1" ht="27">
      <c r="A199" s="533">
        <v>5.0280000000000094</v>
      </c>
      <c r="B199" s="540" t="s">
        <v>333</v>
      </c>
      <c r="C199" s="535">
        <v>1</v>
      </c>
      <c r="D199" s="535" t="s">
        <v>330</v>
      </c>
      <c r="E199" s="536" t="str">
        <f>Elec_Est!Q718</f>
        <v>INC</v>
      </c>
      <c r="F199" s="541" t="s">
        <v>256</v>
      </c>
      <c r="G199" s="548"/>
      <c r="H199" s="548"/>
      <c r="I199" s="548"/>
      <c r="J199" s="548"/>
      <c r="K199" s="548"/>
      <c r="L199" s="548"/>
      <c r="M199" s="548"/>
      <c r="N199" s="548"/>
      <c r="O199" s="548"/>
      <c r="P199" s="548"/>
      <c r="Q199" s="548"/>
      <c r="R199" s="548"/>
      <c r="S199" s="548"/>
      <c r="T199" s="548"/>
      <c r="U199" s="548"/>
      <c r="V199" s="548"/>
      <c r="W199" s="548"/>
      <c r="X199" s="548"/>
      <c r="Y199" s="548"/>
      <c r="Z199" s="548"/>
    </row>
    <row r="200" spans="1:26">
      <c r="A200" s="533" t="s">
        <v>481</v>
      </c>
      <c r="G200" s="538"/>
      <c r="H200" s="538"/>
      <c r="I200" s="538"/>
      <c r="J200" s="538"/>
      <c r="K200" s="538"/>
      <c r="L200" s="538"/>
      <c r="M200" s="538"/>
      <c r="N200" s="538"/>
      <c r="O200" s="538"/>
      <c r="P200" s="538"/>
      <c r="Q200" s="538"/>
      <c r="R200" s="538"/>
      <c r="S200" s="538"/>
      <c r="T200" s="538"/>
      <c r="U200" s="538"/>
      <c r="V200" s="538"/>
      <c r="W200" s="538"/>
      <c r="X200" s="538"/>
      <c r="Y200" s="538"/>
      <c r="Z200" s="538"/>
    </row>
    <row r="201" spans="1:26">
      <c r="A201" s="550"/>
      <c r="B201" s="562" t="s">
        <v>334</v>
      </c>
      <c r="C201" s="551"/>
      <c r="D201" s="551"/>
      <c r="E201" s="552"/>
      <c r="F201" s="547"/>
      <c r="G201" s="538"/>
      <c r="H201" s="538"/>
      <c r="I201" s="538"/>
      <c r="J201" s="538"/>
      <c r="K201" s="538"/>
      <c r="L201" s="538"/>
      <c r="M201" s="538"/>
      <c r="N201" s="538"/>
      <c r="O201" s="538"/>
      <c r="P201" s="538"/>
      <c r="Q201" s="538"/>
      <c r="R201" s="538"/>
      <c r="S201" s="538"/>
      <c r="T201" s="538"/>
      <c r="U201" s="538"/>
      <c r="V201" s="538"/>
      <c r="W201" s="538"/>
      <c r="X201" s="538"/>
      <c r="Y201" s="538"/>
      <c r="Z201" s="538"/>
    </row>
    <row r="202" spans="1:26" ht="27">
      <c r="A202" s="533">
        <v>5.0290000000000097</v>
      </c>
      <c r="B202" s="540" t="s">
        <v>335</v>
      </c>
      <c r="C202" s="535">
        <v>1</v>
      </c>
      <c r="D202" s="535" t="s">
        <v>330</v>
      </c>
      <c r="E202" s="536" t="str">
        <f>Elec_Est!Q729</f>
        <v>INC</v>
      </c>
      <c r="F202" s="541" t="s">
        <v>256</v>
      </c>
      <c r="G202" s="538"/>
      <c r="H202" s="538"/>
      <c r="I202" s="538"/>
      <c r="J202" s="538"/>
      <c r="K202" s="538"/>
      <c r="L202" s="538"/>
      <c r="M202" s="538"/>
      <c r="N202" s="538"/>
      <c r="O202" s="538"/>
      <c r="P202" s="538"/>
      <c r="Q202" s="538"/>
      <c r="R202" s="538"/>
      <c r="S202" s="538"/>
      <c r="T202" s="538"/>
      <c r="U202" s="538"/>
      <c r="V202" s="538"/>
      <c r="W202" s="538"/>
      <c r="X202" s="538"/>
      <c r="Y202" s="538"/>
      <c r="Z202" s="538"/>
    </row>
    <row r="203" spans="1:26" s="560" customFormat="1">
      <c r="A203" s="533">
        <v>5.03000000000001</v>
      </c>
      <c r="B203" s="540" t="s">
        <v>336</v>
      </c>
      <c r="C203" s="535">
        <v>1</v>
      </c>
      <c r="D203" s="535" t="s">
        <v>330</v>
      </c>
      <c r="E203" s="536" t="str">
        <f>Elec_Est!Q736</f>
        <v>INC</v>
      </c>
      <c r="F203" s="541" t="s">
        <v>256</v>
      </c>
      <c r="G203" s="559"/>
      <c r="H203" s="559"/>
      <c r="I203" s="559"/>
      <c r="J203" s="559"/>
      <c r="K203" s="559"/>
      <c r="L203" s="559"/>
      <c r="M203" s="559"/>
      <c r="N203" s="559"/>
      <c r="O203" s="559"/>
      <c r="P203" s="559"/>
      <c r="Q203" s="559"/>
      <c r="R203" s="559"/>
      <c r="S203" s="559"/>
      <c r="T203" s="559"/>
      <c r="U203" s="559"/>
      <c r="V203" s="559"/>
      <c r="W203" s="559"/>
      <c r="X203" s="559"/>
      <c r="Y203" s="559"/>
      <c r="Z203" s="559"/>
    </row>
    <row r="204" spans="1:26">
      <c r="A204" s="555"/>
      <c r="B204" s="556" t="s">
        <v>388</v>
      </c>
      <c r="C204" s="557"/>
      <c r="D204" s="557"/>
      <c r="E204" s="558"/>
      <c r="F204" s="571">
        <f ca="1">SUM(F160:F203)</f>
        <v>1646.1100000000001</v>
      </c>
      <c r="G204" s="538"/>
      <c r="H204" s="538"/>
      <c r="I204" s="538"/>
      <c r="J204" s="538"/>
      <c r="K204" s="538"/>
      <c r="L204" s="538"/>
      <c r="M204" s="538"/>
      <c r="N204" s="538"/>
      <c r="O204" s="538"/>
      <c r="P204" s="538"/>
      <c r="Q204" s="538"/>
      <c r="R204" s="538"/>
      <c r="S204" s="538"/>
      <c r="T204" s="538"/>
      <c r="U204" s="538"/>
      <c r="V204" s="538"/>
      <c r="W204" s="538"/>
      <c r="X204" s="538"/>
      <c r="Y204" s="538"/>
      <c r="Z204" s="538"/>
    </row>
    <row r="205" spans="1:26" s="549" customFormat="1">
      <c r="A205" s="533"/>
      <c r="B205" s="553"/>
      <c r="C205" s="535"/>
      <c r="D205" s="535"/>
      <c r="E205" s="536"/>
      <c r="F205" s="541"/>
      <c r="G205" s="548"/>
      <c r="H205" s="548"/>
      <c r="I205" s="548"/>
      <c r="J205" s="548"/>
      <c r="K205" s="548"/>
      <c r="L205" s="548"/>
      <c r="M205" s="548"/>
      <c r="N205" s="548"/>
      <c r="O205" s="548"/>
      <c r="P205" s="548"/>
      <c r="Q205" s="548"/>
      <c r="R205" s="548"/>
      <c r="S205" s="548"/>
      <c r="T205" s="548"/>
      <c r="U205" s="548"/>
      <c r="V205" s="548"/>
      <c r="W205" s="548"/>
      <c r="X205" s="548"/>
      <c r="Y205" s="548"/>
      <c r="Z205" s="548"/>
    </row>
    <row r="206" spans="1:26">
      <c r="B206" s="542" t="s">
        <v>389</v>
      </c>
      <c r="G206" s="538"/>
      <c r="H206" s="538"/>
      <c r="I206" s="538"/>
      <c r="J206" s="538"/>
      <c r="K206" s="538"/>
      <c r="L206" s="538"/>
      <c r="M206" s="538"/>
      <c r="N206" s="538"/>
      <c r="O206" s="538"/>
      <c r="P206" s="538"/>
      <c r="Q206" s="538"/>
      <c r="R206" s="538"/>
      <c r="S206" s="538"/>
      <c r="T206" s="538"/>
      <c r="U206" s="538"/>
      <c r="V206" s="538"/>
      <c r="W206" s="538"/>
      <c r="X206" s="538"/>
      <c r="Y206" s="538"/>
      <c r="Z206" s="538"/>
    </row>
    <row r="207" spans="1:26" ht="27">
      <c r="A207" s="585" t="s">
        <v>136</v>
      </c>
      <c r="B207" s="586" t="s">
        <v>177</v>
      </c>
      <c r="C207" s="587" t="s">
        <v>178</v>
      </c>
      <c r="D207" s="587" t="s">
        <v>179</v>
      </c>
      <c r="E207" s="588" t="s">
        <v>250</v>
      </c>
      <c r="F207" s="589" t="s">
        <v>251</v>
      </c>
      <c r="G207" s="538"/>
      <c r="H207" s="538"/>
      <c r="I207" s="538"/>
      <c r="J207" s="538"/>
      <c r="K207" s="538"/>
      <c r="L207" s="538"/>
      <c r="M207" s="538"/>
      <c r="N207" s="538"/>
      <c r="O207" s="538"/>
      <c r="P207" s="538"/>
      <c r="Q207" s="538"/>
      <c r="R207" s="538"/>
      <c r="S207" s="538"/>
      <c r="T207" s="538"/>
      <c r="U207" s="538"/>
      <c r="V207" s="538"/>
      <c r="W207" s="538"/>
      <c r="X207" s="538"/>
      <c r="Y207" s="538"/>
      <c r="Z207" s="538"/>
    </row>
    <row r="208" spans="1:26" ht="27">
      <c r="A208" s="590">
        <v>6</v>
      </c>
      <c r="B208" s="591" t="s">
        <v>279</v>
      </c>
      <c r="C208" s="592">
        <v>1</v>
      </c>
      <c r="D208" s="592" t="s">
        <v>255</v>
      </c>
      <c r="E208" s="593" t="s">
        <v>256</v>
      </c>
      <c r="F208" s="594" t="s">
        <v>256</v>
      </c>
      <c r="G208" s="538"/>
      <c r="H208" s="538"/>
      <c r="I208" s="538"/>
      <c r="J208" s="538"/>
      <c r="K208" s="538"/>
      <c r="L208" s="538"/>
      <c r="M208" s="538"/>
      <c r="N208" s="538"/>
      <c r="O208" s="538"/>
      <c r="P208" s="538"/>
      <c r="Q208" s="538"/>
      <c r="R208" s="538"/>
      <c r="S208" s="538"/>
      <c r="T208" s="538"/>
      <c r="U208" s="538"/>
      <c r="V208" s="538"/>
      <c r="W208" s="538"/>
      <c r="X208" s="538"/>
      <c r="Y208" s="538"/>
      <c r="Z208" s="538"/>
    </row>
    <row r="209" spans="1:26">
      <c r="A209" s="590"/>
      <c r="B209" s="591"/>
      <c r="C209" s="592"/>
      <c r="D209" s="592"/>
      <c r="E209" s="600"/>
      <c r="F209" s="594"/>
      <c r="G209" s="538"/>
      <c r="H209" s="538"/>
      <c r="I209" s="538"/>
      <c r="J209" s="538"/>
      <c r="K209" s="538"/>
      <c r="L209" s="538"/>
      <c r="M209" s="538"/>
      <c r="N209" s="538"/>
      <c r="O209" s="538"/>
      <c r="P209" s="538"/>
      <c r="Q209" s="538"/>
      <c r="R209" s="538"/>
      <c r="S209" s="538"/>
      <c r="T209" s="538"/>
      <c r="U209" s="538"/>
      <c r="V209" s="538"/>
      <c r="W209" s="538"/>
      <c r="X209" s="538"/>
      <c r="Y209" s="538"/>
      <c r="Z209" s="538"/>
    </row>
    <row r="210" spans="1:26" ht="53.4">
      <c r="A210" s="590" t="s">
        <v>481</v>
      </c>
      <c r="B210" s="591" t="s">
        <v>390</v>
      </c>
      <c r="C210" s="592"/>
      <c r="D210" s="592"/>
      <c r="E210" s="593"/>
      <c r="F210" s="594"/>
      <c r="G210" s="538"/>
      <c r="H210" s="538"/>
      <c r="I210" s="538"/>
      <c r="J210" s="538"/>
      <c r="K210" s="538"/>
      <c r="L210" s="538"/>
      <c r="M210" s="538"/>
      <c r="N210" s="538"/>
      <c r="O210" s="538"/>
      <c r="P210" s="538"/>
      <c r="Q210" s="538"/>
      <c r="R210" s="538"/>
      <c r="S210" s="538"/>
      <c r="T210" s="538"/>
      <c r="U210" s="538"/>
      <c r="V210" s="538"/>
      <c r="W210" s="538"/>
      <c r="X210" s="538"/>
      <c r="Y210" s="538"/>
      <c r="Z210" s="538"/>
    </row>
    <row r="211" spans="1:26">
      <c r="A211" s="590"/>
      <c r="B211" s="591"/>
      <c r="C211" s="592"/>
      <c r="D211" s="592"/>
      <c r="E211" s="593"/>
      <c r="F211" s="594"/>
      <c r="G211" s="538"/>
      <c r="H211" s="538"/>
      <c r="I211" s="538"/>
      <c r="J211" s="538"/>
      <c r="K211" s="538"/>
      <c r="L211" s="538"/>
      <c r="M211" s="538"/>
      <c r="N211" s="538"/>
      <c r="O211" s="538"/>
      <c r="P211" s="538"/>
      <c r="Q211" s="538"/>
      <c r="R211" s="538"/>
      <c r="S211" s="538"/>
      <c r="T211" s="538"/>
      <c r="U211" s="538"/>
      <c r="V211" s="538"/>
      <c r="W211" s="538"/>
      <c r="X211" s="538"/>
      <c r="Y211" s="538"/>
      <c r="Z211" s="538"/>
    </row>
    <row r="212" spans="1:26">
      <c r="A212" s="590"/>
      <c r="B212" s="591" t="s">
        <v>482</v>
      </c>
      <c r="C212" s="592"/>
      <c r="D212" s="592"/>
      <c r="E212" s="593"/>
      <c r="F212" s="594"/>
      <c r="G212" s="538"/>
      <c r="H212" s="538"/>
      <c r="I212" s="538"/>
      <c r="J212" s="538"/>
      <c r="K212" s="538"/>
      <c r="L212" s="538"/>
      <c r="M212" s="538"/>
      <c r="N212" s="538"/>
      <c r="O212" s="538"/>
      <c r="P212" s="538"/>
      <c r="Q212" s="538"/>
      <c r="R212" s="538"/>
      <c r="S212" s="538"/>
      <c r="T212" s="538"/>
      <c r="U212" s="538"/>
      <c r="V212" s="538"/>
      <c r="W212" s="538"/>
      <c r="X212" s="538"/>
      <c r="Y212" s="538"/>
      <c r="Z212" s="538"/>
    </row>
    <row r="213" spans="1:26" ht="40.200000000000003">
      <c r="A213" s="590">
        <v>6.0010000000000003</v>
      </c>
      <c r="B213" s="591" t="s">
        <v>391</v>
      </c>
      <c r="C213" s="592">
        <v>1</v>
      </c>
      <c r="D213" s="592" t="s">
        <v>255</v>
      </c>
      <c r="E213" s="593"/>
      <c r="F213" s="594">
        <f t="shared" ref="F213:F218" si="6">C213*E213</f>
        <v>0</v>
      </c>
      <c r="G213" s="538"/>
      <c r="H213" s="538"/>
      <c r="I213" s="538"/>
      <c r="J213" s="538"/>
      <c r="K213" s="538"/>
      <c r="L213" s="538"/>
      <c r="M213" s="538"/>
      <c r="N213" s="538"/>
      <c r="O213" s="538"/>
      <c r="P213" s="538"/>
      <c r="Q213" s="538"/>
      <c r="R213" s="538"/>
      <c r="S213" s="538"/>
      <c r="T213" s="538"/>
      <c r="U213" s="538"/>
      <c r="V213" s="538"/>
      <c r="W213" s="538"/>
      <c r="X213" s="538"/>
      <c r="Y213" s="538"/>
      <c r="Z213" s="538"/>
    </row>
    <row r="214" spans="1:26" ht="40.200000000000003">
      <c r="A214" s="590">
        <v>6.0020000000000007</v>
      </c>
      <c r="B214" s="591" t="s">
        <v>392</v>
      </c>
      <c r="C214" s="592">
        <v>1</v>
      </c>
      <c r="D214" s="592" t="s">
        <v>255</v>
      </c>
      <c r="E214" s="593"/>
      <c r="F214" s="594">
        <f t="shared" si="6"/>
        <v>0</v>
      </c>
      <c r="G214" s="538"/>
      <c r="H214" s="538"/>
      <c r="I214" s="538"/>
      <c r="J214" s="538"/>
      <c r="K214" s="538"/>
      <c r="L214" s="538"/>
      <c r="M214" s="538"/>
      <c r="N214" s="538"/>
      <c r="O214" s="538"/>
      <c r="P214" s="538"/>
      <c r="Q214" s="538"/>
      <c r="R214" s="538"/>
      <c r="S214" s="538"/>
      <c r="T214" s="538"/>
      <c r="U214" s="538"/>
      <c r="V214" s="538"/>
      <c r="W214" s="538"/>
      <c r="X214" s="538"/>
      <c r="Y214" s="538"/>
      <c r="Z214" s="538"/>
    </row>
    <row r="215" spans="1:26">
      <c r="A215" s="590">
        <v>6.003000000000001</v>
      </c>
      <c r="B215" s="591" t="s">
        <v>393</v>
      </c>
      <c r="C215" s="592">
        <v>1</v>
      </c>
      <c r="D215" s="592" t="s">
        <v>255</v>
      </c>
      <c r="E215" s="593"/>
      <c r="F215" s="594">
        <f t="shared" si="6"/>
        <v>0</v>
      </c>
      <c r="G215" s="538"/>
      <c r="H215" s="538"/>
      <c r="I215" s="538"/>
      <c r="J215" s="538"/>
      <c r="K215" s="538"/>
      <c r="L215" s="538"/>
      <c r="M215" s="538"/>
      <c r="N215" s="538"/>
      <c r="O215" s="538"/>
      <c r="P215" s="538"/>
      <c r="Q215" s="538"/>
      <c r="R215" s="538"/>
      <c r="S215" s="538"/>
      <c r="T215" s="538"/>
      <c r="U215" s="538"/>
      <c r="V215" s="538"/>
      <c r="W215" s="538"/>
      <c r="X215" s="538"/>
      <c r="Y215" s="538"/>
      <c r="Z215" s="538"/>
    </row>
    <row r="216" spans="1:26" ht="53.4">
      <c r="A216" s="590">
        <v>6.0040000000000013</v>
      </c>
      <c r="B216" s="591" t="s">
        <v>394</v>
      </c>
      <c r="C216" s="592">
        <v>1</v>
      </c>
      <c r="D216" s="592" t="s">
        <v>255</v>
      </c>
      <c r="E216" s="593"/>
      <c r="F216" s="594">
        <f t="shared" si="6"/>
        <v>0</v>
      </c>
      <c r="G216" s="538"/>
      <c r="H216" s="538"/>
      <c r="I216" s="538"/>
      <c r="J216" s="538"/>
      <c r="K216" s="538"/>
      <c r="L216" s="538"/>
      <c r="M216" s="538"/>
      <c r="N216" s="538"/>
      <c r="O216" s="538"/>
      <c r="P216" s="538"/>
      <c r="Q216" s="538"/>
      <c r="R216" s="538"/>
      <c r="S216" s="538"/>
      <c r="T216" s="538"/>
      <c r="U216" s="538"/>
      <c r="V216" s="538"/>
      <c r="W216" s="538"/>
      <c r="X216" s="538"/>
      <c r="Y216" s="538"/>
      <c r="Z216" s="538"/>
    </row>
    <row r="217" spans="1:26">
      <c r="A217" s="590">
        <v>6.0050000000000017</v>
      </c>
      <c r="B217" s="591" t="s">
        <v>395</v>
      </c>
      <c r="C217" s="592">
        <v>1</v>
      </c>
      <c r="D217" s="592" t="s">
        <v>255</v>
      </c>
      <c r="E217" s="593"/>
      <c r="F217" s="594">
        <f t="shared" si="6"/>
        <v>0</v>
      </c>
      <c r="G217" s="538"/>
      <c r="H217" s="538"/>
      <c r="I217" s="538"/>
      <c r="J217" s="538"/>
      <c r="K217" s="538"/>
      <c r="L217" s="538"/>
      <c r="M217" s="538"/>
      <c r="N217" s="538"/>
      <c r="O217" s="538"/>
      <c r="P217" s="538"/>
      <c r="Q217" s="538"/>
      <c r="R217" s="538"/>
      <c r="S217" s="538"/>
      <c r="T217" s="538"/>
      <c r="U217" s="538"/>
      <c r="V217" s="538"/>
      <c r="W217" s="538"/>
      <c r="X217" s="538"/>
      <c r="Y217" s="538"/>
      <c r="Z217" s="538"/>
    </row>
    <row r="218" spans="1:26">
      <c r="A218" s="590">
        <v>6.006000000000002</v>
      </c>
      <c r="B218" s="591" t="s">
        <v>396</v>
      </c>
      <c r="C218" s="592">
        <v>1</v>
      </c>
      <c r="D218" s="592" t="s">
        <v>255</v>
      </c>
      <c r="E218" s="593"/>
      <c r="F218" s="594">
        <f t="shared" si="6"/>
        <v>0</v>
      </c>
      <c r="G218" s="538"/>
      <c r="H218" s="538"/>
      <c r="I218" s="538"/>
      <c r="J218" s="538"/>
      <c r="K218" s="538"/>
      <c r="L218" s="538"/>
      <c r="M218" s="538"/>
      <c r="N218" s="538"/>
      <c r="O218" s="538"/>
      <c r="P218" s="538"/>
      <c r="Q218" s="538"/>
      <c r="R218" s="538"/>
      <c r="S218" s="538"/>
      <c r="T218" s="538"/>
      <c r="U218" s="538"/>
      <c r="V218" s="538"/>
      <c r="W218" s="538"/>
      <c r="X218" s="538"/>
      <c r="Y218" s="538"/>
      <c r="Z218" s="538"/>
    </row>
    <row r="219" spans="1:26">
      <c r="A219" s="590">
        <v>6.0070000000000023</v>
      </c>
      <c r="B219" s="591" t="s">
        <v>397</v>
      </c>
      <c r="C219" s="592">
        <v>1</v>
      </c>
      <c r="D219" s="592" t="s">
        <v>255</v>
      </c>
      <c r="E219" s="593" t="s">
        <v>256</v>
      </c>
      <c r="F219" s="594" t="s">
        <v>256</v>
      </c>
      <c r="G219" s="538"/>
      <c r="H219" s="538"/>
      <c r="I219" s="538"/>
      <c r="J219" s="538"/>
      <c r="K219" s="538"/>
      <c r="L219" s="538"/>
      <c r="M219" s="538"/>
      <c r="N219" s="538"/>
      <c r="O219" s="538"/>
      <c r="P219" s="538"/>
      <c r="Q219" s="538"/>
      <c r="R219" s="538"/>
      <c r="S219" s="538"/>
      <c r="T219" s="538"/>
      <c r="U219" s="538"/>
      <c r="V219" s="538"/>
      <c r="W219" s="538"/>
      <c r="X219" s="538"/>
      <c r="Y219" s="538"/>
      <c r="Z219" s="538"/>
    </row>
    <row r="220" spans="1:26" ht="40.200000000000003">
      <c r="A220" s="590">
        <v>6.0080000000000027</v>
      </c>
      <c r="B220" s="591" t="s">
        <v>398</v>
      </c>
      <c r="C220" s="592">
        <v>1</v>
      </c>
      <c r="D220" s="592" t="s">
        <v>255</v>
      </c>
      <c r="E220" s="593"/>
      <c r="F220" s="594"/>
      <c r="G220" s="538"/>
      <c r="H220" s="538"/>
      <c r="I220" s="538"/>
      <c r="J220" s="538"/>
      <c r="K220" s="538"/>
      <c r="L220" s="538"/>
      <c r="M220" s="538"/>
      <c r="N220" s="538"/>
      <c r="O220" s="538"/>
      <c r="P220" s="538"/>
      <c r="Q220" s="538"/>
      <c r="R220" s="538"/>
      <c r="S220" s="538"/>
      <c r="T220" s="538"/>
      <c r="U220" s="538"/>
      <c r="V220" s="538"/>
      <c r="W220" s="538"/>
      <c r="X220" s="538"/>
      <c r="Y220" s="538"/>
      <c r="Z220" s="538"/>
    </row>
    <row r="221" spans="1:26">
      <c r="A221" s="590" t="s">
        <v>481</v>
      </c>
      <c r="B221" s="591"/>
      <c r="C221" s="592"/>
      <c r="D221" s="592"/>
      <c r="E221" s="593"/>
      <c r="F221" s="594"/>
      <c r="G221" s="538"/>
      <c r="H221" s="538"/>
      <c r="I221" s="538"/>
      <c r="J221" s="538"/>
      <c r="K221" s="538"/>
      <c r="L221" s="538"/>
      <c r="M221" s="538"/>
      <c r="N221" s="538"/>
      <c r="O221" s="538"/>
      <c r="P221" s="538"/>
      <c r="Q221" s="538"/>
      <c r="R221" s="538"/>
      <c r="S221" s="538"/>
      <c r="T221" s="538"/>
      <c r="U221" s="538"/>
      <c r="V221" s="538"/>
      <c r="W221" s="538"/>
      <c r="X221" s="538"/>
      <c r="Y221" s="538"/>
      <c r="Z221" s="538"/>
    </row>
    <row r="222" spans="1:26" ht="27">
      <c r="A222" s="590" t="s">
        <v>481</v>
      </c>
      <c r="B222" s="591" t="s">
        <v>483</v>
      </c>
      <c r="C222" s="592"/>
      <c r="D222" s="592"/>
      <c r="E222" s="593"/>
      <c r="F222" s="594"/>
      <c r="G222" s="538"/>
      <c r="H222" s="538"/>
      <c r="I222" s="538"/>
      <c r="J222" s="538"/>
      <c r="K222" s="538"/>
      <c r="L222" s="538"/>
      <c r="M222" s="538"/>
      <c r="N222" s="538"/>
      <c r="O222" s="538"/>
      <c r="P222" s="538"/>
      <c r="Q222" s="538"/>
      <c r="R222" s="538"/>
      <c r="S222" s="538"/>
      <c r="T222" s="538"/>
      <c r="U222" s="538"/>
      <c r="V222" s="538"/>
      <c r="W222" s="538"/>
      <c r="X222" s="538"/>
      <c r="Y222" s="538"/>
      <c r="Z222" s="538"/>
    </row>
    <row r="223" spans="1:26" ht="27">
      <c r="A223" s="590">
        <v>6.009000000000003</v>
      </c>
      <c r="B223" s="591" t="s">
        <v>399</v>
      </c>
      <c r="C223" s="592">
        <v>1</v>
      </c>
      <c r="D223" s="592" t="s">
        <v>255</v>
      </c>
      <c r="E223" s="593"/>
      <c r="F223" s="594">
        <f t="shared" ref="F223:F239" si="7">C223*E223</f>
        <v>0</v>
      </c>
      <c r="G223" s="538"/>
      <c r="H223" s="538"/>
      <c r="I223" s="538"/>
      <c r="J223" s="538"/>
      <c r="K223" s="538"/>
      <c r="L223" s="538"/>
      <c r="M223" s="538"/>
      <c r="N223" s="538"/>
      <c r="O223" s="538"/>
      <c r="P223" s="538"/>
      <c r="Q223" s="538"/>
      <c r="R223" s="538"/>
      <c r="S223" s="538"/>
      <c r="T223" s="538"/>
      <c r="U223" s="538"/>
      <c r="V223" s="538"/>
      <c r="W223" s="538"/>
      <c r="X223" s="538"/>
      <c r="Y223" s="538"/>
      <c r="Z223" s="538"/>
    </row>
    <row r="224" spans="1:26" ht="15" customHeight="1">
      <c r="A224" s="590">
        <v>6.0100000000000033</v>
      </c>
      <c r="B224" s="591" t="s">
        <v>400</v>
      </c>
      <c r="C224" s="592">
        <v>1</v>
      </c>
      <c r="D224" s="592" t="s">
        <v>255</v>
      </c>
      <c r="E224" s="593"/>
      <c r="F224" s="594">
        <f t="shared" si="7"/>
        <v>0</v>
      </c>
      <c r="G224" s="538"/>
      <c r="H224" s="538"/>
      <c r="I224" s="538"/>
      <c r="J224" s="538"/>
      <c r="K224" s="538"/>
      <c r="L224" s="538"/>
      <c r="M224" s="538"/>
      <c r="N224" s="538"/>
      <c r="O224" s="538"/>
      <c r="P224" s="538"/>
      <c r="Q224" s="538"/>
      <c r="R224" s="538"/>
      <c r="S224" s="538"/>
      <c r="T224" s="538"/>
      <c r="U224" s="538"/>
      <c r="V224" s="538"/>
      <c r="W224" s="538"/>
      <c r="X224" s="538"/>
      <c r="Y224" s="538"/>
      <c r="Z224" s="538"/>
    </row>
    <row r="225" spans="1:26" ht="15" customHeight="1">
      <c r="A225" s="590">
        <v>6.0110000000000037</v>
      </c>
      <c r="B225" s="591" t="s">
        <v>401</v>
      </c>
      <c r="C225" s="592">
        <v>2</v>
      </c>
      <c r="D225" s="592" t="s">
        <v>255</v>
      </c>
      <c r="E225" s="593"/>
      <c r="F225" s="594">
        <f t="shared" si="7"/>
        <v>0</v>
      </c>
      <c r="G225" s="538"/>
      <c r="H225" s="538"/>
      <c r="I225" s="538"/>
      <c r="J225" s="538"/>
      <c r="K225" s="538"/>
      <c r="L225" s="538"/>
      <c r="M225" s="538"/>
      <c r="N225" s="538"/>
      <c r="O225" s="538"/>
      <c r="P225" s="538"/>
      <c r="Q225" s="538"/>
      <c r="R225" s="538"/>
      <c r="S225" s="538"/>
      <c r="T225" s="538"/>
      <c r="U225" s="538"/>
      <c r="V225" s="538"/>
      <c r="W225" s="538"/>
      <c r="X225" s="538"/>
      <c r="Y225" s="538"/>
      <c r="Z225" s="538"/>
    </row>
    <row r="226" spans="1:26">
      <c r="A226" s="590">
        <v>6.012000000000004</v>
      </c>
      <c r="B226" s="591" t="s">
        <v>396</v>
      </c>
      <c r="C226" s="592">
        <v>1</v>
      </c>
      <c r="D226" s="592" t="s">
        <v>255</v>
      </c>
      <c r="E226" s="593"/>
      <c r="F226" s="594">
        <f t="shared" si="7"/>
        <v>0</v>
      </c>
      <c r="G226" s="538"/>
      <c r="H226" s="538"/>
      <c r="I226" s="538"/>
      <c r="J226" s="538"/>
      <c r="K226" s="538"/>
      <c r="L226" s="538"/>
      <c r="M226" s="538"/>
      <c r="N226" s="538"/>
      <c r="O226" s="538"/>
      <c r="P226" s="538"/>
      <c r="Q226" s="538"/>
      <c r="R226" s="538"/>
      <c r="S226" s="538"/>
      <c r="T226" s="538"/>
      <c r="U226" s="538"/>
      <c r="V226" s="538"/>
      <c r="W226" s="538"/>
      <c r="X226" s="538"/>
      <c r="Y226" s="538"/>
      <c r="Z226" s="538"/>
    </row>
    <row r="227" spans="1:26">
      <c r="A227" s="590">
        <v>6.0130000000000043</v>
      </c>
      <c r="B227" s="591" t="s">
        <v>397</v>
      </c>
      <c r="C227" s="592">
        <v>1</v>
      </c>
      <c r="D227" s="592" t="s">
        <v>255</v>
      </c>
      <c r="E227" s="593" t="s">
        <v>256</v>
      </c>
      <c r="F227" s="594" t="s">
        <v>256</v>
      </c>
      <c r="G227" s="538"/>
      <c r="H227" s="538"/>
      <c r="I227" s="538"/>
      <c r="J227" s="538"/>
      <c r="K227" s="538"/>
      <c r="L227" s="538"/>
      <c r="M227" s="538"/>
      <c r="N227" s="538"/>
      <c r="O227" s="538"/>
      <c r="P227" s="538"/>
      <c r="Q227" s="538"/>
      <c r="R227" s="538"/>
      <c r="S227" s="538"/>
      <c r="T227" s="538"/>
      <c r="U227" s="538"/>
      <c r="V227" s="538"/>
      <c r="W227" s="538"/>
      <c r="X227" s="538"/>
      <c r="Y227" s="538"/>
      <c r="Z227" s="538"/>
    </row>
    <row r="228" spans="1:26" ht="27">
      <c r="A228" s="590">
        <v>6.0140000000000047</v>
      </c>
      <c r="B228" s="591" t="s">
        <v>402</v>
      </c>
      <c r="C228" s="592">
        <v>1</v>
      </c>
      <c r="D228" s="592" t="s">
        <v>255</v>
      </c>
      <c r="E228" s="593"/>
      <c r="F228" s="594">
        <f t="shared" si="7"/>
        <v>0</v>
      </c>
      <c r="G228" s="538"/>
      <c r="H228" s="538"/>
      <c r="I228" s="538"/>
      <c r="J228" s="538"/>
      <c r="K228" s="538"/>
      <c r="L228" s="538"/>
      <c r="M228" s="538"/>
      <c r="N228" s="538"/>
      <c r="O228" s="538"/>
      <c r="P228" s="538"/>
      <c r="Q228" s="538"/>
      <c r="R228" s="538"/>
      <c r="S228" s="538"/>
      <c r="T228" s="538"/>
      <c r="U228" s="538"/>
      <c r="V228" s="538"/>
      <c r="W228" s="538"/>
      <c r="X228" s="538"/>
      <c r="Y228" s="538"/>
      <c r="Z228" s="538"/>
    </row>
    <row r="229" spans="1:26">
      <c r="A229" s="590" t="s">
        <v>481</v>
      </c>
      <c r="B229" s="591"/>
      <c r="C229" s="592"/>
      <c r="D229" s="592"/>
      <c r="E229" s="593"/>
      <c r="F229" s="594">
        <f t="shared" si="7"/>
        <v>0</v>
      </c>
      <c r="G229" s="538"/>
      <c r="H229" s="538"/>
      <c r="I229" s="538"/>
      <c r="J229" s="538"/>
      <c r="K229" s="538"/>
      <c r="L229" s="538"/>
      <c r="M229" s="538"/>
      <c r="N229" s="538"/>
      <c r="O229" s="538"/>
      <c r="P229" s="538"/>
      <c r="Q229" s="538"/>
      <c r="R229" s="538"/>
      <c r="S229" s="538"/>
      <c r="T229" s="538"/>
      <c r="U229" s="538"/>
      <c r="V229" s="538"/>
      <c r="W229" s="538"/>
      <c r="X229" s="538"/>
      <c r="Y229" s="538"/>
      <c r="Z229" s="538"/>
    </row>
    <row r="230" spans="1:26">
      <c r="A230" s="590" t="s">
        <v>481</v>
      </c>
      <c r="B230" s="601" t="s">
        <v>403</v>
      </c>
      <c r="C230" s="592"/>
      <c r="D230" s="592"/>
      <c r="E230" s="593"/>
      <c r="F230" s="594">
        <f t="shared" si="7"/>
        <v>0</v>
      </c>
      <c r="G230" s="538"/>
      <c r="H230" s="538"/>
      <c r="I230" s="538"/>
      <c r="J230" s="538"/>
      <c r="K230" s="538"/>
      <c r="L230" s="538"/>
      <c r="M230" s="538"/>
      <c r="N230" s="538"/>
      <c r="O230" s="538"/>
      <c r="P230" s="538"/>
      <c r="Q230" s="538"/>
      <c r="R230" s="538"/>
      <c r="S230" s="538"/>
      <c r="T230" s="538"/>
      <c r="U230" s="538"/>
      <c r="V230" s="538"/>
      <c r="W230" s="538"/>
      <c r="X230" s="538"/>
      <c r="Y230" s="538"/>
      <c r="Z230" s="538"/>
    </row>
    <row r="231" spans="1:26">
      <c r="A231" s="590">
        <v>6.015000000000005</v>
      </c>
      <c r="B231" s="591" t="s">
        <v>404</v>
      </c>
      <c r="C231" s="592">
        <v>1</v>
      </c>
      <c r="D231" s="592" t="s">
        <v>255</v>
      </c>
      <c r="E231" s="593"/>
      <c r="F231" s="594">
        <f t="shared" si="7"/>
        <v>0</v>
      </c>
      <c r="G231" s="538"/>
      <c r="H231" s="538"/>
      <c r="I231" s="538"/>
      <c r="J231" s="538"/>
      <c r="K231" s="538"/>
      <c r="L231" s="538"/>
      <c r="M231" s="538"/>
      <c r="N231" s="538"/>
      <c r="O231" s="538"/>
      <c r="P231" s="538"/>
      <c r="Q231" s="538"/>
      <c r="R231" s="538"/>
      <c r="S231" s="538"/>
      <c r="T231" s="538"/>
      <c r="U231" s="538"/>
      <c r="V231" s="538"/>
      <c r="W231" s="538"/>
      <c r="X231" s="538"/>
      <c r="Y231" s="538"/>
      <c r="Z231" s="538"/>
    </row>
    <row r="232" spans="1:26" ht="27">
      <c r="A232" s="590">
        <v>6.0160000000000053</v>
      </c>
      <c r="B232" s="591" t="s">
        <v>402</v>
      </c>
      <c r="C232" s="592">
        <v>1</v>
      </c>
      <c r="D232" s="592" t="s">
        <v>255</v>
      </c>
      <c r="E232" s="593"/>
      <c r="F232" s="594">
        <f t="shared" si="7"/>
        <v>0</v>
      </c>
      <c r="G232" s="538"/>
      <c r="H232" s="538"/>
      <c r="I232" s="538"/>
      <c r="J232" s="538"/>
      <c r="K232" s="538"/>
      <c r="L232" s="538"/>
      <c r="M232" s="538"/>
      <c r="N232" s="538"/>
      <c r="O232" s="538"/>
      <c r="P232" s="538"/>
      <c r="Q232" s="538"/>
      <c r="R232" s="538"/>
      <c r="S232" s="538"/>
      <c r="T232" s="538"/>
      <c r="U232" s="538"/>
      <c r="V232" s="538"/>
      <c r="W232" s="538"/>
      <c r="X232" s="538"/>
      <c r="Y232" s="538"/>
      <c r="Z232" s="538"/>
    </row>
    <row r="233" spans="1:26">
      <c r="A233" s="590">
        <v>6.0170000000000057</v>
      </c>
      <c r="B233" s="591" t="s">
        <v>396</v>
      </c>
      <c r="C233" s="592">
        <v>1</v>
      </c>
      <c r="D233" s="592" t="s">
        <v>255</v>
      </c>
      <c r="E233" s="593"/>
      <c r="F233" s="594">
        <f t="shared" si="7"/>
        <v>0</v>
      </c>
      <c r="G233" s="538"/>
      <c r="H233" s="538"/>
      <c r="I233" s="538"/>
      <c r="J233" s="538"/>
      <c r="K233" s="538"/>
      <c r="L233" s="538"/>
      <c r="M233" s="538"/>
      <c r="N233" s="538"/>
      <c r="O233" s="538"/>
      <c r="P233" s="538"/>
      <c r="Q233" s="538"/>
      <c r="R233" s="538"/>
      <c r="S233" s="538"/>
      <c r="T233" s="538"/>
      <c r="U233" s="538"/>
      <c r="V233" s="538"/>
      <c r="W233" s="538"/>
      <c r="X233" s="538"/>
      <c r="Y233" s="538"/>
      <c r="Z233" s="538"/>
    </row>
    <row r="234" spans="1:26">
      <c r="A234" s="590" t="s">
        <v>481</v>
      </c>
      <c r="B234" s="595"/>
      <c r="C234" s="592"/>
      <c r="D234" s="592"/>
      <c r="E234" s="593"/>
      <c r="F234" s="594">
        <f t="shared" si="7"/>
        <v>0</v>
      </c>
      <c r="G234" s="538"/>
      <c r="H234" s="538"/>
      <c r="I234" s="538"/>
      <c r="J234" s="538"/>
      <c r="K234" s="538"/>
      <c r="L234" s="538"/>
      <c r="M234" s="538"/>
      <c r="N234" s="538"/>
      <c r="O234" s="538"/>
      <c r="P234" s="538"/>
      <c r="Q234" s="538"/>
      <c r="R234" s="538"/>
      <c r="S234" s="538"/>
      <c r="T234" s="538"/>
      <c r="U234" s="538"/>
      <c r="V234" s="538"/>
      <c r="W234" s="538"/>
      <c r="X234" s="538"/>
      <c r="Y234" s="538"/>
      <c r="Z234" s="538"/>
    </row>
    <row r="235" spans="1:26">
      <c r="A235" s="596" t="s">
        <v>481</v>
      </c>
      <c r="B235" s="597" t="s">
        <v>328</v>
      </c>
      <c r="C235" s="598"/>
      <c r="D235" s="598"/>
      <c r="E235" s="599"/>
      <c r="F235" s="589">
        <f t="shared" si="7"/>
        <v>0</v>
      </c>
      <c r="G235" s="538"/>
      <c r="H235" s="538"/>
      <c r="I235" s="538"/>
      <c r="J235" s="538"/>
      <c r="K235" s="538"/>
      <c r="L235" s="538"/>
      <c r="M235" s="538"/>
      <c r="N235" s="538"/>
      <c r="O235" s="538"/>
      <c r="P235" s="538"/>
      <c r="Q235" s="538"/>
      <c r="R235" s="538"/>
      <c r="S235" s="538"/>
      <c r="T235" s="538"/>
      <c r="U235" s="538"/>
      <c r="V235" s="538"/>
      <c r="W235" s="538"/>
      <c r="X235" s="538"/>
      <c r="Y235" s="538"/>
      <c r="Z235" s="538"/>
    </row>
    <row r="236" spans="1:26" ht="40.200000000000003">
      <c r="A236" s="590">
        <v>6.018000000000006</v>
      </c>
      <c r="B236" s="591" t="s">
        <v>329</v>
      </c>
      <c r="C236" s="592">
        <v>1</v>
      </c>
      <c r="D236" s="592" t="s">
        <v>330</v>
      </c>
      <c r="E236" s="593"/>
      <c r="F236" s="594">
        <f t="shared" si="7"/>
        <v>0</v>
      </c>
      <c r="G236" s="538"/>
      <c r="H236" s="538"/>
      <c r="I236" s="538"/>
      <c r="J236" s="538"/>
      <c r="K236" s="538"/>
      <c r="L236" s="538"/>
      <c r="M236" s="538"/>
      <c r="N236" s="538"/>
      <c r="O236" s="538"/>
      <c r="P236" s="538"/>
      <c r="Q236" s="538"/>
      <c r="R236" s="538"/>
      <c r="S236" s="538"/>
      <c r="T236" s="538"/>
      <c r="U236" s="538"/>
      <c r="V236" s="538"/>
      <c r="W236" s="538"/>
      <c r="X236" s="538"/>
      <c r="Y236" s="538"/>
      <c r="Z236" s="538"/>
    </row>
    <row r="237" spans="1:26" s="549" customFormat="1" ht="79.8">
      <c r="A237" s="590">
        <v>6.0190000000000063</v>
      </c>
      <c r="B237" s="591" t="s">
        <v>331</v>
      </c>
      <c r="C237" s="592">
        <v>1</v>
      </c>
      <c r="D237" s="592" t="s">
        <v>330</v>
      </c>
      <c r="E237" s="593"/>
      <c r="F237" s="594">
        <f t="shared" si="7"/>
        <v>0</v>
      </c>
      <c r="G237" s="548"/>
      <c r="H237" s="548"/>
      <c r="I237" s="548"/>
      <c r="J237" s="548"/>
      <c r="K237" s="548"/>
      <c r="L237" s="548"/>
      <c r="M237" s="548"/>
      <c r="N237" s="548"/>
      <c r="O237" s="548"/>
      <c r="P237" s="548"/>
      <c r="Q237" s="548"/>
      <c r="R237" s="548"/>
      <c r="S237" s="548"/>
      <c r="T237" s="548"/>
      <c r="U237" s="548"/>
      <c r="V237" s="548"/>
      <c r="W237" s="548"/>
      <c r="X237" s="548"/>
      <c r="Y237" s="548"/>
      <c r="Z237" s="548"/>
    </row>
    <row r="238" spans="1:26">
      <c r="A238" s="590" t="s">
        <v>481</v>
      </c>
      <c r="B238" s="591"/>
      <c r="C238" s="592"/>
      <c r="D238" s="592"/>
      <c r="E238" s="593"/>
      <c r="F238" s="594">
        <f t="shared" si="7"/>
        <v>0</v>
      </c>
      <c r="G238" s="538"/>
      <c r="H238" s="538"/>
      <c r="I238" s="538"/>
      <c r="J238" s="538"/>
      <c r="K238" s="538"/>
      <c r="L238" s="538"/>
      <c r="M238" s="538"/>
      <c r="N238" s="538"/>
      <c r="O238" s="538"/>
      <c r="P238" s="538"/>
      <c r="Q238" s="538"/>
      <c r="R238" s="538"/>
      <c r="S238" s="538"/>
      <c r="T238" s="538"/>
      <c r="U238" s="538"/>
      <c r="V238" s="538"/>
      <c r="W238" s="538"/>
      <c r="X238" s="538"/>
      <c r="Y238" s="538"/>
      <c r="Z238" s="538"/>
    </row>
    <row r="239" spans="1:26">
      <c r="A239" s="596" t="s">
        <v>481</v>
      </c>
      <c r="B239" s="597" t="s">
        <v>332</v>
      </c>
      <c r="C239" s="598"/>
      <c r="D239" s="598"/>
      <c r="E239" s="599"/>
      <c r="F239" s="589">
        <f t="shared" si="7"/>
        <v>0</v>
      </c>
      <c r="G239" s="538"/>
      <c r="H239" s="538"/>
      <c r="I239" s="538"/>
      <c r="J239" s="538"/>
      <c r="K239" s="538"/>
      <c r="L239" s="538"/>
      <c r="M239" s="538"/>
      <c r="N239" s="538"/>
      <c r="O239" s="538"/>
      <c r="P239" s="538"/>
      <c r="Q239" s="538"/>
      <c r="R239" s="538"/>
      <c r="S239" s="538"/>
      <c r="T239" s="538"/>
      <c r="U239" s="538"/>
      <c r="V239" s="538"/>
      <c r="W239" s="538"/>
      <c r="X239" s="538"/>
      <c r="Y239" s="538"/>
      <c r="Z239" s="538"/>
    </row>
    <row r="240" spans="1:26" ht="27">
      <c r="A240" s="590">
        <v>6.0200000000000067</v>
      </c>
      <c r="B240" s="591" t="s">
        <v>333</v>
      </c>
      <c r="C240" s="592">
        <v>1</v>
      </c>
      <c r="D240" s="592" t="s">
        <v>330</v>
      </c>
      <c r="E240" s="593" t="s">
        <v>256</v>
      </c>
      <c r="F240" s="594" t="s">
        <v>256</v>
      </c>
      <c r="G240" s="538"/>
      <c r="H240" s="538"/>
      <c r="I240" s="538"/>
      <c r="J240" s="538"/>
      <c r="K240" s="538"/>
      <c r="L240" s="538"/>
      <c r="M240" s="538"/>
      <c r="N240" s="538"/>
      <c r="O240" s="538"/>
      <c r="P240" s="538"/>
      <c r="Q240" s="538"/>
      <c r="R240" s="538"/>
      <c r="S240" s="538"/>
      <c r="T240" s="538"/>
      <c r="U240" s="538"/>
      <c r="V240" s="538"/>
      <c r="W240" s="538"/>
      <c r="X240" s="538"/>
      <c r="Y240" s="538"/>
      <c r="Z240" s="538"/>
    </row>
    <row r="241" spans="1:26">
      <c r="A241" s="590" t="s">
        <v>481</v>
      </c>
      <c r="B241" s="591"/>
      <c r="C241" s="592"/>
      <c r="D241" s="592"/>
      <c r="E241" s="593"/>
      <c r="F241" s="594"/>
      <c r="G241" s="538"/>
      <c r="H241" s="538"/>
      <c r="I241" s="538"/>
      <c r="J241" s="538"/>
      <c r="K241" s="538"/>
      <c r="L241" s="538"/>
      <c r="M241" s="538"/>
      <c r="N241" s="538"/>
      <c r="O241" s="538"/>
      <c r="P241" s="538"/>
      <c r="Q241" s="538"/>
      <c r="R241" s="538"/>
      <c r="S241" s="538"/>
      <c r="T241" s="538"/>
      <c r="U241" s="538"/>
      <c r="V241" s="538"/>
      <c r="W241" s="538"/>
      <c r="X241" s="538"/>
      <c r="Y241" s="538"/>
      <c r="Z241" s="538"/>
    </row>
    <row r="242" spans="1:26">
      <c r="A242" s="596" t="s">
        <v>481</v>
      </c>
      <c r="B242" s="597" t="s">
        <v>334</v>
      </c>
      <c r="C242" s="598"/>
      <c r="D242" s="598"/>
      <c r="E242" s="599"/>
      <c r="F242" s="589"/>
      <c r="G242" s="538"/>
      <c r="H242" s="538"/>
      <c r="I242" s="538"/>
      <c r="J242" s="538"/>
      <c r="K242" s="538"/>
      <c r="L242" s="538"/>
      <c r="M242" s="538"/>
      <c r="N242" s="538"/>
      <c r="O242" s="538"/>
      <c r="P242" s="538"/>
      <c r="Q242" s="538"/>
      <c r="R242" s="538"/>
      <c r="S242" s="538"/>
      <c r="T242" s="538"/>
      <c r="U242" s="538"/>
      <c r="V242" s="538"/>
      <c r="W242" s="538"/>
      <c r="X242" s="538"/>
      <c r="Y242" s="538"/>
      <c r="Z242" s="538"/>
    </row>
    <row r="243" spans="1:26" ht="27">
      <c r="A243" s="590">
        <v>6.021000000000007</v>
      </c>
      <c r="B243" s="591" t="s">
        <v>335</v>
      </c>
      <c r="C243" s="592">
        <v>1</v>
      </c>
      <c r="D243" s="592" t="s">
        <v>330</v>
      </c>
      <c r="E243" s="593" t="s">
        <v>256</v>
      </c>
      <c r="F243" s="594" t="s">
        <v>256</v>
      </c>
      <c r="G243" s="538"/>
      <c r="H243" s="538"/>
      <c r="I243" s="538"/>
      <c r="J243" s="538"/>
      <c r="K243" s="538"/>
      <c r="L243" s="538"/>
      <c r="M243" s="538"/>
      <c r="N243" s="538"/>
      <c r="O243" s="538"/>
      <c r="P243" s="538"/>
      <c r="Q243" s="538"/>
      <c r="R243" s="538"/>
      <c r="S243" s="538"/>
      <c r="T243" s="538"/>
      <c r="U243" s="538"/>
      <c r="V243" s="538"/>
      <c r="W243" s="538"/>
      <c r="X243" s="538"/>
      <c r="Y243" s="538"/>
      <c r="Z243" s="538"/>
    </row>
    <row r="244" spans="1:26" s="560" customFormat="1">
      <c r="A244" s="590">
        <v>6.0220000000000073</v>
      </c>
      <c r="B244" s="591" t="s">
        <v>336</v>
      </c>
      <c r="C244" s="592">
        <v>1</v>
      </c>
      <c r="D244" s="592" t="s">
        <v>330</v>
      </c>
      <c r="E244" s="593"/>
      <c r="F244" s="594">
        <f t="shared" ref="F244:F245" si="8">C244*E244</f>
        <v>0</v>
      </c>
      <c r="G244" s="559"/>
      <c r="H244" s="559"/>
      <c r="I244" s="559"/>
      <c r="J244" s="559"/>
      <c r="K244" s="559"/>
      <c r="L244" s="559"/>
      <c r="M244" s="559"/>
      <c r="N244" s="559"/>
      <c r="O244" s="559"/>
      <c r="P244" s="559"/>
      <c r="Q244" s="559"/>
      <c r="R244" s="559"/>
      <c r="S244" s="559"/>
      <c r="T244" s="559"/>
      <c r="U244" s="559"/>
      <c r="V244" s="559"/>
      <c r="W244" s="559"/>
      <c r="X244" s="559"/>
      <c r="Y244" s="559"/>
      <c r="Z244" s="559"/>
    </row>
    <row r="245" spans="1:26" ht="27">
      <c r="A245" s="590">
        <v>6.0230000000000077</v>
      </c>
      <c r="B245" s="591" t="s">
        <v>346</v>
      </c>
      <c r="C245" s="592">
        <v>1</v>
      </c>
      <c r="D245" s="592" t="s">
        <v>330</v>
      </c>
      <c r="E245" s="593"/>
      <c r="F245" s="594">
        <f t="shared" si="8"/>
        <v>0</v>
      </c>
      <c r="G245" s="538"/>
      <c r="H245" s="538"/>
      <c r="I245" s="538"/>
      <c r="J245" s="538"/>
      <c r="K245" s="538"/>
      <c r="L245" s="538"/>
      <c r="M245" s="538"/>
      <c r="N245" s="538"/>
      <c r="O245" s="538"/>
      <c r="P245" s="538"/>
      <c r="Q245" s="538"/>
      <c r="R245" s="538"/>
      <c r="S245" s="538"/>
      <c r="T245" s="538"/>
      <c r="U245" s="538"/>
      <c r="V245" s="538"/>
      <c r="W245" s="538"/>
      <c r="X245" s="538"/>
      <c r="Y245" s="538"/>
      <c r="Z245" s="538"/>
    </row>
    <row r="246" spans="1:26">
      <c r="A246" s="602"/>
      <c r="B246" s="603" t="s">
        <v>405</v>
      </c>
      <c r="C246" s="604"/>
      <c r="D246" s="604"/>
      <c r="E246" s="605"/>
      <c r="F246" s="606">
        <f>SUM(F208:F245)</f>
        <v>0</v>
      </c>
      <c r="G246" s="538"/>
      <c r="H246" s="538"/>
      <c r="I246" s="538"/>
      <c r="J246" s="538"/>
      <c r="K246" s="538"/>
      <c r="L246" s="538"/>
      <c r="M246" s="538"/>
      <c r="N246" s="538"/>
      <c r="O246" s="538"/>
      <c r="P246" s="538"/>
      <c r="Q246" s="538"/>
      <c r="R246" s="538"/>
      <c r="S246" s="538"/>
      <c r="T246" s="538"/>
      <c r="U246" s="538"/>
      <c r="V246" s="538"/>
      <c r="W246" s="538"/>
      <c r="X246" s="538"/>
      <c r="Y246" s="538"/>
      <c r="Z246" s="538"/>
    </row>
    <row r="247" spans="1:26" s="549" customFormat="1" ht="27" customHeight="1">
      <c r="A247" s="590"/>
      <c r="B247" s="591"/>
      <c r="C247" s="592"/>
      <c r="D247" s="592"/>
      <c r="E247" s="593"/>
      <c r="F247" s="594"/>
      <c r="G247" s="548"/>
      <c r="H247" s="548"/>
      <c r="I247" s="548"/>
      <c r="J247" s="548"/>
      <c r="K247" s="548"/>
      <c r="L247" s="548"/>
      <c r="M247" s="548"/>
      <c r="N247" s="548"/>
      <c r="O247" s="548"/>
      <c r="P247" s="548"/>
      <c r="Q247" s="548"/>
      <c r="R247" s="548"/>
      <c r="S247" s="548"/>
      <c r="T247" s="548"/>
      <c r="U247" s="548"/>
      <c r="V247" s="548"/>
      <c r="W247" s="548"/>
      <c r="X247" s="548"/>
      <c r="Y247" s="548"/>
      <c r="Z247" s="548"/>
    </row>
    <row r="248" spans="1:26">
      <c r="A248" s="590"/>
      <c r="B248" s="601" t="s">
        <v>406</v>
      </c>
      <c r="C248" s="592"/>
      <c r="D248" s="592"/>
      <c r="E248" s="593"/>
      <c r="F248" s="594"/>
      <c r="G248" s="538"/>
      <c r="H248" s="538"/>
      <c r="I248" s="538"/>
      <c r="J248" s="538"/>
      <c r="K248" s="538"/>
      <c r="L248" s="538"/>
      <c r="M248" s="538"/>
      <c r="N248" s="538"/>
      <c r="O248" s="538"/>
      <c r="P248" s="538"/>
      <c r="Q248" s="538"/>
      <c r="R248" s="538"/>
      <c r="S248" s="538"/>
      <c r="T248" s="538"/>
      <c r="U248" s="538"/>
      <c r="V248" s="538"/>
      <c r="W248" s="538"/>
      <c r="X248" s="538"/>
      <c r="Y248" s="538"/>
      <c r="Z248" s="538"/>
    </row>
    <row r="249" spans="1:26" ht="27">
      <c r="A249" s="585" t="s">
        <v>136</v>
      </c>
      <c r="B249" s="586" t="s">
        <v>177</v>
      </c>
      <c r="C249" s="587" t="s">
        <v>178</v>
      </c>
      <c r="D249" s="587" t="s">
        <v>179</v>
      </c>
      <c r="E249" s="588" t="s">
        <v>250</v>
      </c>
      <c r="F249" s="589" t="s">
        <v>251</v>
      </c>
      <c r="G249" s="538"/>
      <c r="H249" s="538"/>
      <c r="I249" s="538"/>
      <c r="J249" s="538"/>
      <c r="K249" s="538"/>
      <c r="L249" s="538"/>
      <c r="M249" s="538"/>
      <c r="N249" s="538"/>
      <c r="O249" s="538"/>
      <c r="P249" s="538"/>
      <c r="Q249" s="538"/>
      <c r="R249" s="538"/>
      <c r="S249" s="538"/>
      <c r="T249" s="538"/>
      <c r="U249" s="538"/>
      <c r="V249" s="538"/>
      <c r="W249" s="538"/>
      <c r="X249" s="538"/>
      <c r="Y249" s="538"/>
      <c r="Z249" s="538"/>
    </row>
    <row r="250" spans="1:26" ht="27">
      <c r="A250" s="590">
        <v>7</v>
      </c>
      <c r="B250" s="591" t="s">
        <v>279</v>
      </c>
      <c r="C250" s="592">
        <v>1</v>
      </c>
      <c r="D250" s="592" t="s">
        <v>255</v>
      </c>
      <c r="E250" s="593" t="s">
        <v>256</v>
      </c>
      <c r="F250" s="594" t="s">
        <v>256</v>
      </c>
      <c r="G250" s="538"/>
      <c r="H250" s="538"/>
      <c r="I250" s="538"/>
      <c r="J250" s="538"/>
      <c r="K250" s="538"/>
      <c r="L250" s="538"/>
      <c r="M250" s="538"/>
      <c r="N250" s="538"/>
      <c r="O250" s="538"/>
      <c r="P250" s="538"/>
      <c r="Q250" s="538"/>
      <c r="R250" s="538"/>
      <c r="S250" s="538"/>
      <c r="T250" s="538"/>
      <c r="U250" s="538"/>
      <c r="V250" s="538"/>
      <c r="W250" s="538"/>
      <c r="X250" s="538"/>
      <c r="Y250" s="538"/>
      <c r="Z250" s="538"/>
    </row>
    <row r="251" spans="1:26">
      <c r="A251" s="590" t="s">
        <v>481</v>
      </c>
      <c r="B251" s="591"/>
      <c r="C251" s="592"/>
      <c r="D251" s="592"/>
      <c r="E251" s="593"/>
      <c r="F251" s="594">
        <f t="shared" ref="F251:F263" si="9">C251*E251</f>
        <v>0</v>
      </c>
      <c r="G251" s="538"/>
      <c r="H251" s="538"/>
      <c r="I251" s="538"/>
      <c r="J251" s="538"/>
      <c r="K251" s="538"/>
      <c r="L251" s="538"/>
      <c r="M251" s="538"/>
      <c r="N251" s="538"/>
      <c r="O251" s="538"/>
      <c r="P251" s="538"/>
      <c r="Q251" s="538"/>
      <c r="R251" s="538"/>
      <c r="S251" s="538"/>
      <c r="T251" s="538"/>
      <c r="U251" s="538"/>
      <c r="V251" s="538"/>
      <c r="W251" s="538"/>
      <c r="X251" s="538"/>
      <c r="Y251" s="538"/>
      <c r="Z251" s="538"/>
    </row>
    <row r="252" spans="1:26">
      <c r="A252" s="590" t="s">
        <v>481</v>
      </c>
      <c r="B252" s="595" t="s">
        <v>407</v>
      </c>
      <c r="C252" s="592"/>
      <c r="D252" s="592"/>
      <c r="E252" s="593"/>
      <c r="F252" s="594">
        <f t="shared" si="9"/>
        <v>0</v>
      </c>
      <c r="G252" s="538"/>
      <c r="H252" s="538"/>
      <c r="I252" s="538"/>
      <c r="J252" s="538"/>
      <c r="K252" s="538"/>
      <c r="L252" s="538"/>
      <c r="M252" s="538"/>
      <c r="N252" s="538"/>
      <c r="O252" s="538"/>
      <c r="P252" s="538"/>
      <c r="Q252" s="538"/>
      <c r="R252" s="538"/>
      <c r="S252" s="538"/>
      <c r="T252" s="538"/>
      <c r="U252" s="538"/>
      <c r="V252" s="538"/>
      <c r="W252" s="538"/>
      <c r="X252" s="538"/>
      <c r="Y252" s="538"/>
      <c r="Z252" s="538"/>
    </row>
    <row r="253" spans="1:26">
      <c r="A253" s="590" t="s">
        <v>481</v>
      </c>
      <c r="B253" s="591"/>
      <c r="C253" s="592"/>
      <c r="D253" s="592"/>
      <c r="E253" s="593"/>
      <c r="F253" s="594">
        <f t="shared" si="9"/>
        <v>0</v>
      </c>
      <c r="G253" s="538"/>
      <c r="H253" s="538"/>
      <c r="I253" s="538"/>
      <c r="J253" s="538"/>
      <c r="K253" s="538"/>
      <c r="L253" s="538"/>
      <c r="M253" s="538"/>
      <c r="N253" s="538"/>
      <c r="O253" s="538"/>
      <c r="P253" s="538"/>
      <c r="Q253" s="538"/>
      <c r="R253" s="538"/>
      <c r="S253" s="538"/>
      <c r="T253" s="538"/>
      <c r="U253" s="538"/>
      <c r="V253" s="538"/>
      <c r="W253" s="538"/>
      <c r="X253" s="538"/>
      <c r="Y253" s="538"/>
      <c r="Z253" s="538"/>
    </row>
    <row r="254" spans="1:26" ht="53.4">
      <c r="A254" s="590">
        <v>7.0010000000000003</v>
      </c>
      <c r="B254" s="591" t="s">
        <v>484</v>
      </c>
      <c r="C254" s="592">
        <v>1</v>
      </c>
      <c r="D254" s="592" t="s">
        <v>294</v>
      </c>
      <c r="E254" s="593"/>
      <c r="F254" s="594">
        <f t="shared" si="9"/>
        <v>0</v>
      </c>
      <c r="G254" s="538"/>
      <c r="H254" s="538"/>
      <c r="I254" s="538"/>
      <c r="J254" s="538"/>
      <c r="K254" s="538"/>
      <c r="L254" s="538"/>
      <c r="M254" s="538"/>
      <c r="N254" s="538"/>
      <c r="O254" s="538"/>
      <c r="P254" s="538"/>
      <c r="Q254" s="538"/>
      <c r="R254" s="538"/>
      <c r="S254" s="538"/>
      <c r="T254" s="538"/>
      <c r="U254" s="538"/>
      <c r="V254" s="538"/>
      <c r="W254" s="538"/>
      <c r="X254" s="538"/>
      <c r="Y254" s="538"/>
      <c r="Z254" s="538"/>
    </row>
    <row r="255" spans="1:26">
      <c r="A255" s="590">
        <v>7.0020000000000007</v>
      </c>
      <c r="B255" s="591" t="s">
        <v>408</v>
      </c>
      <c r="C255" s="592">
        <v>1</v>
      </c>
      <c r="D255" s="592" t="s">
        <v>294</v>
      </c>
      <c r="E255" s="593"/>
      <c r="F255" s="594">
        <f t="shared" si="9"/>
        <v>0</v>
      </c>
      <c r="G255" s="538"/>
      <c r="H255" s="538"/>
      <c r="I255" s="538"/>
      <c r="J255" s="538"/>
      <c r="K255" s="538"/>
      <c r="L255" s="538"/>
      <c r="M255" s="538"/>
      <c r="N255" s="538"/>
      <c r="O255" s="538"/>
      <c r="P255" s="538"/>
      <c r="Q255" s="538"/>
      <c r="R255" s="538"/>
      <c r="S255" s="538"/>
      <c r="T255" s="538"/>
      <c r="U255" s="538"/>
      <c r="V255" s="538"/>
      <c r="W255" s="538"/>
      <c r="X255" s="538"/>
      <c r="Y255" s="538"/>
      <c r="Z255" s="538"/>
    </row>
    <row r="256" spans="1:26" ht="27">
      <c r="A256" s="590">
        <v>7.003000000000001</v>
      </c>
      <c r="B256" s="591" t="s">
        <v>409</v>
      </c>
      <c r="C256" s="592">
        <v>1</v>
      </c>
      <c r="D256" s="592" t="s">
        <v>255</v>
      </c>
      <c r="E256" s="593"/>
      <c r="F256" s="594">
        <f t="shared" si="9"/>
        <v>0</v>
      </c>
      <c r="G256" s="538"/>
      <c r="H256" s="538"/>
      <c r="I256" s="538"/>
      <c r="J256" s="538"/>
      <c r="K256" s="538"/>
      <c r="L256" s="538"/>
      <c r="M256" s="538"/>
      <c r="N256" s="538"/>
      <c r="O256" s="538"/>
      <c r="P256" s="538"/>
      <c r="Q256" s="538"/>
      <c r="R256" s="538"/>
      <c r="S256" s="538"/>
      <c r="T256" s="538"/>
      <c r="U256" s="538"/>
      <c r="V256" s="538"/>
      <c r="W256" s="538"/>
      <c r="X256" s="538"/>
      <c r="Y256" s="538"/>
      <c r="Z256" s="538"/>
    </row>
    <row r="257" spans="1:26">
      <c r="A257" s="590" t="s">
        <v>481</v>
      </c>
      <c r="B257" s="591" t="s">
        <v>397</v>
      </c>
      <c r="C257" s="592"/>
      <c r="D257" s="592"/>
      <c r="E257" s="593"/>
      <c r="F257" s="594"/>
      <c r="G257" s="538"/>
      <c r="H257" s="538"/>
      <c r="I257" s="538"/>
      <c r="J257" s="538"/>
      <c r="K257" s="538"/>
      <c r="L257" s="538"/>
      <c r="M257" s="538"/>
      <c r="N257" s="538"/>
      <c r="O257" s="538"/>
      <c r="P257" s="538"/>
      <c r="Q257" s="538"/>
      <c r="R257" s="538"/>
      <c r="S257" s="538"/>
      <c r="T257" s="538"/>
      <c r="U257" s="538"/>
      <c r="V257" s="538"/>
      <c r="W257" s="538"/>
      <c r="X257" s="538"/>
      <c r="Y257" s="538"/>
      <c r="Z257" s="538"/>
    </row>
    <row r="258" spans="1:26" ht="53.4">
      <c r="A258" s="590" t="s">
        <v>481</v>
      </c>
      <c r="B258" s="595" t="s">
        <v>410</v>
      </c>
      <c r="C258" s="592"/>
      <c r="D258" s="592"/>
      <c r="E258" s="593"/>
      <c r="F258" s="594">
        <f t="shared" si="9"/>
        <v>0</v>
      </c>
      <c r="G258" s="538"/>
      <c r="H258" s="538"/>
      <c r="I258" s="538"/>
      <c r="J258" s="538"/>
      <c r="K258" s="538"/>
      <c r="L258" s="538"/>
      <c r="M258" s="538"/>
      <c r="N258" s="538"/>
      <c r="O258" s="538"/>
      <c r="P258" s="538"/>
      <c r="Q258" s="538"/>
      <c r="R258" s="538"/>
      <c r="S258" s="538"/>
      <c r="T258" s="538"/>
      <c r="U258" s="538"/>
      <c r="V258" s="538"/>
      <c r="W258" s="538"/>
      <c r="X258" s="538"/>
      <c r="Y258" s="538"/>
      <c r="Z258" s="538"/>
    </row>
    <row r="259" spans="1:26" ht="27">
      <c r="A259" s="590">
        <v>7.0040000000000013</v>
      </c>
      <c r="B259" s="591" t="s">
        <v>485</v>
      </c>
      <c r="C259" s="592">
        <v>1</v>
      </c>
      <c r="D259" s="592" t="s">
        <v>294</v>
      </c>
      <c r="E259" s="593"/>
      <c r="F259" s="594">
        <f t="shared" si="9"/>
        <v>0</v>
      </c>
      <c r="G259" s="538"/>
      <c r="H259" s="538"/>
      <c r="I259" s="538"/>
      <c r="J259" s="538"/>
      <c r="K259" s="538"/>
      <c r="L259" s="538"/>
      <c r="M259" s="538"/>
      <c r="N259" s="538"/>
      <c r="O259" s="538"/>
      <c r="P259" s="538"/>
      <c r="Q259" s="538"/>
      <c r="R259" s="538"/>
      <c r="S259" s="538"/>
      <c r="T259" s="538"/>
      <c r="U259" s="538"/>
      <c r="V259" s="538"/>
      <c r="W259" s="538"/>
      <c r="X259" s="538"/>
      <c r="Y259" s="538"/>
      <c r="Z259" s="538"/>
    </row>
    <row r="260" spans="1:26">
      <c r="A260" s="590">
        <v>7.0050000000000017</v>
      </c>
      <c r="B260" s="591" t="s">
        <v>408</v>
      </c>
      <c r="C260" s="592">
        <v>1</v>
      </c>
      <c r="D260" s="592" t="s">
        <v>294</v>
      </c>
      <c r="E260" s="593"/>
      <c r="F260" s="594">
        <f t="shared" si="9"/>
        <v>0</v>
      </c>
      <c r="G260" s="538"/>
      <c r="H260" s="538"/>
      <c r="I260" s="538"/>
      <c r="J260" s="538"/>
      <c r="K260" s="538"/>
      <c r="L260" s="538"/>
      <c r="M260" s="538"/>
      <c r="N260" s="538"/>
      <c r="O260" s="538"/>
      <c r="P260" s="538"/>
      <c r="Q260" s="538"/>
      <c r="R260" s="538"/>
      <c r="S260" s="538"/>
      <c r="T260" s="538"/>
      <c r="U260" s="538"/>
      <c r="V260" s="538"/>
      <c r="W260" s="538"/>
      <c r="X260" s="538"/>
      <c r="Y260" s="538"/>
      <c r="Z260" s="538"/>
    </row>
    <row r="261" spans="1:26" ht="66.599999999999994">
      <c r="A261" s="590">
        <v>7.006000000000002</v>
      </c>
      <c r="B261" s="591" t="s">
        <v>411</v>
      </c>
      <c r="C261" s="592">
        <v>4</v>
      </c>
      <c r="D261" s="592" t="s">
        <v>284</v>
      </c>
      <c r="E261" s="593"/>
      <c r="F261" s="594">
        <f t="shared" si="9"/>
        <v>0</v>
      </c>
      <c r="G261" s="538"/>
      <c r="H261" s="538"/>
      <c r="I261" s="538"/>
      <c r="J261" s="538"/>
      <c r="K261" s="538"/>
      <c r="L261" s="538"/>
      <c r="M261" s="538"/>
      <c r="N261" s="538"/>
      <c r="O261" s="538"/>
      <c r="P261" s="538"/>
      <c r="Q261" s="538"/>
      <c r="R261" s="538"/>
      <c r="S261" s="538"/>
      <c r="T261" s="538"/>
      <c r="U261" s="538"/>
      <c r="V261" s="538"/>
      <c r="W261" s="538"/>
      <c r="X261" s="538"/>
      <c r="Y261" s="538"/>
      <c r="Z261" s="538"/>
    </row>
    <row r="262" spans="1:26">
      <c r="A262" s="590">
        <v>7.0070000000000023</v>
      </c>
      <c r="B262" s="591" t="s">
        <v>412</v>
      </c>
      <c r="C262" s="592">
        <v>1</v>
      </c>
      <c r="D262" s="592" t="s">
        <v>255</v>
      </c>
      <c r="E262" s="593"/>
      <c r="F262" s="594"/>
      <c r="G262" s="538"/>
      <c r="H262" s="538"/>
      <c r="I262" s="538"/>
      <c r="J262" s="538"/>
      <c r="K262" s="538"/>
      <c r="L262" s="538"/>
      <c r="M262" s="538"/>
      <c r="N262" s="538"/>
      <c r="O262" s="538"/>
      <c r="P262" s="538"/>
      <c r="Q262" s="538"/>
      <c r="R262" s="538"/>
      <c r="S262" s="538"/>
      <c r="T262" s="538"/>
      <c r="U262" s="538"/>
      <c r="V262" s="538"/>
      <c r="W262" s="538"/>
      <c r="X262" s="538"/>
      <c r="Y262" s="538"/>
      <c r="Z262" s="538"/>
    </row>
    <row r="263" spans="1:26" ht="27">
      <c r="A263" s="590">
        <v>7.0070000000000023</v>
      </c>
      <c r="B263" s="591" t="s">
        <v>409</v>
      </c>
      <c r="C263" s="592">
        <v>1</v>
      </c>
      <c r="D263" s="592" t="s">
        <v>255</v>
      </c>
      <c r="E263" s="593"/>
      <c r="F263" s="594">
        <f t="shared" si="9"/>
        <v>0</v>
      </c>
      <c r="G263" s="538"/>
      <c r="H263" s="538"/>
      <c r="I263" s="538"/>
      <c r="J263" s="538"/>
      <c r="K263" s="538"/>
      <c r="L263" s="538"/>
      <c r="M263" s="538"/>
      <c r="N263" s="538"/>
      <c r="O263" s="538"/>
      <c r="P263" s="538"/>
      <c r="Q263" s="538"/>
      <c r="R263" s="538"/>
      <c r="S263" s="538"/>
      <c r="T263" s="538"/>
      <c r="U263" s="538"/>
      <c r="V263" s="538"/>
      <c r="W263" s="538"/>
      <c r="X263" s="538"/>
      <c r="Y263" s="538"/>
      <c r="Z263" s="538"/>
    </row>
    <row r="264" spans="1:26">
      <c r="A264" s="590">
        <v>7.0080000000000027</v>
      </c>
      <c r="B264" s="591" t="s">
        <v>397</v>
      </c>
      <c r="C264" s="592">
        <v>1</v>
      </c>
      <c r="D264" s="592" t="s">
        <v>255</v>
      </c>
      <c r="E264" s="593"/>
      <c r="F264" s="594"/>
      <c r="G264" s="538"/>
      <c r="H264" s="538"/>
      <c r="I264" s="538"/>
      <c r="J264" s="538"/>
      <c r="K264" s="538"/>
      <c r="L264" s="538"/>
      <c r="M264" s="538"/>
      <c r="N264" s="538"/>
      <c r="O264" s="538"/>
      <c r="P264" s="538"/>
      <c r="Q264" s="538"/>
      <c r="R264" s="538"/>
      <c r="S264" s="538"/>
      <c r="T264" s="538"/>
      <c r="U264" s="538"/>
      <c r="V264" s="538"/>
      <c r="W264" s="538"/>
      <c r="X264" s="538"/>
      <c r="Y264" s="538"/>
      <c r="Z264" s="538"/>
    </row>
    <row r="265" spans="1:26" ht="53.4">
      <c r="A265" s="590">
        <v>7.0080000000000027</v>
      </c>
      <c r="B265" s="591" t="s">
        <v>486</v>
      </c>
      <c r="C265" s="592">
        <v>1</v>
      </c>
      <c r="D265" s="592" t="s">
        <v>255</v>
      </c>
      <c r="E265" s="593"/>
      <c r="F265" s="594">
        <f t="shared" ref="F265:F272" si="10">C265*E265</f>
        <v>0</v>
      </c>
      <c r="G265" s="538"/>
      <c r="H265" s="538"/>
      <c r="I265" s="538"/>
      <c r="J265" s="538"/>
      <c r="K265" s="538"/>
      <c r="L265" s="538"/>
      <c r="M265" s="538"/>
      <c r="N265" s="538"/>
      <c r="O265" s="538"/>
      <c r="P265" s="538"/>
      <c r="Q265" s="538"/>
      <c r="R265" s="538"/>
      <c r="S265" s="538"/>
      <c r="T265" s="538"/>
      <c r="U265" s="538"/>
      <c r="V265" s="538"/>
      <c r="W265" s="538"/>
      <c r="X265" s="538"/>
      <c r="Y265" s="538"/>
      <c r="Z265" s="538"/>
    </row>
    <row r="266" spans="1:26">
      <c r="A266" s="590" t="s">
        <v>481</v>
      </c>
      <c r="B266" s="591"/>
      <c r="C266" s="592"/>
      <c r="D266" s="592"/>
      <c r="E266" s="593"/>
      <c r="F266" s="594">
        <f t="shared" si="10"/>
        <v>0</v>
      </c>
      <c r="G266" s="538"/>
      <c r="H266" s="538"/>
      <c r="I266" s="538"/>
      <c r="J266" s="538"/>
      <c r="K266" s="538"/>
      <c r="L266" s="538"/>
      <c r="M266" s="538"/>
      <c r="N266" s="538"/>
      <c r="O266" s="538"/>
      <c r="P266" s="538"/>
      <c r="Q266" s="538"/>
      <c r="R266" s="538"/>
      <c r="S266" s="538"/>
      <c r="T266" s="538"/>
      <c r="U266" s="538"/>
      <c r="V266" s="538"/>
      <c r="W266" s="538"/>
      <c r="X266" s="538"/>
      <c r="Y266" s="538"/>
      <c r="Z266" s="538"/>
    </row>
    <row r="267" spans="1:26" ht="40.200000000000003">
      <c r="A267" s="590">
        <v>7.009000000000003</v>
      </c>
      <c r="B267" s="591" t="s">
        <v>413</v>
      </c>
      <c r="C267" s="592">
        <v>1</v>
      </c>
      <c r="D267" s="592" t="s">
        <v>255</v>
      </c>
      <c r="E267" s="592"/>
      <c r="F267" s="594">
        <f t="shared" si="10"/>
        <v>0</v>
      </c>
      <c r="G267" s="538"/>
      <c r="H267" s="538"/>
      <c r="I267" s="538"/>
      <c r="J267" s="538"/>
      <c r="K267" s="538"/>
      <c r="L267" s="538"/>
      <c r="M267" s="538"/>
      <c r="N267" s="538"/>
      <c r="O267" s="538"/>
      <c r="P267" s="538"/>
      <c r="Q267" s="538"/>
      <c r="R267" s="538"/>
      <c r="S267" s="538"/>
      <c r="T267" s="538"/>
      <c r="U267" s="538"/>
      <c r="V267" s="538"/>
      <c r="W267" s="538"/>
      <c r="X267" s="538"/>
      <c r="Y267" s="538"/>
      <c r="Z267" s="538"/>
    </row>
    <row r="268" spans="1:26">
      <c r="A268" s="590" t="s">
        <v>481</v>
      </c>
      <c r="B268" s="591"/>
      <c r="C268" s="592"/>
      <c r="D268" s="592"/>
      <c r="E268" s="593"/>
      <c r="F268" s="594">
        <f t="shared" si="10"/>
        <v>0</v>
      </c>
      <c r="G268" s="538"/>
      <c r="H268" s="538"/>
      <c r="I268" s="538"/>
      <c r="J268" s="538"/>
      <c r="K268" s="538"/>
      <c r="L268" s="538"/>
      <c r="M268" s="538"/>
      <c r="N268" s="538"/>
      <c r="O268" s="538"/>
      <c r="P268" s="538"/>
      <c r="Q268" s="538"/>
      <c r="R268" s="538"/>
      <c r="S268" s="538"/>
      <c r="T268" s="538"/>
      <c r="U268" s="538"/>
      <c r="V268" s="538"/>
      <c r="W268" s="538"/>
      <c r="X268" s="538"/>
      <c r="Y268" s="538"/>
      <c r="Z268" s="538"/>
    </row>
    <row r="269" spans="1:26">
      <c r="A269" s="596" t="s">
        <v>481</v>
      </c>
      <c r="B269" s="597" t="s">
        <v>328</v>
      </c>
      <c r="C269" s="598"/>
      <c r="D269" s="598"/>
      <c r="E269" s="599"/>
      <c r="F269" s="589">
        <f t="shared" si="10"/>
        <v>0</v>
      </c>
      <c r="G269" s="538"/>
      <c r="H269" s="538"/>
      <c r="I269" s="538"/>
      <c r="J269" s="538"/>
      <c r="K269" s="538"/>
      <c r="L269" s="538"/>
      <c r="M269" s="538"/>
      <c r="N269" s="538"/>
      <c r="O269" s="538"/>
      <c r="P269" s="538"/>
      <c r="Q269" s="538"/>
      <c r="R269" s="538"/>
      <c r="S269" s="538"/>
      <c r="T269" s="538"/>
      <c r="U269" s="538"/>
      <c r="V269" s="538"/>
      <c r="W269" s="538"/>
      <c r="X269" s="538"/>
      <c r="Y269" s="538"/>
      <c r="Z269" s="538"/>
    </row>
    <row r="270" spans="1:26" ht="40.200000000000003">
      <c r="A270" s="590">
        <v>7.0100000000000033</v>
      </c>
      <c r="B270" s="591" t="s">
        <v>329</v>
      </c>
      <c r="C270" s="592">
        <v>1</v>
      </c>
      <c r="D270" s="592" t="s">
        <v>330</v>
      </c>
      <c r="E270" s="593"/>
      <c r="F270" s="594">
        <f t="shared" si="10"/>
        <v>0</v>
      </c>
      <c r="G270" s="538"/>
      <c r="H270" s="538"/>
      <c r="I270" s="538"/>
      <c r="J270" s="538"/>
      <c r="K270" s="538"/>
      <c r="L270" s="538"/>
      <c r="M270" s="538"/>
      <c r="N270" s="538"/>
      <c r="O270" s="538"/>
      <c r="P270" s="538"/>
      <c r="Q270" s="538"/>
      <c r="R270" s="538"/>
      <c r="S270" s="538"/>
      <c r="T270" s="538"/>
      <c r="U270" s="538"/>
      <c r="V270" s="538"/>
      <c r="W270" s="538"/>
      <c r="X270" s="538"/>
      <c r="Y270" s="538"/>
      <c r="Z270" s="538"/>
    </row>
    <row r="271" spans="1:26" s="549" customFormat="1" ht="79.8">
      <c r="A271" s="590">
        <v>7.0110000000000037</v>
      </c>
      <c r="B271" s="591" t="s">
        <v>331</v>
      </c>
      <c r="C271" s="592">
        <v>1</v>
      </c>
      <c r="D271" s="592" t="s">
        <v>330</v>
      </c>
      <c r="E271" s="593"/>
      <c r="F271" s="594">
        <f t="shared" si="10"/>
        <v>0</v>
      </c>
      <c r="G271" s="548"/>
      <c r="H271" s="548"/>
      <c r="I271" s="548"/>
      <c r="J271" s="548"/>
      <c r="K271" s="548"/>
      <c r="L271" s="548"/>
      <c r="M271" s="548"/>
      <c r="N271" s="548"/>
      <c r="O271" s="548"/>
      <c r="P271" s="548"/>
      <c r="Q271" s="548"/>
      <c r="R271" s="548"/>
      <c r="S271" s="548"/>
      <c r="T271" s="548"/>
      <c r="U271" s="548"/>
      <c r="V271" s="548"/>
      <c r="W271" s="548"/>
      <c r="X271" s="548"/>
      <c r="Y271" s="548"/>
      <c r="Z271" s="548"/>
    </row>
    <row r="272" spans="1:26">
      <c r="A272" s="590" t="s">
        <v>481</v>
      </c>
      <c r="B272" s="591"/>
      <c r="C272" s="592"/>
      <c r="D272" s="592"/>
      <c r="E272" s="593"/>
      <c r="F272" s="594">
        <f t="shared" si="10"/>
        <v>0</v>
      </c>
      <c r="G272" s="538"/>
      <c r="H272" s="538"/>
      <c r="I272" s="538"/>
      <c r="J272" s="538"/>
      <c r="K272" s="538"/>
      <c r="L272" s="538"/>
      <c r="M272" s="538"/>
      <c r="N272" s="538"/>
      <c r="O272" s="538"/>
      <c r="P272" s="538"/>
      <c r="Q272" s="538"/>
      <c r="R272" s="538"/>
      <c r="S272" s="538"/>
      <c r="T272" s="538"/>
      <c r="U272" s="538"/>
      <c r="V272" s="538"/>
      <c r="W272" s="538"/>
      <c r="X272" s="538"/>
      <c r="Y272" s="538"/>
      <c r="Z272" s="538"/>
    </row>
    <row r="273" spans="1:26">
      <c r="A273" s="602"/>
      <c r="B273" s="607" t="s">
        <v>414</v>
      </c>
      <c r="C273" s="604"/>
      <c r="D273" s="604"/>
      <c r="E273" s="605"/>
      <c r="F273" s="606">
        <f>SUM(F251:F272)</f>
        <v>0</v>
      </c>
      <c r="G273" s="538"/>
      <c r="H273" s="538"/>
      <c r="I273" s="538"/>
      <c r="J273" s="538"/>
      <c r="K273" s="538"/>
      <c r="L273" s="538"/>
      <c r="M273" s="538"/>
      <c r="N273" s="538"/>
      <c r="O273" s="538"/>
      <c r="P273" s="538"/>
      <c r="Q273" s="538"/>
      <c r="R273" s="538"/>
      <c r="S273" s="538"/>
      <c r="T273" s="538"/>
      <c r="U273" s="538"/>
      <c r="V273" s="538"/>
      <c r="W273" s="538"/>
      <c r="X273" s="538"/>
      <c r="Y273" s="538"/>
      <c r="Z273" s="538"/>
    </row>
    <row r="274" spans="1:26" s="549" customFormat="1" ht="27" customHeight="1">
      <c r="A274" s="590"/>
      <c r="B274" s="591"/>
      <c r="C274" s="592"/>
      <c r="D274" s="592"/>
      <c r="E274" s="593"/>
      <c r="F274" s="594"/>
      <c r="G274" s="548"/>
      <c r="H274" s="548"/>
      <c r="I274" s="548"/>
      <c r="J274" s="548"/>
      <c r="K274" s="548"/>
      <c r="L274" s="548"/>
      <c r="M274" s="548"/>
      <c r="N274" s="548"/>
      <c r="O274" s="548"/>
      <c r="P274" s="548"/>
      <c r="Q274" s="548"/>
      <c r="R274" s="548"/>
      <c r="S274" s="548"/>
      <c r="T274" s="548"/>
      <c r="U274" s="548"/>
      <c r="V274" s="548"/>
      <c r="W274" s="548"/>
      <c r="X274" s="548"/>
      <c r="Y274" s="548"/>
      <c r="Z274" s="548"/>
    </row>
    <row r="275" spans="1:26" ht="27">
      <c r="A275" s="590"/>
      <c r="B275" s="601" t="s">
        <v>415</v>
      </c>
      <c r="C275" s="592"/>
      <c r="D275" s="592"/>
      <c r="E275" s="593"/>
      <c r="F275" s="594"/>
      <c r="G275" s="538"/>
      <c r="H275" s="538"/>
      <c r="I275" s="538"/>
      <c r="J275" s="538"/>
      <c r="K275" s="538"/>
      <c r="L275" s="538"/>
      <c r="M275" s="538"/>
      <c r="N275" s="538"/>
      <c r="O275" s="538"/>
      <c r="P275" s="538"/>
      <c r="Q275" s="538"/>
      <c r="R275" s="538"/>
      <c r="S275" s="538"/>
      <c r="T275" s="538"/>
      <c r="U275" s="538"/>
      <c r="V275" s="538"/>
      <c r="W275" s="538"/>
      <c r="X275" s="538"/>
      <c r="Y275" s="538"/>
      <c r="Z275" s="538"/>
    </row>
    <row r="276" spans="1:26" ht="27">
      <c r="A276" s="585" t="s">
        <v>136</v>
      </c>
      <c r="B276" s="586" t="s">
        <v>177</v>
      </c>
      <c r="C276" s="587" t="s">
        <v>178</v>
      </c>
      <c r="D276" s="587" t="s">
        <v>179</v>
      </c>
      <c r="E276" s="588" t="s">
        <v>250</v>
      </c>
      <c r="F276" s="589" t="s">
        <v>251</v>
      </c>
      <c r="G276" s="538"/>
      <c r="H276" s="538"/>
      <c r="I276" s="538"/>
      <c r="J276" s="538"/>
      <c r="K276" s="538"/>
      <c r="L276" s="538"/>
      <c r="M276" s="538"/>
      <c r="N276" s="538"/>
      <c r="O276" s="538"/>
      <c r="P276" s="538"/>
      <c r="Q276" s="538"/>
      <c r="R276" s="538"/>
      <c r="S276" s="538"/>
      <c r="T276" s="538"/>
      <c r="U276" s="538"/>
      <c r="V276" s="538"/>
      <c r="W276" s="538"/>
      <c r="X276" s="538"/>
      <c r="Y276" s="538"/>
      <c r="Z276" s="538"/>
    </row>
    <row r="277" spans="1:26">
      <c r="A277" s="590"/>
      <c r="B277" s="601" t="s">
        <v>416</v>
      </c>
      <c r="C277" s="592"/>
      <c r="D277" s="592"/>
      <c r="E277" s="593"/>
      <c r="F277" s="594"/>
      <c r="G277" s="538"/>
      <c r="H277" s="538"/>
      <c r="I277" s="538"/>
      <c r="J277" s="538"/>
      <c r="K277" s="538"/>
      <c r="L277" s="538"/>
      <c r="M277" s="538"/>
      <c r="N277" s="538"/>
      <c r="O277" s="538"/>
      <c r="P277" s="538"/>
      <c r="Q277" s="538"/>
      <c r="R277" s="538"/>
      <c r="S277" s="538"/>
      <c r="T277" s="538"/>
      <c r="U277" s="538"/>
      <c r="V277" s="538"/>
      <c r="W277" s="538"/>
      <c r="X277" s="538"/>
      <c r="Y277" s="538"/>
      <c r="Z277" s="538"/>
    </row>
    <row r="278" spans="1:26">
      <c r="A278" s="590">
        <v>8</v>
      </c>
      <c r="B278" s="591" t="s">
        <v>417</v>
      </c>
      <c r="C278" s="592">
        <v>1</v>
      </c>
      <c r="D278" s="592" t="s">
        <v>418</v>
      </c>
      <c r="E278" s="593"/>
      <c r="F278" s="594" t="s">
        <v>419</v>
      </c>
      <c r="G278" s="538"/>
      <c r="H278" s="538"/>
      <c r="I278" s="538"/>
      <c r="J278" s="538"/>
      <c r="K278" s="538"/>
      <c r="L278" s="538"/>
      <c r="M278" s="538"/>
      <c r="N278" s="538"/>
      <c r="O278" s="538"/>
      <c r="P278" s="538"/>
      <c r="Q278" s="538"/>
      <c r="R278" s="538"/>
      <c r="S278" s="538"/>
      <c r="T278" s="538"/>
      <c r="U278" s="538"/>
      <c r="V278" s="538"/>
      <c r="W278" s="538"/>
      <c r="X278" s="538"/>
      <c r="Y278" s="538"/>
      <c r="Z278" s="538"/>
    </row>
    <row r="279" spans="1:26">
      <c r="A279" s="590">
        <v>8.0009999999999994</v>
      </c>
      <c r="B279" s="591" t="s">
        <v>420</v>
      </c>
      <c r="C279" s="592">
        <v>1</v>
      </c>
      <c r="D279" s="592" t="s">
        <v>418</v>
      </c>
      <c r="E279" s="593"/>
      <c r="F279" s="594" t="s">
        <v>419</v>
      </c>
      <c r="G279" s="538"/>
      <c r="H279" s="538"/>
      <c r="I279" s="538"/>
      <c r="J279" s="538"/>
      <c r="K279" s="538"/>
      <c r="L279" s="538"/>
      <c r="M279" s="538"/>
      <c r="N279" s="538"/>
      <c r="O279" s="538"/>
      <c r="P279" s="538"/>
      <c r="Q279" s="538"/>
      <c r="R279" s="538"/>
      <c r="S279" s="538"/>
      <c r="T279" s="538"/>
      <c r="U279" s="538"/>
      <c r="V279" s="538"/>
      <c r="W279" s="538"/>
      <c r="X279" s="538"/>
      <c r="Y279" s="538"/>
      <c r="Z279" s="538"/>
    </row>
    <row r="280" spans="1:26" s="560" customFormat="1">
      <c r="A280" s="590">
        <v>8.0019999999999989</v>
      </c>
      <c r="B280" s="591" t="s">
        <v>421</v>
      </c>
      <c r="C280" s="592">
        <v>1</v>
      </c>
      <c r="D280" s="592" t="s">
        <v>418</v>
      </c>
      <c r="E280" s="593"/>
      <c r="F280" s="594" t="s">
        <v>419</v>
      </c>
      <c r="G280" s="559"/>
      <c r="H280" s="559"/>
      <c r="I280" s="559"/>
      <c r="J280" s="559"/>
      <c r="K280" s="559"/>
      <c r="L280" s="559"/>
      <c r="M280" s="559"/>
      <c r="N280" s="559"/>
      <c r="O280" s="559"/>
      <c r="P280" s="559"/>
      <c r="Q280" s="559"/>
      <c r="R280" s="559"/>
      <c r="S280" s="559"/>
      <c r="T280" s="559"/>
      <c r="U280" s="559"/>
      <c r="V280" s="559"/>
      <c r="W280" s="559"/>
      <c r="X280" s="559"/>
      <c r="Y280" s="559"/>
      <c r="Z280" s="559"/>
    </row>
    <row r="281" spans="1:26">
      <c r="A281" s="602"/>
      <c r="B281" s="607" t="s">
        <v>422</v>
      </c>
      <c r="C281" s="604"/>
      <c r="D281" s="604"/>
      <c r="E281" s="605"/>
      <c r="F281" s="606" t="s">
        <v>419</v>
      </c>
      <c r="G281" s="538"/>
      <c r="H281" s="538"/>
      <c r="I281" s="538"/>
      <c r="J281" s="538"/>
      <c r="K281" s="538"/>
      <c r="L281" s="538"/>
      <c r="M281" s="538"/>
      <c r="N281" s="538"/>
      <c r="O281" s="538"/>
      <c r="P281" s="538"/>
      <c r="Q281" s="538"/>
      <c r="R281" s="538"/>
      <c r="S281" s="538"/>
      <c r="T281" s="538"/>
      <c r="U281" s="538"/>
      <c r="V281" s="538"/>
      <c r="W281" s="538"/>
      <c r="X281" s="538"/>
      <c r="Y281" s="538"/>
      <c r="Z281" s="538"/>
    </row>
    <row r="282" spans="1:26" s="549" customFormat="1" ht="27" customHeight="1">
      <c r="A282" s="590"/>
      <c r="B282" s="601"/>
      <c r="C282" s="592"/>
      <c r="D282" s="592"/>
      <c r="E282" s="593"/>
      <c r="F282" s="594"/>
      <c r="G282" s="548"/>
      <c r="H282" s="548"/>
      <c r="I282" s="548"/>
      <c r="J282" s="548"/>
      <c r="K282" s="548"/>
      <c r="L282" s="548"/>
      <c r="M282" s="548"/>
      <c r="N282" s="548"/>
      <c r="O282" s="548"/>
      <c r="P282" s="548"/>
      <c r="Q282" s="548"/>
      <c r="R282" s="548"/>
      <c r="S282" s="548"/>
      <c r="T282" s="548"/>
      <c r="U282" s="548"/>
      <c r="V282" s="548"/>
      <c r="W282" s="548"/>
      <c r="X282" s="548"/>
      <c r="Y282" s="548"/>
      <c r="Z282" s="548"/>
    </row>
    <row r="283" spans="1:26">
      <c r="B283" s="542" t="s">
        <v>423</v>
      </c>
      <c r="G283" s="538"/>
      <c r="H283" s="538"/>
      <c r="I283" s="538"/>
      <c r="J283" s="538"/>
      <c r="K283" s="538"/>
      <c r="L283" s="538"/>
      <c r="M283" s="538"/>
      <c r="N283" s="538"/>
      <c r="O283" s="538"/>
      <c r="P283" s="538"/>
      <c r="Q283" s="538"/>
      <c r="R283" s="538"/>
      <c r="S283" s="538"/>
      <c r="T283" s="538"/>
      <c r="U283" s="538"/>
      <c r="V283" s="538"/>
      <c r="W283" s="538"/>
      <c r="X283" s="538"/>
      <c r="Y283" s="538"/>
      <c r="Z283" s="538"/>
    </row>
    <row r="284" spans="1:26" ht="27">
      <c r="A284" s="543" t="s">
        <v>136</v>
      </c>
      <c r="B284" s="544" t="s">
        <v>177</v>
      </c>
      <c r="C284" s="545" t="s">
        <v>178</v>
      </c>
      <c r="D284" s="545" t="s">
        <v>179</v>
      </c>
      <c r="E284" s="546" t="s">
        <v>250</v>
      </c>
      <c r="F284" s="547" t="s">
        <v>251</v>
      </c>
      <c r="G284" s="538"/>
      <c r="H284" s="538"/>
      <c r="I284" s="538"/>
      <c r="J284" s="538"/>
      <c r="K284" s="538"/>
      <c r="L284" s="538"/>
      <c r="M284" s="538"/>
      <c r="N284" s="538"/>
      <c r="O284" s="538"/>
      <c r="P284" s="538"/>
      <c r="Q284" s="538"/>
      <c r="R284" s="538"/>
      <c r="S284" s="538"/>
      <c r="T284" s="538"/>
      <c r="U284" s="538"/>
      <c r="V284" s="538"/>
      <c r="W284" s="538"/>
      <c r="X284" s="538"/>
      <c r="Y284" s="538"/>
      <c r="Z284" s="538"/>
    </row>
    <row r="285" spans="1:26" ht="27">
      <c r="A285" s="533">
        <v>10</v>
      </c>
      <c r="B285" s="540" t="s">
        <v>279</v>
      </c>
      <c r="C285" s="535">
        <v>1</v>
      </c>
      <c r="D285" s="535" t="s">
        <v>255</v>
      </c>
      <c r="E285" s="536" t="str">
        <f>Elec_Est!Q753</f>
        <v>INC</v>
      </c>
      <c r="F285" s="541" t="s">
        <v>256</v>
      </c>
      <c r="G285" s="538"/>
      <c r="H285" s="538"/>
      <c r="I285" s="538"/>
      <c r="J285" s="538"/>
      <c r="K285" s="538"/>
      <c r="L285" s="538"/>
      <c r="M285" s="538"/>
      <c r="N285" s="538"/>
      <c r="O285" s="538"/>
      <c r="P285" s="538"/>
      <c r="Q285" s="538"/>
      <c r="R285" s="538"/>
      <c r="S285" s="538"/>
      <c r="T285" s="538"/>
      <c r="U285" s="538"/>
      <c r="V285" s="538"/>
      <c r="W285" s="538"/>
      <c r="X285" s="538"/>
      <c r="Y285" s="538"/>
      <c r="Z285" s="538"/>
    </row>
    <row r="286" spans="1:26" ht="27">
      <c r="B286" s="564" t="s">
        <v>424</v>
      </c>
      <c r="G286" s="538"/>
      <c r="H286" s="538"/>
      <c r="I286" s="538"/>
      <c r="J286" s="538"/>
      <c r="K286" s="538"/>
      <c r="L286" s="538"/>
      <c r="M286" s="538"/>
      <c r="N286" s="538"/>
      <c r="O286" s="538"/>
      <c r="P286" s="538"/>
      <c r="Q286" s="538"/>
      <c r="R286" s="538"/>
      <c r="S286" s="538"/>
      <c r="T286" s="538"/>
      <c r="U286" s="538"/>
      <c r="V286" s="538"/>
      <c r="W286" s="538"/>
      <c r="X286" s="538"/>
      <c r="Y286" s="538"/>
      <c r="Z286" s="538"/>
    </row>
    <row r="287" spans="1:26">
      <c r="A287" s="533">
        <v>10.000999999999999</v>
      </c>
      <c r="B287" s="540" t="s">
        <v>425</v>
      </c>
      <c r="C287" s="535">
        <v>5</v>
      </c>
      <c r="D287" s="535" t="s">
        <v>294</v>
      </c>
      <c r="E287" s="536">
        <f>Elec_Est!E764</f>
        <v>17.39</v>
      </c>
      <c r="F287" s="541">
        <f t="shared" ref="F287:F292" si="11">C287*E287</f>
        <v>86.95</v>
      </c>
      <c r="G287" s="538"/>
      <c r="H287" s="538"/>
      <c r="I287" s="538"/>
      <c r="J287" s="538"/>
      <c r="K287" s="538"/>
      <c r="L287" s="538"/>
      <c r="M287" s="538"/>
      <c r="N287" s="538"/>
      <c r="O287" s="538"/>
      <c r="P287" s="538"/>
      <c r="Q287" s="538"/>
      <c r="R287" s="538"/>
      <c r="S287" s="538"/>
      <c r="T287" s="538"/>
      <c r="U287" s="538"/>
      <c r="V287" s="538"/>
      <c r="W287" s="538"/>
      <c r="X287" s="538"/>
      <c r="Y287" s="538"/>
      <c r="Z287" s="538"/>
    </row>
    <row r="288" spans="1:26" ht="53.4">
      <c r="B288" s="564" t="s">
        <v>426</v>
      </c>
      <c r="G288" s="538"/>
      <c r="H288" s="538"/>
      <c r="I288" s="538"/>
      <c r="J288" s="538"/>
      <c r="K288" s="538"/>
      <c r="L288" s="538"/>
      <c r="M288" s="538"/>
      <c r="N288" s="538"/>
      <c r="O288" s="538"/>
      <c r="P288" s="538"/>
      <c r="Q288" s="538"/>
      <c r="R288" s="538"/>
      <c r="S288" s="538"/>
      <c r="T288" s="538"/>
      <c r="U288" s="538"/>
      <c r="V288" s="538"/>
      <c r="W288" s="538"/>
      <c r="X288" s="538"/>
      <c r="Y288" s="538"/>
      <c r="Z288" s="538"/>
    </row>
    <row r="289" spans="1:26">
      <c r="A289" s="533">
        <v>10.001999999999999</v>
      </c>
      <c r="B289" s="540" t="s">
        <v>427</v>
      </c>
      <c r="C289" s="535">
        <v>5</v>
      </c>
      <c r="D289" s="535" t="s">
        <v>294</v>
      </c>
      <c r="E289" s="536">
        <f>Elec_Est!E774</f>
        <v>3.3</v>
      </c>
      <c r="F289" s="541">
        <f t="shared" si="11"/>
        <v>16.5</v>
      </c>
      <c r="G289" s="538"/>
      <c r="H289" s="538"/>
      <c r="I289" s="538"/>
      <c r="J289" s="538"/>
      <c r="K289" s="538"/>
      <c r="L289" s="538"/>
      <c r="M289" s="538"/>
      <c r="N289" s="538"/>
      <c r="O289" s="538"/>
      <c r="P289" s="538"/>
      <c r="Q289" s="538"/>
      <c r="R289" s="538"/>
      <c r="S289" s="538"/>
      <c r="T289" s="538"/>
      <c r="U289" s="538"/>
      <c r="V289" s="538"/>
      <c r="W289" s="538"/>
      <c r="X289" s="538"/>
      <c r="Y289" s="538"/>
      <c r="Z289" s="538"/>
    </row>
    <row r="290" spans="1:26" ht="27">
      <c r="B290" s="564" t="s">
        <v>428</v>
      </c>
      <c r="G290" s="538"/>
      <c r="H290" s="538"/>
      <c r="I290" s="538"/>
      <c r="J290" s="538"/>
      <c r="K290" s="538"/>
      <c r="L290" s="538"/>
      <c r="M290" s="538"/>
      <c r="N290" s="538"/>
      <c r="O290" s="538"/>
      <c r="P290" s="538"/>
      <c r="Q290" s="538"/>
      <c r="R290" s="538"/>
      <c r="S290" s="538"/>
      <c r="T290" s="538"/>
      <c r="U290" s="538"/>
      <c r="V290" s="538"/>
      <c r="W290" s="538"/>
      <c r="X290" s="538"/>
      <c r="Y290" s="538"/>
      <c r="Z290" s="538"/>
    </row>
    <row r="291" spans="1:26">
      <c r="A291" s="533">
        <v>10.002999999999998</v>
      </c>
      <c r="B291" s="540" t="s">
        <v>429</v>
      </c>
      <c r="C291" s="535">
        <v>1</v>
      </c>
      <c r="D291" s="535" t="s">
        <v>294</v>
      </c>
      <c r="E291" s="536">
        <f>Elec_Est!E784</f>
        <v>43.5</v>
      </c>
      <c r="F291" s="541">
        <f t="shared" si="11"/>
        <v>43.5</v>
      </c>
      <c r="G291" s="538"/>
      <c r="H291" s="538"/>
      <c r="I291" s="538"/>
      <c r="J291" s="538"/>
      <c r="K291" s="538"/>
      <c r="L291" s="538"/>
      <c r="M291" s="538"/>
      <c r="N291" s="538"/>
      <c r="O291" s="538"/>
      <c r="P291" s="538"/>
      <c r="Q291" s="538"/>
      <c r="R291" s="538"/>
      <c r="S291" s="538"/>
      <c r="T291" s="538"/>
      <c r="U291" s="538"/>
      <c r="V291" s="538"/>
      <c r="W291" s="538"/>
      <c r="X291" s="538"/>
      <c r="Y291" s="538"/>
      <c r="Z291" s="538"/>
    </row>
    <row r="292" spans="1:26">
      <c r="A292" s="533">
        <v>10.003999999999998</v>
      </c>
      <c r="B292" s="540" t="s">
        <v>430</v>
      </c>
      <c r="C292" s="535">
        <v>1</v>
      </c>
      <c r="D292" s="535" t="s">
        <v>294</v>
      </c>
      <c r="E292" s="536">
        <f>Elec_Est!E790</f>
        <v>68.2</v>
      </c>
      <c r="F292" s="541">
        <f t="shared" si="11"/>
        <v>68.2</v>
      </c>
      <c r="G292" s="538"/>
      <c r="H292" s="538"/>
      <c r="I292" s="538"/>
      <c r="J292" s="538"/>
      <c r="K292" s="538"/>
      <c r="L292" s="538"/>
      <c r="M292" s="538"/>
      <c r="N292" s="538"/>
      <c r="O292" s="538"/>
      <c r="P292" s="538"/>
      <c r="Q292" s="538"/>
      <c r="R292" s="538"/>
      <c r="S292" s="538"/>
      <c r="T292" s="538"/>
      <c r="U292" s="538"/>
      <c r="V292" s="538"/>
      <c r="W292" s="538"/>
      <c r="X292" s="538"/>
      <c r="Y292" s="538"/>
      <c r="Z292" s="538"/>
    </row>
    <row r="293" spans="1:26">
      <c r="A293" s="533">
        <v>10.004999999999997</v>
      </c>
      <c r="B293" s="540" t="s">
        <v>431</v>
      </c>
      <c r="C293" s="535">
        <v>2</v>
      </c>
      <c r="D293" s="535" t="s">
        <v>294</v>
      </c>
      <c r="E293" s="536">
        <f>Elec_Est!E796</f>
        <v>55.13</v>
      </c>
      <c r="F293" s="541">
        <f t="shared" ref="F293" si="12">C293*E293</f>
        <v>110.26</v>
      </c>
      <c r="G293" s="538"/>
      <c r="H293" s="538"/>
      <c r="I293" s="538"/>
      <c r="J293" s="538"/>
      <c r="K293" s="538"/>
      <c r="L293" s="538"/>
      <c r="M293" s="538"/>
      <c r="N293" s="538"/>
      <c r="O293" s="538"/>
      <c r="P293" s="538"/>
      <c r="Q293" s="538"/>
      <c r="R293" s="538"/>
      <c r="S293" s="538"/>
      <c r="T293" s="538"/>
      <c r="U293" s="538"/>
      <c r="V293" s="538"/>
      <c r="W293" s="538"/>
      <c r="X293" s="538"/>
      <c r="Y293" s="538"/>
      <c r="Z293" s="538"/>
    </row>
    <row r="294" spans="1:26" ht="27">
      <c r="A294" s="555"/>
      <c r="B294" s="556" t="s">
        <v>432</v>
      </c>
      <c r="C294" s="557"/>
      <c r="D294" s="557"/>
      <c r="E294" s="558"/>
      <c r="F294" s="571">
        <f>SUM(F285:F293)</f>
        <v>325.40999999999997</v>
      </c>
      <c r="G294" s="538"/>
      <c r="H294" s="538"/>
      <c r="I294" s="538"/>
      <c r="J294" s="538"/>
      <c r="K294" s="538"/>
      <c r="L294" s="538"/>
      <c r="M294" s="538"/>
      <c r="N294" s="538"/>
      <c r="O294" s="538"/>
      <c r="P294" s="538"/>
      <c r="Q294" s="538"/>
      <c r="R294" s="538"/>
      <c r="S294" s="538"/>
      <c r="T294" s="538"/>
      <c r="U294" s="538"/>
      <c r="V294" s="538"/>
      <c r="W294" s="538"/>
      <c r="X294" s="538"/>
      <c r="Y294" s="538"/>
      <c r="Z294" s="538"/>
    </row>
    <row r="295" spans="1:26" s="549" customFormat="1" ht="27" customHeight="1">
      <c r="A295" s="533"/>
      <c r="B295" s="553"/>
      <c r="C295" s="535"/>
      <c r="D295" s="535"/>
      <c r="E295" s="536"/>
      <c r="F295" s="541"/>
      <c r="G295" s="548"/>
      <c r="H295" s="548"/>
      <c r="I295" s="548"/>
      <c r="J295" s="548"/>
      <c r="K295" s="548"/>
      <c r="L295" s="548"/>
      <c r="M295" s="548"/>
      <c r="N295" s="548"/>
      <c r="O295" s="548"/>
      <c r="P295" s="548"/>
      <c r="Q295" s="548"/>
      <c r="R295" s="548"/>
      <c r="S295" s="548"/>
      <c r="T295" s="548"/>
      <c r="U295" s="548"/>
      <c r="V295" s="548"/>
      <c r="W295" s="548"/>
      <c r="X295" s="548"/>
      <c r="Y295" s="548"/>
      <c r="Z295" s="548"/>
    </row>
    <row r="296" spans="1:26" s="549" customFormat="1" ht="27" customHeight="1">
      <c r="A296" s="533"/>
      <c r="B296" s="540"/>
      <c r="C296" s="535"/>
      <c r="D296" s="535"/>
      <c r="E296" s="536"/>
      <c r="F296" s="541"/>
      <c r="G296" s="548"/>
      <c r="H296" s="548"/>
      <c r="I296" s="548"/>
      <c r="J296" s="548"/>
      <c r="K296" s="548"/>
      <c r="L296" s="548"/>
      <c r="M296" s="548"/>
      <c r="N296" s="548"/>
      <c r="O296" s="548"/>
      <c r="P296" s="548"/>
      <c r="Q296" s="548"/>
      <c r="R296" s="548"/>
      <c r="S296" s="548"/>
      <c r="T296" s="548"/>
      <c r="U296" s="548"/>
      <c r="V296" s="548"/>
      <c r="W296" s="548"/>
      <c r="X296" s="548"/>
      <c r="Y296" s="548"/>
      <c r="Z296" s="548"/>
    </row>
    <row r="297" spans="1:26">
      <c r="B297" s="542" t="s">
        <v>433</v>
      </c>
      <c r="G297" s="538"/>
      <c r="H297" s="538"/>
      <c r="I297" s="538"/>
      <c r="J297" s="538"/>
      <c r="K297" s="538"/>
      <c r="L297" s="538"/>
      <c r="M297" s="538"/>
      <c r="N297" s="538"/>
      <c r="O297" s="538"/>
      <c r="P297" s="538"/>
      <c r="Q297" s="538"/>
      <c r="R297" s="538"/>
      <c r="S297" s="538"/>
      <c r="T297" s="538"/>
      <c r="U297" s="538"/>
      <c r="V297" s="538"/>
      <c r="W297" s="538"/>
      <c r="X297" s="538"/>
      <c r="Y297" s="538"/>
      <c r="Z297" s="538"/>
    </row>
    <row r="298" spans="1:26" ht="27">
      <c r="A298" s="585" t="s">
        <v>136</v>
      </c>
      <c r="B298" s="586" t="s">
        <v>177</v>
      </c>
      <c r="C298" s="587" t="s">
        <v>178</v>
      </c>
      <c r="D298" s="587" t="s">
        <v>179</v>
      </c>
      <c r="E298" s="588" t="s">
        <v>250</v>
      </c>
      <c r="F298" s="589" t="s">
        <v>251</v>
      </c>
      <c r="G298" s="538"/>
      <c r="H298" s="538"/>
      <c r="I298" s="538"/>
      <c r="J298" s="538"/>
      <c r="K298" s="538"/>
      <c r="L298" s="538"/>
      <c r="M298" s="538"/>
      <c r="N298" s="538"/>
      <c r="O298" s="538"/>
      <c r="P298" s="538"/>
      <c r="Q298" s="538"/>
      <c r="R298" s="538"/>
      <c r="S298" s="538"/>
      <c r="T298" s="538"/>
      <c r="U298" s="538"/>
      <c r="V298" s="538"/>
      <c r="W298" s="538"/>
      <c r="X298" s="538"/>
      <c r="Y298" s="538"/>
      <c r="Z298" s="538"/>
    </row>
    <row r="299" spans="1:26" ht="27">
      <c r="A299" s="590">
        <v>11</v>
      </c>
      <c r="B299" s="591" t="s">
        <v>279</v>
      </c>
      <c r="C299" s="592">
        <v>1</v>
      </c>
      <c r="D299" s="592" t="s">
        <v>255</v>
      </c>
      <c r="E299" s="593" t="s">
        <v>256</v>
      </c>
      <c r="F299" s="594" t="s">
        <v>256</v>
      </c>
      <c r="G299" s="538"/>
      <c r="H299" s="538"/>
      <c r="I299" s="538"/>
      <c r="J299" s="538"/>
      <c r="K299" s="538"/>
      <c r="L299" s="538"/>
      <c r="M299" s="538"/>
      <c r="N299" s="538"/>
      <c r="O299" s="538"/>
      <c r="P299" s="538"/>
      <c r="Q299" s="538"/>
      <c r="R299" s="538"/>
      <c r="S299" s="538"/>
      <c r="T299" s="538"/>
      <c r="U299" s="538"/>
      <c r="V299" s="538"/>
      <c r="W299" s="538"/>
      <c r="X299" s="538"/>
      <c r="Y299" s="538"/>
      <c r="Z299" s="538"/>
    </row>
    <row r="300" spans="1:26" ht="40.200000000000003">
      <c r="A300" s="590" t="s">
        <v>481</v>
      </c>
      <c r="B300" s="595" t="s">
        <v>434</v>
      </c>
      <c r="C300" s="592"/>
      <c r="D300" s="592"/>
      <c r="E300" s="593"/>
      <c r="F300" s="594">
        <f t="shared" ref="F300:F346" si="13">C300*E300</f>
        <v>0</v>
      </c>
      <c r="G300" s="538"/>
      <c r="H300" s="538"/>
      <c r="I300" s="538"/>
      <c r="J300" s="538"/>
      <c r="K300" s="538"/>
      <c r="L300" s="538"/>
      <c r="M300" s="538"/>
      <c r="N300" s="538"/>
      <c r="O300" s="538"/>
      <c r="P300" s="538"/>
      <c r="Q300" s="538"/>
      <c r="R300" s="538"/>
      <c r="S300" s="538"/>
      <c r="T300" s="538"/>
      <c r="U300" s="538"/>
      <c r="V300" s="538"/>
      <c r="W300" s="538"/>
      <c r="X300" s="538"/>
      <c r="Y300" s="538"/>
      <c r="Z300" s="538"/>
    </row>
    <row r="301" spans="1:26">
      <c r="A301" s="590"/>
      <c r="B301" s="591"/>
      <c r="C301" s="592"/>
      <c r="D301" s="592"/>
      <c r="E301" s="593"/>
      <c r="F301" s="594">
        <f t="shared" si="13"/>
        <v>0</v>
      </c>
      <c r="G301" s="538"/>
      <c r="H301" s="538"/>
      <c r="I301" s="538"/>
      <c r="J301" s="538"/>
      <c r="K301" s="538"/>
      <c r="L301" s="538"/>
      <c r="M301" s="538"/>
      <c r="N301" s="538"/>
      <c r="O301" s="538"/>
      <c r="P301" s="538"/>
      <c r="Q301" s="538"/>
      <c r="R301" s="538"/>
      <c r="S301" s="538"/>
      <c r="T301" s="538"/>
      <c r="U301" s="538"/>
      <c r="V301" s="538"/>
      <c r="W301" s="538"/>
      <c r="X301" s="538"/>
      <c r="Y301" s="538"/>
      <c r="Z301" s="538"/>
    </row>
    <row r="302" spans="1:26" ht="27">
      <c r="A302" s="590">
        <v>11.000999999999999</v>
      </c>
      <c r="B302" s="591" t="s">
        <v>487</v>
      </c>
      <c r="C302" s="608">
        <v>25</v>
      </c>
      <c r="D302" s="592" t="s">
        <v>284</v>
      </c>
      <c r="E302" s="593"/>
      <c r="F302" s="594">
        <f t="shared" si="13"/>
        <v>0</v>
      </c>
      <c r="G302" s="538"/>
      <c r="H302" s="538"/>
      <c r="I302" s="538"/>
      <c r="J302" s="538"/>
      <c r="K302" s="538"/>
      <c r="L302" s="538"/>
      <c r="M302" s="538"/>
      <c r="N302" s="538"/>
      <c r="O302" s="538"/>
      <c r="P302" s="538"/>
      <c r="Q302" s="538"/>
      <c r="R302" s="538"/>
      <c r="S302" s="538"/>
      <c r="T302" s="538"/>
      <c r="U302" s="538"/>
      <c r="V302" s="538"/>
      <c r="W302" s="538"/>
      <c r="X302" s="538"/>
      <c r="Y302" s="538"/>
      <c r="Z302" s="538"/>
    </row>
    <row r="303" spans="1:26">
      <c r="A303" s="590"/>
      <c r="B303" s="591"/>
      <c r="C303" s="608"/>
      <c r="D303" s="592"/>
      <c r="E303" s="593"/>
      <c r="F303" s="594">
        <f t="shared" si="13"/>
        <v>0</v>
      </c>
      <c r="G303" s="538"/>
      <c r="H303" s="538"/>
      <c r="I303" s="538"/>
      <c r="J303" s="538"/>
      <c r="K303" s="538"/>
      <c r="L303" s="538"/>
      <c r="M303" s="538"/>
      <c r="N303" s="538"/>
      <c r="O303" s="538"/>
      <c r="P303" s="538"/>
      <c r="Q303" s="538"/>
      <c r="R303" s="538"/>
      <c r="S303" s="538"/>
      <c r="T303" s="538"/>
      <c r="U303" s="538"/>
      <c r="V303" s="538"/>
      <c r="W303" s="538"/>
      <c r="X303" s="538"/>
      <c r="Y303" s="538"/>
      <c r="Z303" s="538"/>
    </row>
    <row r="304" spans="1:26" ht="53.4">
      <c r="A304" s="590">
        <v>11.001999999999999</v>
      </c>
      <c r="B304" s="591" t="s">
        <v>488</v>
      </c>
      <c r="C304" s="608">
        <v>1</v>
      </c>
      <c r="D304" s="592" t="s">
        <v>255</v>
      </c>
      <c r="E304" s="593"/>
      <c r="F304" s="594">
        <f t="shared" si="13"/>
        <v>0</v>
      </c>
      <c r="G304" s="538"/>
      <c r="H304" s="538"/>
      <c r="I304" s="538"/>
      <c r="J304" s="538"/>
      <c r="K304" s="538"/>
      <c r="L304" s="538"/>
      <c r="M304" s="538"/>
      <c r="N304" s="538"/>
      <c r="O304" s="538"/>
      <c r="P304" s="538"/>
      <c r="Q304" s="538"/>
      <c r="R304" s="538"/>
      <c r="S304" s="538"/>
      <c r="T304" s="538"/>
      <c r="U304" s="538"/>
      <c r="V304" s="538"/>
      <c r="W304" s="538"/>
      <c r="X304" s="538"/>
      <c r="Y304" s="538"/>
      <c r="Z304" s="538"/>
    </row>
    <row r="305" spans="1:26" ht="27">
      <c r="A305" s="590"/>
      <c r="B305" s="595" t="s">
        <v>435</v>
      </c>
      <c r="C305" s="608"/>
      <c r="D305" s="592"/>
      <c r="E305" s="593"/>
      <c r="F305" s="594">
        <f t="shared" si="13"/>
        <v>0</v>
      </c>
      <c r="G305" s="538"/>
      <c r="H305" s="538"/>
      <c r="I305" s="538"/>
      <c r="J305" s="538"/>
      <c r="K305" s="538"/>
      <c r="L305" s="538"/>
      <c r="M305" s="538"/>
      <c r="N305" s="538"/>
      <c r="O305" s="538"/>
      <c r="P305" s="538"/>
      <c r="Q305" s="538"/>
      <c r="R305" s="538"/>
      <c r="S305" s="538"/>
      <c r="T305" s="538"/>
      <c r="U305" s="538"/>
      <c r="V305" s="538"/>
      <c r="W305" s="538"/>
      <c r="X305" s="538"/>
      <c r="Y305" s="538"/>
      <c r="Z305" s="538"/>
    </row>
    <row r="306" spans="1:26">
      <c r="A306" s="590">
        <v>11.002999999999998</v>
      </c>
      <c r="B306" s="591" t="s">
        <v>436</v>
      </c>
      <c r="C306" s="608">
        <v>3</v>
      </c>
      <c r="D306" s="592" t="s">
        <v>255</v>
      </c>
      <c r="E306" s="593"/>
      <c r="F306" s="594">
        <f t="shared" si="13"/>
        <v>0</v>
      </c>
      <c r="G306" s="538"/>
      <c r="H306" s="538"/>
      <c r="I306" s="538"/>
      <c r="J306" s="538"/>
      <c r="K306" s="538"/>
      <c r="L306" s="538"/>
      <c r="M306" s="538"/>
      <c r="N306" s="538"/>
      <c r="O306" s="538"/>
      <c r="P306" s="538"/>
      <c r="Q306" s="538"/>
      <c r="R306" s="538"/>
      <c r="S306" s="538"/>
      <c r="T306" s="538"/>
      <c r="U306" s="538"/>
      <c r="V306" s="538"/>
      <c r="W306" s="538"/>
      <c r="X306" s="538"/>
      <c r="Y306" s="538"/>
      <c r="Z306" s="538"/>
    </row>
    <row r="307" spans="1:26" ht="40.200000000000003">
      <c r="A307" s="590" t="s">
        <v>481</v>
      </c>
      <c r="B307" s="595" t="s">
        <v>437</v>
      </c>
      <c r="C307" s="608"/>
      <c r="D307" s="592"/>
      <c r="E307" s="593"/>
      <c r="F307" s="594">
        <f t="shared" si="13"/>
        <v>0</v>
      </c>
      <c r="G307" s="538"/>
      <c r="H307" s="538"/>
      <c r="I307" s="538"/>
      <c r="J307" s="538"/>
      <c r="K307" s="538"/>
      <c r="L307" s="538"/>
      <c r="M307" s="538"/>
      <c r="N307" s="538"/>
      <c r="O307" s="538"/>
      <c r="P307" s="538"/>
      <c r="Q307" s="538"/>
      <c r="R307" s="538"/>
      <c r="S307" s="538"/>
      <c r="T307" s="538"/>
      <c r="U307" s="538"/>
      <c r="V307" s="538"/>
      <c r="W307" s="538"/>
      <c r="X307" s="538"/>
      <c r="Y307" s="538"/>
      <c r="Z307" s="538"/>
    </row>
    <row r="308" spans="1:26">
      <c r="A308" s="590">
        <v>11.003999999999998</v>
      </c>
      <c r="B308" s="591" t="s">
        <v>438</v>
      </c>
      <c r="C308" s="608">
        <v>1</v>
      </c>
      <c r="D308" s="592" t="s">
        <v>294</v>
      </c>
      <c r="E308" s="593"/>
      <c r="F308" s="594">
        <f t="shared" si="13"/>
        <v>0</v>
      </c>
      <c r="G308" s="538"/>
      <c r="H308" s="538"/>
      <c r="I308" s="538"/>
      <c r="J308" s="538"/>
      <c r="K308" s="538"/>
      <c r="L308" s="538"/>
      <c r="M308" s="538"/>
      <c r="N308" s="538"/>
      <c r="O308" s="538"/>
      <c r="P308" s="538"/>
      <c r="Q308" s="538"/>
      <c r="R308" s="538"/>
      <c r="S308" s="538"/>
      <c r="T308" s="538"/>
      <c r="U308" s="538"/>
      <c r="V308" s="538"/>
      <c r="W308" s="538"/>
      <c r="X308" s="538"/>
      <c r="Y308" s="538"/>
      <c r="Z308" s="538"/>
    </row>
    <row r="309" spans="1:26">
      <c r="A309" s="590">
        <v>11.004999999999997</v>
      </c>
      <c r="B309" s="591" t="s">
        <v>439</v>
      </c>
      <c r="C309" s="608">
        <v>1</v>
      </c>
      <c r="D309" s="592" t="s">
        <v>294</v>
      </c>
      <c r="E309" s="593"/>
      <c r="F309" s="594">
        <f t="shared" si="13"/>
        <v>0</v>
      </c>
      <c r="G309" s="538"/>
      <c r="H309" s="538"/>
      <c r="I309" s="538"/>
      <c r="J309" s="538"/>
      <c r="K309" s="538"/>
      <c r="L309" s="538"/>
      <c r="M309" s="538"/>
      <c r="N309" s="538"/>
      <c r="O309" s="538"/>
      <c r="P309" s="538"/>
      <c r="Q309" s="538"/>
      <c r="R309" s="538"/>
      <c r="S309" s="538"/>
      <c r="T309" s="538"/>
      <c r="U309" s="538"/>
      <c r="V309" s="538"/>
      <c r="W309" s="538"/>
      <c r="X309" s="538"/>
      <c r="Y309" s="538"/>
      <c r="Z309" s="538"/>
    </row>
    <row r="310" spans="1:26">
      <c r="A310" s="590">
        <v>11.005999999999997</v>
      </c>
      <c r="B310" s="591" t="s">
        <v>440</v>
      </c>
      <c r="C310" s="608">
        <v>1</v>
      </c>
      <c r="D310" s="592" t="s">
        <v>294</v>
      </c>
      <c r="E310" s="593"/>
      <c r="F310" s="594">
        <f t="shared" si="13"/>
        <v>0</v>
      </c>
      <c r="G310" s="538"/>
      <c r="H310" s="538"/>
      <c r="I310" s="538"/>
      <c r="J310" s="538"/>
      <c r="K310" s="538"/>
      <c r="L310" s="538"/>
      <c r="M310" s="538"/>
      <c r="N310" s="538"/>
      <c r="O310" s="538"/>
      <c r="P310" s="538"/>
      <c r="Q310" s="538"/>
      <c r="R310" s="538"/>
      <c r="S310" s="538"/>
      <c r="T310" s="538"/>
      <c r="U310" s="538"/>
      <c r="V310" s="538"/>
      <c r="W310" s="538"/>
      <c r="X310" s="538"/>
      <c r="Y310" s="538"/>
      <c r="Z310" s="538"/>
    </row>
    <row r="311" spans="1:26">
      <c r="A311" s="590">
        <v>11.006999999999996</v>
      </c>
      <c r="B311" s="591" t="s">
        <v>441</v>
      </c>
      <c r="C311" s="608">
        <v>1</v>
      </c>
      <c r="D311" s="592" t="s">
        <v>294</v>
      </c>
      <c r="E311" s="593"/>
      <c r="F311" s="594">
        <f t="shared" si="13"/>
        <v>0</v>
      </c>
      <c r="G311" s="538"/>
      <c r="H311" s="538"/>
      <c r="I311" s="538"/>
      <c r="J311" s="538"/>
      <c r="K311" s="538"/>
      <c r="L311" s="538"/>
      <c r="M311" s="538"/>
      <c r="N311" s="538"/>
      <c r="O311" s="538"/>
      <c r="P311" s="538"/>
      <c r="Q311" s="538"/>
      <c r="R311" s="538"/>
      <c r="S311" s="538"/>
      <c r="T311" s="538"/>
      <c r="U311" s="538"/>
      <c r="V311" s="538"/>
      <c r="W311" s="538"/>
      <c r="X311" s="538"/>
      <c r="Y311" s="538"/>
      <c r="Z311" s="538"/>
    </row>
    <row r="312" spans="1:26">
      <c r="A312" s="590">
        <v>11.007999999999996</v>
      </c>
      <c r="B312" s="591" t="s">
        <v>442</v>
      </c>
      <c r="C312" s="608">
        <v>1</v>
      </c>
      <c r="D312" s="592" t="s">
        <v>294</v>
      </c>
      <c r="E312" s="593"/>
      <c r="F312" s="594">
        <f t="shared" si="13"/>
        <v>0</v>
      </c>
      <c r="G312" s="538"/>
      <c r="H312" s="538"/>
      <c r="I312" s="538"/>
      <c r="J312" s="538"/>
      <c r="K312" s="538"/>
      <c r="L312" s="538"/>
      <c r="M312" s="538"/>
      <c r="N312" s="538"/>
      <c r="O312" s="538"/>
      <c r="P312" s="538"/>
      <c r="Q312" s="538"/>
      <c r="R312" s="538"/>
      <c r="S312" s="538"/>
      <c r="T312" s="538"/>
      <c r="U312" s="538"/>
      <c r="V312" s="538"/>
      <c r="W312" s="538"/>
      <c r="X312" s="538"/>
      <c r="Y312" s="538"/>
      <c r="Z312" s="538"/>
    </row>
    <row r="313" spans="1:26">
      <c r="A313" s="590">
        <v>11.008999999999995</v>
      </c>
      <c r="B313" s="591" t="s">
        <v>443</v>
      </c>
      <c r="C313" s="608">
        <v>1</v>
      </c>
      <c r="D313" s="592" t="s">
        <v>294</v>
      </c>
      <c r="E313" s="593"/>
      <c r="F313" s="594">
        <f t="shared" si="13"/>
        <v>0</v>
      </c>
      <c r="G313" s="538"/>
      <c r="H313" s="538"/>
      <c r="I313" s="538"/>
      <c r="J313" s="538"/>
      <c r="K313" s="538"/>
      <c r="L313" s="538"/>
      <c r="M313" s="538"/>
      <c r="N313" s="538"/>
      <c r="O313" s="538"/>
      <c r="P313" s="538"/>
      <c r="Q313" s="538"/>
      <c r="R313" s="538"/>
      <c r="S313" s="538"/>
      <c r="T313" s="538"/>
      <c r="U313" s="538"/>
      <c r="V313" s="538"/>
      <c r="W313" s="538"/>
      <c r="X313" s="538"/>
      <c r="Y313" s="538"/>
      <c r="Z313" s="538"/>
    </row>
    <row r="314" spans="1:26">
      <c r="A314" s="590">
        <v>11.009999999999994</v>
      </c>
      <c r="B314" s="591" t="s">
        <v>444</v>
      </c>
      <c r="C314" s="608">
        <v>1</v>
      </c>
      <c r="D314" s="592" t="s">
        <v>294</v>
      </c>
      <c r="E314" s="593"/>
      <c r="F314" s="594">
        <f t="shared" si="13"/>
        <v>0</v>
      </c>
      <c r="G314" s="538"/>
      <c r="H314" s="538"/>
      <c r="I314" s="538"/>
      <c r="J314" s="538"/>
      <c r="K314" s="538"/>
      <c r="L314" s="538"/>
      <c r="M314" s="538"/>
      <c r="N314" s="538"/>
      <c r="O314" s="538"/>
      <c r="P314" s="538"/>
      <c r="Q314" s="538"/>
      <c r="R314" s="538"/>
      <c r="S314" s="538"/>
      <c r="T314" s="538"/>
      <c r="U314" s="538"/>
      <c r="V314" s="538"/>
      <c r="W314" s="538"/>
      <c r="X314" s="538"/>
      <c r="Y314" s="538"/>
      <c r="Z314" s="538"/>
    </row>
    <row r="315" spans="1:26">
      <c r="A315" s="590" t="s">
        <v>481</v>
      </c>
      <c r="B315" s="591"/>
      <c r="C315" s="608"/>
      <c r="D315" s="592"/>
      <c r="E315" s="593"/>
      <c r="F315" s="594">
        <f t="shared" si="13"/>
        <v>0</v>
      </c>
      <c r="G315" s="538"/>
      <c r="H315" s="538"/>
      <c r="I315" s="538"/>
      <c r="J315" s="538"/>
      <c r="K315" s="538"/>
      <c r="L315" s="538"/>
      <c r="M315" s="538"/>
      <c r="N315" s="538"/>
      <c r="O315" s="538"/>
      <c r="P315" s="538"/>
      <c r="Q315" s="538"/>
      <c r="R315" s="538"/>
      <c r="S315" s="538"/>
      <c r="T315" s="538"/>
      <c r="U315" s="538"/>
      <c r="V315" s="538"/>
      <c r="W315" s="538"/>
      <c r="X315" s="538"/>
      <c r="Y315" s="538"/>
      <c r="Z315" s="538"/>
    </row>
    <row r="316" spans="1:26">
      <c r="A316" s="590" t="s">
        <v>481</v>
      </c>
      <c r="B316" s="595" t="s">
        <v>445</v>
      </c>
      <c r="C316" s="608"/>
      <c r="D316" s="592"/>
      <c r="E316" s="593"/>
      <c r="F316" s="594">
        <f t="shared" si="13"/>
        <v>0</v>
      </c>
      <c r="G316" s="538"/>
      <c r="H316" s="538"/>
      <c r="I316" s="538"/>
      <c r="J316" s="538"/>
      <c r="K316" s="538"/>
      <c r="L316" s="538"/>
      <c r="M316" s="538"/>
      <c r="N316" s="538"/>
      <c r="O316" s="538"/>
      <c r="P316" s="538"/>
      <c r="Q316" s="538"/>
      <c r="R316" s="538"/>
      <c r="S316" s="538"/>
      <c r="T316" s="538"/>
      <c r="U316" s="538"/>
      <c r="V316" s="538"/>
      <c r="W316" s="538"/>
      <c r="X316" s="538"/>
      <c r="Y316" s="538"/>
      <c r="Z316" s="538"/>
    </row>
    <row r="317" spans="1:26">
      <c r="A317" s="590">
        <v>11.010999999999994</v>
      </c>
      <c r="B317" s="591" t="s">
        <v>446</v>
      </c>
      <c r="C317" s="608">
        <v>1</v>
      </c>
      <c r="D317" s="592" t="s">
        <v>294</v>
      </c>
      <c r="E317" s="593"/>
      <c r="F317" s="594">
        <f t="shared" si="13"/>
        <v>0</v>
      </c>
      <c r="G317" s="538"/>
      <c r="H317" s="538"/>
      <c r="I317" s="538"/>
      <c r="J317" s="538"/>
      <c r="K317" s="538"/>
      <c r="L317" s="538"/>
      <c r="M317" s="538"/>
      <c r="N317" s="538"/>
      <c r="O317" s="538"/>
      <c r="P317" s="538"/>
      <c r="Q317" s="538"/>
      <c r="R317" s="538"/>
      <c r="S317" s="538"/>
      <c r="T317" s="538"/>
      <c r="U317" s="538"/>
      <c r="V317" s="538"/>
      <c r="W317" s="538"/>
      <c r="X317" s="538"/>
      <c r="Y317" s="538"/>
      <c r="Z317" s="538"/>
    </row>
    <row r="318" spans="1:26">
      <c r="A318" s="590">
        <v>11.011999999999993</v>
      </c>
      <c r="B318" s="591" t="s">
        <v>447</v>
      </c>
      <c r="C318" s="608">
        <v>1</v>
      </c>
      <c r="D318" s="592" t="s">
        <v>294</v>
      </c>
      <c r="E318" s="593"/>
      <c r="F318" s="594">
        <f t="shared" si="13"/>
        <v>0</v>
      </c>
      <c r="G318" s="538"/>
      <c r="H318" s="538"/>
      <c r="I318" s="538"/>
      <c r="J318" s="538"/>
      <c r="K318" s="538"/>
      <c r="L318" s="538"/>
      <c r="M318" s="538"/>
      <c r="N318" s="538"/>
      <c r="O318" s="538"/>
      <c r="P318" s="538"/>
      <c r="Q318" s="538"/>
      <c r="R318" s="538"/>
      <c r="S318" s="538"/>
      <c r="T318" s="538"/>
      <c r="U318" s="538"/>
      <c r="V318" s="538"/>
      <c r="W318" s="538"/>
      <c r="X318" s="538"/>
      <c r="Y318" s="538"/>
      <c r="Z318" s="538"/>
    </row>
    <row r="319" spans="1:26">
      <c r="A319" s="590">
        <v>11.012999999999993</v>
      </c>
      <c r="B319" s="591" t="s">
        <v>448</v>
      </c>
      <c r="C319" s="608">
        <v>1</v>
      </c>
      <c r="D319" s="592" t="s">
        <v>294</v>
      </c>
      <c r="E319" s="593"/>
      <c r="F319" s="594">
        <f t="shared" si="13"/>
        <v>0</v>
      </c>
      <c r="G319" s="538"/>
      <c r="H319" s="538"/>
      <c r="I319" s="538"/>
      <c r="J319" s="538"/>
      <c r="K319" s="538"/>
      <c r="L319" s="538"/>
      <c r="M319" s="538"/>
      <c r="N319" s="538"/>
      <c r="O319" s="538"/>
      <c r="P319" s="538"/>
      <c r="Q319" s="538"/>
      <c r="R319" s="538"/>
      <c r="S319" s="538"/>
      <c r="T319" s="538"/>
      <c r="U319" s="538"/>
      <c r="V319" s="538"/>
      <c r="W319" s="538"/>
      <c r="X319" s="538"/>
      <c r="Y319" s="538"/>
      <c r="Z319" s="538"/>
    </row>
    <row r="320" spans="1:26">
      <c r="A320" s="590">
        <v>11.013999999999992</v>
      </c>
      <c r="B320" s="591" t="s">
        <v>449</v>
      </c>
      <c r="C320" s="608">
        <v>1</v>
      </c>
      <c r="D320" s="592" t="s">
        <v>294</v>
      </c>
      <c r="E320" s="593"/>
      <c r="F320" s="594">
        <f t="shared" si="13"/>
        <v>0</v>
      </c>
      <c r="G320" s="538"/>
      <c r="H320" s="538"/>
      <c r="I320" s="538"/>
      <c r="J320" s="538"/>
      <c r="K320" s="538"/>
      <c r="L320" s="538"/>
      <c r="M320" s="538"/>
      <c r="N320" s="538"/>
      <c r="O320" s="538"/>
      <c r="P320" s="538"/>
      <c r="Q320" s="538"/>
      <c r="R320" s="538"/>
      <c r="S320" s="538"/>
      <c r="T320" s="538"/>
      <c r="U320" s="538"/>
      <c r="V320" s="538"/>
      <c r="W320" s="538"/>
      <c r="X320" s="538"/>
      <c r="Y320" s="538"/>
      <c r="Z320" s="538"/>
    </row>
    <row r="321" spans="1:26">
      <c r="A321" s="590" t="s">
        <v>481</v>
      </c>
      <c r="B321" s="601"/>
      <c r="C321" s="608"/>
      <c r="D321" s="592"/>
      <c r="E321" s="593"/>
      <c r="F321" s="594">
        <f t="shared" si="13"/>
        <v>0</v>
      </c>
      <c r="G321" s="538"/>
      <c r="H321" s="538"/>
      <c r="I321" s="538"/>
      <c r="J321" s="538"/>
      <c r="K321" s="538"/>
      <c r="L321" s="538"/>
      <c r="M321" s="538"/>
      <c r="N321" s="538"/>
      <c r="O321" s="538"/>
      <c r="P321" s="538"/>
      <c r="Q321" s="538"/>
      <c r="R321" s="538"/>
      <c r="S321" s="538"/>
      <c r="T321" s="538"/>
      <c r="U321" s="538"/>
      <c r="V321" s="538"/>
      <c r="W321" s="538"/>
      <c r="X321" s="538"/>
      <c r="Y321" s="538"/>
      <c r="Z321" s="538"/>
    </row>
    <row r="322" spans="1:26">
      <c r="A322" s="590" t="s">
        <v>481</v>
      </c>
      <c r="B322" s="595" t="s">
        <v>450</v>
      </c>
      <c r="C322" s="608"/>
      <c r="D322" s="592"/>
      <c r="E322" s="593"/>
      <c r="F322" s="594">
        <f t="shared" si="13"/>
        <v>0</v>
      </c>
      <c r="G322" s="538"/>
      <c r="H322" s="538"/>
      <c r="I322" s="538"/>
      <c r="J322" s="538"/>
      <c r="K322" s="538"/>
      <c r="L322" s="538"/>
      <c r="M322" s="538"/>
      <c r="N322" s="538"/>
      <c r="O322" s="538"/>
      <c r="P322" s="538"/>
      <c r="Q322" s="538"/>
      <c r="R322" s="538"/>
      <c r="S322" s="538"/>
      <c r="T322" s="538"/>
      <c r="U322" s="538"/>
      <c r="V322" s="538"/>
      <c r="W322" s="538"/>
      <c r="X322" s="538"/>
      <c r="Y322" s="538"/>
      <c r="Z322" s="538"/>
    </row>
    <row r="323" spans="1:26">
      <c r="A323" s="590">
        <v>11.014999999999992</v>
      </c>
      <c r="B323" s="591" t="s">
        <v>451</v>
      </c>
      <c r="C323" s="608">
        <v>1</v>
      </c>
      <c r="D323" s="592" t="s">
        <v>294</v>
      </c>
      <c r="E323" s="593"/>
      <c r="F323" s="594">
        <f t="shared" si="13"/>
        <v>0</v>
      </c>
      <c r="G323" s="538"/>
      <c r="H323" s="538"/>
      <c r="I323" s="538"/>
      <c r="J323" s="538"/>
      <c r="K323" s="538"/>
      <c r="L323" s="538"/>
      <c r="M323" s="538"/>
      <c r="N323" s="538"/>
      <c r="O323" s="538"/>
      <c r="P323" s="538"/>
      <c r="Q323" s="538"/>
      <c r="R323" s="538"/>
      <c r="S323" s="538"/>
      <c r="T323" s="538"/>
      <c r="U323" s="538"/>
      <c r="V323" s="538"/>
      <c r="W323" s="538"/>
      <c r="X323" s="538"/>
      <c r="Y323" s="538"/>
      <c r="Z323" s="538"/>
    </row>
    <row r="324" spans="1:26">
      <c r="A324" s="590">
        <v>11.015999999999991</v>
      </c>
      <c r="B324" s="591" t="s">
        <v>452</v>
      </c>
      <c r="C324" s="608">
        <v>1</v>
      </c>
      <c r="D324" s="592" t="s">
        <v>294</v>
      </c>
      <c r="E324" s="593"/>
      <c r="F324" s="594">
        <f t="shared" si="13"/>
        <v>0</v>
      </c>
      <c r="G324" s="538"/>
      <c r="H324" s="538"/>
      <c r="I324" s="538"/>
      <c r="J324" s="538"/>
      <c r="K324" s="538"/>
      <c r="L324" s="538"/>
      <c r="M324" s="538"/>
      <c r="N324" s="538"/>
      <c r="O324" s="538"/>
      <c r="P324" s="538"/>
      <c r="Q324" s="538"/>
      <c r="R324" s="538"/>
      <c r="S324" s="538"/>
      <c r="T324" s="538"/>
      <c r="U324" s="538"/>
      <c r="V324" s="538"/>
      <c r="W324" s="538"/>
      <c r="X324" s="538"/>
      <c r="Y324" s="538"/>
      <c r="Z324" s="538"/>
    </row>
    <row r="325" spans="1:26">
      <c r="A325" s="590">
        <v>11.016999999999991</v>
      </c>
      <c r="B325" s="591" t="s">
        <v>453</v>
      </c>
      <c r="C325" s="608">
        <v>1</v>
      </c>
      <c r="D325" s="592" t="s">
        <v>294</v>
      </c>
      <c r="E325" s="593"/>
      <c r="F325" s="594">
        <f t="shared" si="13"/>
        <v>0</v>
      </c>
      <c r="G325" s="538"/>
      <c r="H325" s="538"/>
      <c r="I325" s="538"/>
      <c r="J325" s="538"/>
      <c r="K325" s="538"/>
      <c r="L325" s="538"/>
      <c r="M325" s="538"/>
      <c r="N325" s="538"/>
      <c r="O325" s="538"/>
      <c r="P325" s="538"/>
      <c r="Q325" s="538"/>
      <c r="R325" s="538"/>
      <c r="S325" s="538"/>
      <c r="T325" s="538"/>
      <c r="U325" s="538"/>
      <c r="V325" s="538"/>
      <c r="W325" s="538"/>
      <c r="X325" s="538"/>
      <c r="Y325" s="538"/>
      <c r="Z325" s="538"/>
    </row>
    <row r="326" spans="1:26">
      <c r="A326" s="590">
        <v>11.01799999999999</v>
      </c>
      <c r="B326" s="591" t="s">
        <v>454</v>
      </c>
      <c r="C326" s="608">
        <v>1</v>
      </c>
      <c r="D326" s="592" t="s">
        <v>294</v>
      </c>
      <c r="E326" s="593"/>
      <c r="F326" s="594">
        <f t="shared" si="13"/>
        <v>0</v>
      </c>
      <c r="G326" s="538"/>
      <c r="H326" s="538"/>
      <c r="I326" s="538"/>
      <c r="J326" s="538"/>
      <c r="K326" s="538"/>
      <c r="L326" s="538"/>
      <c r="M326" s="538"/>
      <c r="N326" s="538"/>
      <c r="O326" s="538"/>
      <c r="P326" s="538"/>
      <c r="Q326" s="538"/>
      <c r="R326" s="538"/>
      <c r="S326" s="538"/>
      <c r="T326" s="538"/>
      <c r="U326" s="538"/>
      <c r="V326" s="538"/>
      <c r="W326" s="538"/>
      <c r="X326" s="538"/>
      <c r="Y326" s="538"/>
      <c r="Z326" s="538"/>
    </row>
    <row r="327" spans="1:26">
      <c r="A327" s="590">
        <v>11.018999999999989</v>
      </c>
      <c r="B327" s="591" t="s">
        <v>455</v>
      </c>
      <c r="C327" s="608">
        <v>1</v>
      </c>
      <c r="D327" s="592" t="s">
        <v>294</v>
      </c>
      <c r="E327" s="593"/>
      <c r="F327" s="594">
        <f t="shared" si="13"/>
        <v>0</v>
      </c>
      <c r="G327" s="538"/>
      <c r="H327" s="538"/>
      <c r="I327" s="538"/>
      <c r="J327" s="538"/>
      <c r="K327" s="538"/>
      <c r="L327" s="538"/>
      <c r="M327" s="538"/>
      <c r="N327" s="538"/>
      <c r="O327" s="538"/>
      <c r="P327" s="538"/>
      <c r="Q327" s="538"/>
      <c r="R327" s="538"/>
      <c r="S327" s="538"/>
      <c r="T327" s="538"/>
      <c r="U327" s="538"/>
      <c r="V327" s="538"/>
      <c r="W327" s="538"/>
      <c r="X327" s="538"/>
      <c r="Y327" s="538"/>
      <c r="Z327" s="538"/>
    </row>
    <row r="328" spans="1:26">
      <c r="A328" s="590">
        <v>11.019999999999989</v>
      </c>
      <c r="B328" s="591" t="s">
        <v>444</v>
      </c>
      <c r="C328" s="608">
        <v>1</v>
      </c>
      <c r="D328" s="592" t="s">
        <v>294</v>
      </c>
      <c r="E328" s="593"/>
      <c r="F328" s="594">
        <f t="shared" si="13"/>
        <v>0</v>
      </c>
      <c r="G328" s="538"/>
      <c r="H328" s="538"/>
      <c r="I328" s="538"/>
      <c r="J328" s="538"/>
      <c r="K328" s="538"/>
      <c r="L328" s="538"/>
      <c r="M328" s="538"/>
      <c r="N328" s="538"/>
      <c r="O328" s="538"/>
      <c r="P328" s="538"/>
      <c r="Q328" s="538"/>
      <c r="R328" s="538"/>
      <c r="S328" s="538"/>
      <c r="T328" s="538"/>
      <c r="U328" s="538"/>
      <c r="V328" s="538"/>
      <c r="W328" s="538"/>
      <c r="X328" s="538"/>
      <c r="Y328" s="538"/>
      <c r="Z328" s="538"/>
    </row>
    <row r="329" spans="1:26">
      <c r="A329" s="590">
        <v>11.020999999999988</v>
      </c>
      <c r="B329" s="591" t="s">
        <v>443</v>
      </c>
      <c r="C329" s="608">
        <v>1</v>
      </c>
      <c r="D329" s="592" t="s">
        <v>294</v>
      </c>
      <c r="E329" s="593"/>
      <c r="F329" s="594">
        <f t="shared" si="13"/>
        <v>0</v>
      </c>
      <c r="G329" s="538"/>
      <c r="H329" s="538"/>
      <c r="I329" s="538"/>
      <c r="J329" s="538"/>
      <c r="K329" s="538"/>
      <c r="L329" s="538"/>
      <c r="M329" s="538"/>
      <c r="N329" s="538"/>
      <c r="O329" s="538"/>
      <c r="P329" s="538"/>
      <c r="Q329" s="538"/>
      <c r="R329" s="538"/>
      <c r="S329" s="538"/>
      <c r="T329" s="538"/>
      <c r="U329" s="538"/>
      <c r="V329" s="538"/>
      <c r="W329" s="538"/>
      <c r="X329" s="538"/>
      <c r="Y329" s="538"/>
      <c r="Z329" s="538"/>
    </row>
    <row r="330" spans="1:26">
      <c r="A330" s="590">
        <v>11.021999999999988</v>
      </c>
      <c r="B330" s="591" t="s">
        <v>456</v>
      </c>
      <c r="C330" s="608">
        <v>1</v>
      </c>
      <c r="D330" s="592" t="s">
        <v>294</v>
      </c>
      <c r="E330" s="593"/>
      <c r="F330" s="594">
        <f t="shared" si="13"/>
        <v>0</v>
      </c>
      <c r="G330" s="538"/>
      <c r="H330" s="538"/>
      <c r="I330" s="538"/>
      <c r="J330" s="538"/>
      <c r="K330" s="538"/>
      <c r="L330" s="538"/>
      <c r="M330" s="538"/>
      <c r="N330" s="538"/>
      <c r="O330" s="538"/>
      <c r="P330" s="538"/>
      <c r="Q330" s="538"/>
      <c r="R330" s="538"/>
      <c r="S330" s="538"/>
      <c r="T330" s="538"/>
      <c r="U330" s="538"/>
      <c r="V330" s="538"/>
      <c r="W330" s="538"/>
      <c r="X330" s="538"/>
      <c r="Y330" s="538"/>
      <c r="Z330" s="538"/>
    </row>
    <row r="331" spans="1:26">
      <c r="A331" s="590">
        <v>11.022999999999987</v>
      </c>
      <c r="B331" s="591" t="s">
        <v>457</v>
      </c>
      <c r="C331" s="608">
        <v>1</v>
      </c>
      <c r="D331" s="592" t="s">
        <v>294</v>
      </c>
      <c r="E331" s="593"/>
      <c r="F331" s="594">
        <f t="shared" si="13"/>
        <v>0</v>
      </c>
      <c r="G331" s="538"/>
      <c r="H331" s="538"/>
      <c r="I331" s="538"/>
      <c r="J331" s="538"/>
      <c r="K331" s="538"/>
      <c r="L331" s="538"/>
      <c r="M331" s="538"/>
      <c r="N331" s="538"/>
      <c r="O331" s="538"/>
      <c r="P331" s="538"/>
      <c r="Q331" s="538"/>
      <c r="R331" s="538"/>
      <c r="S331" s="538"/>
      <c r="T331" s="538"/>
      <c r="U331" s="538"/>
      <c r="V331" s="538"/>
      <c r="W331" s="538"/>
      <c r="X331" s="538"/>
      <c r="Y331" s="538"/>
      <c r="Z331" s="538"/>
    </row>
    <row r="332" spans="1:26">
      <c r="A332" s="590">
        <v>11.023999999999987</v>
      </c>
      <c r="B332" s="591" t="s">
        <v>458</v>
      </c>
      <c r="C332" s="608">
        <v>1</v>
      </c>
      <c r="D332" s="592" t="s">
        <v>294</v>
      </c>
      <c r="E332" s="593"/>
      <c r="F332" s="594">
        <f t="shared" si="13"/>
        <v>0</v>
      </c>
      <c r="G332" s="538"/>
      <c r="H332" s="538"/>
      <c r="I332" s="538"/>
      <c r="J332" s="538"/>
      <c r="K332" s="538"/>
      <c r="L332" s="538"/>
      <c r="M332" s="538"/>
      <c r="N332" s="538"/>
      <c r="O332" s="538"/>
      <c r="P332" s="538"/>
      <c r="Q332" s="538"/>
      <c r="R332" s="538"/>
      <c r="S332" s="538"/>
      <c r="T332" s="538"/>
      <c r="U332" s="538"/>
      <c r="V332" s="538"/>
      <c r="W332" s="538"/>
      <c r="X332" s="538"/>
      <c r="Y332" s="538"/>
      <c r="Z332" s="538"/>
    </row>
    <row r="333" spans="1:26" ht="27">
      <c r="A333" s="590">
        <v>11.024999999999986</v>
      </c>
      <c r="B333" s="591" t="s">
        <v>459</v>
      </c>
      <c r="C333" s="608">
        <v>6</v>
      </c>
      <c r="D333" s="592" t="s">
        <v>294</v>
      </c>
      <c r="E333" s="593"/>
      <c r="F333" s="594">
        <f t="shared" si="13"/>
        <v>0</v>
      </c>
      <c r="G333" s="538"/>
      <c r="H333" s="538"/>
      <c r="I333" s="538"/>
      <c r="J333" s="538"/>
      <c r="K333" s="538"/>
      <c r="L333" s="538"/>
      <c r="M333" s="538"/>
      <c r="N333" s="538"/>
      <c r="O333" s="538"/>
      <c r="P333" s="538"/>
      <c r="Q333" s="538"/>
      <c r="R333" s="538"/>
      <c r="S333" s="538"/>
      <c r="T333" s="538"/>
      <c r="U333" s="538"/>
      <c r="V333" s="538"/>
      <c r="W333" s="538"/>
      <c r="X333" s="538"/>
      <c r="Y333" s="538"/>
      <c r="Z333" s="538"/>
    </row>
    <row r="334" spans="1:26">
      <c r="A334" s="590" t="s">
        <v>481</v>
      </c>
      <c r="B334" s="591"/>
      <c r="C334" s="608"/>
      <c r="D334" s="592"/>
      <c r="E334" s="593"/>
      <c r="F334" s="594">
        <f t="shared" si="13"/>
        <v>0</v>
      </c>
      <c r="G334" s="538"/>
      <c r="H334" s="538"/>
      <c r="I334" s="538"/>
      <c r="J334" s="538"/>
      <c r="K334" s="538"/>
      <c r="L334" s="538"/>
      <c r="M334" s="538"/>
      <c r="N334" s="538"/>
      <c r="O334" s="538"/>
      <c r="P334" s="538"/>
      <c r="Q334" s="538"/>
      <c r="R334" s="538"/>
      <c r="S334" s="538"/>
      <c r="T334" s="538"/>
      <c r="U334" s="538"/>
      <c r="V334" s="538"/>
      <c r="W334" s="538"/>
      <c r="X334" s="538"/>
      <c r="Y334" s="538"/>
      <c r="Z334" s="538"/>
    </row>
    <row r="335" spans="1:26">
      <c r="A335" s="590" t="s">
        <v>481</v>
      </c>
      <c r="B335" s="601" t="s">
        <v>460</v>
      </c>
      <c r="C335" s="608"/>
      <c r="D335" s="592"/>
      <c r="E335" s="593"/>
      <c r="F335" s="594">
        <f t="shared" si="13"/>
        <v>0</v>
      </c>
      <c r="G335" s="538"/>
      <c r="H335" s="538"/>
      <c r="I335" s="538"/>
      <c r="J335" s="538"/>
      <c r="K335" s="538"/>
      <c r="L335" s="538"/>
      <c r="M335" s="538"/>
      <c r="N335" s="538"/>
      <c r="O335" s="538"/>
      <c r="P335" s="538"/>
      <c r="Q335" s="538"/>
      <c r="R335" s="538"/>
      <c r="S335" s="538"/>
      <c r="T335" s="538"/>
      <c r="U335" s="538"/>
      <c r="V335" s="538"/>
      <c r="W335" s="538"/>
      <c r="X335" s="538"/>
      <c r="Y335" s="538"/>
      <c r="Z335" s="538"/>
    </row>
    <row r="336" spans="1:26">
      <c r="A336" s="590">
        <v>11.025999999999986</v>
      </c>
      <c r="B336" s="591" t="s">
        <v>461</v>
      </c>
      <c r="C336" s="608">
        <v>5</v>
      </c>
      <c r="D336" s="592" t="s">
        <v>294</v>
      </c>
      <c r="E336" s="593"/>
      <c r="F336" s="594">
        <f t="shared" si="13"/>
        <v>0</v>
      </c>
      <c r="G336" s="538"/>
      <c r="H336" s="538"/>
      <c r="I336" s="538"/>
      <c r="J336" s="538"/>
      <c r="K336" s="538"/>
      <c r="L336" s="538"/>
      <c r="M336" s="538"/>
      <c r="N336" s="538"/>
      <c r="O336" s="538"/>
      <c r="P336" s="538"/>
      <c r="Q336" s="538"/>
      <c r="R336" s="538"/>
      <c r="S336" s="538"/>
      <c r="T336" s="538"/>
      <c r="U336" s="538"/>
      <c r="V336" s="538"/>
      <c r="W336" s="538"/>
      <c r="X336" s="538"/>
      <c r="Y336" s="538"/>
      <c r="Z336" s="538"/>
    </row>
    <row r="337" spans="1:26">
      <c r="A337" s="590">
        <v>11.026999999999985</v>
      </c>
      <c r="B337" s="591" t="s">
        <v>462</v>
      </c>
      <c r="C337" s="608">
        <v>5</v>
      </c>
      <c r="D337" s="592" t="s">
        <v>294</v>
      </c>
      <c r="E337" s="593"/>
      <c r="F337" s="594">
        <f t="shared" si="13"/>
        <v>0</v>
      </c>
      <c r="G337" s="538"/>
      <c r="H337" s="538"/>
      <c r="I337" s="538"/>
      <c r="J337" s="538"/>
      <c r="K337" s="538"/>
      <c r="L337" s="538"/>
      <c r="M337" s="538"/>
      <c r="N337" s="538"/>
      <c r="O337" s="538"/>
      <c r="P337" s="538"/>
      <c r="Q337" s="538"/>
      <c r="R337" s="538"/>
      <c r="S337" s="538"/>
      <c r="T337" s="538"/>
      <c r="U337" s="538"/>
      <c r="V337" s="538"/>
      <c r="W337" s="538"/>
      <c r="X337" s="538"/>
      <c r="Y337" s="538"/>
      <c r="Z337" s="538"/>
    </row>
    <row r="338" spans="1:26">
      <c r="A338" s="590" t="s">
        <v>481</v>
      </c>
      <c r="B338" s="591"/>
      <c r="C338" s="592"/>
      <c r="D338" s="592"/>
      <c r="E338" s="593"/>
      <c r="F338" s="594">
        <f t="shared" si="13"/>
        <v>0</v>
      </c>
      <c r="G338" s="538"/>
      <c r="H338" s="538"/>
      <c r="I338" s="538"/>
      <c r="J338" s="538"/>
      <c r="K338" s="538"/>
      <c r="L338" s="538"/>
      <c r="M338" s="538"/>
      <c r="N338" s="538"/>
      <c r="O338" s="538"/>
      <c r="P338" s="538"/>
      <c r="Q338" s="538"/>
      <c r="R338" s="538"/>
      <c r="S338" s="538"/>
      <c r="T338" s="538"/>
      <c r="U338" s="538"/>
      <c r="V338" s="538"/>
      <c r="W338" s="538"/>
      <c r="X338" s="538"/>
      <c r="Y338" s="538"/>
      <c r="Z338" s="538"/>
    </row>
    <row r="339" spans="1:26">
      <c r="A339" s="596" t="s">
        <v>481</v>
      </c>
      <c r="B339" s="597" t="s">
        <v>328</v>
      </c>
      <c r="C339" s="598"/>
      <c r="D339" s="598"/>
      <c r="E339" s="599"/>
      <c r="F339" s="589">
        <f t="shared" si="13"/>
        <v>0</v>
      </c>
      <c r="G339" s="561"/>
      <c r="H339" s="561"/>
      <c r="I339" s="561"/>
      <c r="J339" s="561"/>
      <c r="K339" s="561"/>
      <c r="L339" s="561"/>
      <c r="M339" s="561"/>
      <c r="N339" s="561"/>
      <c r="O339" s="561"/>
      <c r="P339" s="561"/>
      <c r="Q339" s="561"/>
      <c r="R339" s="561"/>
      <c r="S339" s="561"/>
      <c r="T339" s="561"/>
      <c r="U339" s="561"/>
      <c r="V339" s="561"/>
      <c r="W339" s="561"/>
      <c r="X339" s="561"/>
      <c r="Y339" s="561"/>
      <c r="Z339" s="561"/>
    </row>
    <row r="340" spans="1:26" ht="40.200000000000003">
      <c r="A340" s="590">
        <v>11.027999999999984</v>
      </c>
      <c r="B340" s="591" t="s">
        <v>329</v>
      </c>
      <c r="C340" s="592">
        <v>1</v>
      </c>
      <c r="D340" s="592" t="s">
        <v>330</v>
      </c>
      <c r="E340" s="593" t="s">
        <v>256</v>
      </c>
      <c r="F340" s="594" t="s">
        <v>463</v>
      </c>
      <c r="G340" s="538"/>
      <c r="H340" s="538"/>
      <c r="I340" s="538"/>
      <c r="J340" s="538"/>
      <c r="K340" s="538"/>
      <c r="L340" s="538"/>
      <c r="M340" s="538"/>
      <c r="N340" s="538"/>
      <c r="O340" s="538"/>
      <c r="P340" s="538"/>
      <c r="Q340" s="538"/>
      <c r="R340" s="538"/>
      <c r="S340" s="538"/>
      <c r="T340" s="538"/>
      <c r="U340" s="538"/>
      <c r="V340" s="538"/>
      <c r="W340" s="538"/>
      <c r="X340" s="538"/>
      <c r="Y340" s="538"/>
      <c r="Z340" s="538"/>
    </row>
    <row r="341" spans="1:26" s="549" customFormat="1" ht="79.8">
      <c r="A341" s="590">
        <v>11.028999999999984</v>
      </c>
      <c r="B341" s="591" t="s">
        <v>331</v>
      </c>
      <c r="C341" s="592">
        <v>1</v>
      </c>
      <c r="D341" s="592" t="s">
        <v>330</v>
      </c>
      <c r="E341" s="593" t="s">
        <v>256</v>
      </c>
      <c r="F341" s="594" t="s">
        <v>463</v>
      </c>
      <c r="G341" s="548"/>
      <c r="H341" s="548"/>
      <c r="I341" s="548"/>
      <c r="J341" s="548"/>
      <c r="K341" s="548"/>
      <c r="L341" s="548"/>
      <c r="M341" s="548"/>
      <c r="N341" s="548"/>
      <c r="O341" s="548"/>
      <c r="P341" s="548"/>
      <c r="Q341" s="548"/>
      <c r="R341" s="548"/>
      <c r="S341" s="548"/>
      <c r="T341" s="548"/>
      <c r="U341" s="548"/>
      <c r="V341" s="548"/>
      <c r="W341" s="548"/>
      <c r="X341" s="548"/>
      <c r="Y341" s="548"/>
      <c r="Z341" s="548"/>
    </row>
    <row r="342" spans="1:26">
      <c r="A342" s="590" t="s">
        <v>481</v>
      </c>
      <c r="B342" s="591"/>
      <c r="C342" s="592"/>
      <c r="D342" s="592"/>
      <c r="E342" s="593"/>
      <c r="F342" s="594">
        <f t="shared" si="13"/>
        <v>0</v>
      </c>
      <c r="G342" s="538"/>
      <c r="H342" s="538"/>
      <c r="I342" s="538"/>
      <c r="J342" s="538"/>
      <c r="K342" s="538"/>
      <c r="L342" s="538"/>
      <c r="M342" s="538"/>
      <c r="N342" s="538"/>
      <c r="O342" s="538"/>
      <c r="P342" s="538"/>
      <c r="Q342" s="538"/>
      <c r="R342" s="538"/>
      <c r="S342" s="538"/>
      <c r="T342" s="538"/>
      <c r="U342" s="538"/>
      <c r="V342" s="538"/>
      <c r="W342" s="538"/>
      <c r="X342" s="538"/>
      <c r="Y342" s="538"/>
      <c r="Z342" s="538"/>
    </row>
    <row r="343" spans="1:26">
      <c r="A343" s="596" t="s">
        <v>481</v>
      </c>
      <c r="B343" s="597" t="s">
        <v>332</v>
      </c>
      <c r="C343" s="598"/>
      <c r="D343" s="598"/>
      <c r="E343" s="599"/>
      <c r="F343" s="589">
        <f t="shared" si="13"/>
        <v>0</v>
      </c>
      <c r="G343" s="538"/>
      <c r="H343" s="538"/>
      <c r="I343" s="538"/>
      <c r="J343" s="538"/>
      <c r="K343" s="538"/>
      <c r="L343" s="538"/>
      <c r="M343" s="538"/>
      <c r="N343" s="538"/>
      <c r="O343" s="538"/>
      <c r="P343" s="538"/>
      <c r="Q343" s="538"/>
      <c r="R343" s="538"/>
      <c r="S343" s="538"/>
      <c r="T343" s="538"/>
      <c r="U343" s="538"/>
      <c r="V343" s="538"/>
      <c r="W343" s="538"/>
      <c r="X343" s="538"/>
      <c r="Y343" s="538"/>
      <c r="Z343" s="538"/>
    </row>
    <row r="344" spans="1:26" s="549" customFormat="1" ht="27">
      <c r="A344" s="590">
        <v>11.029999999999983</v>
      </c>
      <c r="B344" s="591" t="s">
        <v>333</v>
      </c>
      <c r="C344" s="592">
        <v>1</v>
      </c>
      <c r="D344" s="592" t="s">
        <v>330</v>
      </c>
      <c r="E344" s="593" t="s">
        <v>256</v>
      </c>
      <c r="F344" s="594" t="s">
        <v>463</v>
      </c>
      <c r="G344" s="548"/>
      <c r="H344" s="548"/>
      <c r="I344" s="548"/>
      <c r="J344" s="548"/>
      <c r="K344" s="548"/>
      <c r="L344" s="548"/>
      <c r="M344" s="548"/>
      <c r="N344" s="548"/>
      <c r="O344" s="548"/>
      <c r="P344" s="548"/>
      <c r="Q344" s="548"/>
      <c r="R344" s="548"/>
      <c r="S344" s="548"/>
      <c r="T344" s="548"/>
      <c r="U344" s="548"/>
      <c r="V344" s="548"/>
      <c r="W344" s="548"/>
      <c r="X344" s="548"/>
      <c r="Y344" s="548"/>
      <c r="Z344" s="548"/>
    </row>
    <row r="345" spans="1:26">
      <c r="A345" s="590" t="s">
        <v>481</v>
      </c>
      <c r="B345" s="591"/>
      <c r="C345" s="592"/>
      <c r="D345" s="592"/>
      <c r="E345" s="593"/>
      <c r="F345" s="594">
        <f t="shared" si="13"/>
        <v>0</v>
      </c>
      <c r="G345" s="538"/>
      <c r="H345" s="538"/>
      <c r="I345" s="538"/>
      <c r="J345" s="538"/>
      <c r="K345" s="538"/>
      <c r="L345" s="538"/>
      <c r="M345" s="538"/>
      <c r="N345" s="538"/>
      <c r="O345" s="538"/>
      <c r="P345" s="538"/>
      <c r="Q345" s="538"/>
      <c r="R345" s="538"/>
      <c r="S345" s="538"/>
      <c r="T345" s="538"/>
      <c r="U345" s="538"/>
      <c r="V345" s="538"/>
      <c r="W345" s="538"/>
      <c r="X345" s="538"/>
      <c r="Y345" s="538"/>
      <c r="Z345" s="538"/>
    </row>
    <row r="346" spans="1:26">
      <c r="A346" s="596" t="s">
        <v>481</v>
      </c>
      <c r="B346" s="597" t="s">
        <v>334</v>
      </c>
      <c r="C346" s="598"/>
      <c r="D346" s="598"/>
      <c r="E346" s="599"/>
      <c r="F346" s="589">
        <f t="shared" si="13"/>
        <v>0</v>
      </c>
      <c r="G346" s="538"/>
      <c r="H346" s="538"/>
      <c r="I346" s="538"/>
      <c r="J346" s="538"/>
      <c r="K346" s="538"/>
      <c r="L346" s="538"/>
      <c r="M346" s="538"/>
      <c r="N346" s="538"/>
      <c r="O346" s="538"/>
      <c r="P346" s="538"/>
      <c r="Q346" s="538"/>
      <c r="R346" s="538"/>
      <c r="S346" s="538"/>
      <c r="T346" s="538"/>
      <c r="U346" s="538"/>
      <c r="V346" s="538"/>
      <c r="W346" s="538"/>
      <c r="X346" s="538"/>
      <c r="Y346" s="538"/>
      <c r="Z346" s="538"/>
    </row>
    <row r="347" spans="1:26" ht="27">
      <c r="A347" s="590">
        <v>11.030999999999983</v>
      </c>
      <c r="B347" s="591" t="s">
        <v>335</v>
      </c>
      <c r="C347" s="592">
        <v>1</v>
      </c>
      <c r="D347" s="592" t="s">
        <v>330</v>
      </c>
      <c r="E347" s="593" t="s">
        <v>463</v>
      </c>
      <c r="F347" s="594" t="s">
        <v>463</v>
      </c>
      <c r="G347" s="538"/>
      <c r="H347" s="538"/>
      <c r="I347" s="538"/>
      <c r="J347" s="538"/>
      <c r="K347" s="538"/>
      <c r="L347" s="538"/>
      <c r="M347" s="538"/>
      <c r="N347" s="538"/>
      <c r="O347" s="538"/>
      <c r="P347" s="538"/>
      <c r="Q347" s="538"/>
      <c r="R347" s="538"/>
      <c r="S347" s="538"/>
      <c r="T347" s="538"/>
      <c r="U347" s="538"/>
      <c r="V347" s="538"/>
      <c r="W347" s="538"/>
      <c r="X347" s="538"/>
      <c r="Y347" s="538"/>
      <c r="Z347" s="538"/>
    </row>
    <row r="348" spans="1:26" s="560" customFormat="1">
      <c r="A348" s="590">
        <v>11.031999999999982</v>
      </c>
      <c r="B348" s="591" t="s">
        <v>336</v>
      </c>
      <c r="C348" s="592">
        <v>1</v>
      </c>
      <c r="D348" s="592" t="s">
        <v>330</v>
      </c>
      <c r="E348" s="593" t="s">
        <v>256</v>
      </c>
      <c r="F348" s="594" t="s">
        <v>463</v>
      </c>
      <c r="G348" s="559"/>
      <c r="H348" s="559"/>
      <c r="I348" s="559"/>
      <c r="J348" s="559"/>
      <c r="K348" s="559"/>
      <c r="L348" s="559"/>
      <c r="M348" s="559"/>
      <c r="N348" s="559"/>
      <c r="O348" s="559"/>
      <c r="P348" s="559"/>
      <c r="Q348" s="559"/>
      <c r="R348" s="559"/>
      <c r="S348" s="559"/>
      <c r="T348" s="559"/>
      <c r="U348" s="559"/>
      <c r="V348" s="559"/>
      <c r="W348" s="559"/>
      <c r="X348" s="559"/>
      <c r="Y348" s="559"/>
      <c r="Z348" s="559"/>
    </row>
    <row r="349" spans="1:26" ht="27">
      <c r="A349" s="590">
        <v>11.032999999999982</v>
      </c>
      <c r="B349" s="591" t="s">
        <v>346</v>
      </c>
      <c r="C349" s="592">
        <v>1</v>
      </c>
      <c r="D349" s="592" t="s">
        <v>330</v>
      </c>
      <c r="E349" s="593" t="s">
        <v>256</v>
      </c>
      <c r="F349" s="594" t="s">
        <v>463</v>
      </c>
      <c r="G349" s="538"/>
      <c r="H349" s="538"/>
      <c r="I349" s="538"/>
      <c r="J349" s="538"/>
      <c r="K349" s="538"/>
      <c r="L349" s="538"/>
      <c r="M349" s="538"/>
      <c r="N349" s="538"/>
      <c r="O349" s="538"/>
      <c r="P349" s="538"/>
      <c r="Q349" s="538"/>
      <c r="R349" s="538"/>
      <c r="S349" s="538"/>
      <c r="T349" s="538"/>
      <c r="U349" s="538"/>
      <c r="V349" s="538"/>
      <c r="W349" s="538"/>
      <c r="X349" s="538"/>
      <c r="Y349" s="538"/>
      <c r="Z349" s="538"/>
    </row>
    <row r="350" spans="1:26">
      <c r="A350" s="602"/>
      <c r="B350" s="607" t="s">
        <v>464</v>
      </c>
      <c r="C350" s="604"/>
      <c r="D350" s="604"/>
      <c r="E350" s="605"/>
      <c r="F350" s="606">
        <f>SUM(F299:F349)</f>
        <v>0</v>
      </c>
      <c r="G350" s="538"/>
      <c r="H350" s="538"/>
      <c r="I350" s="538"/>
      <c r="J350" s="538"/>
      <c r="K350" s="538"/>
      <c r="L350" s="538"/>
      <c r="M350" s="538"/>
      <c r="N350" s="538"/>
      <c r="O350" s="538"/>
      <c r="P350" s="538"/>
      <c r="Q350" s="538"/>
      <c r="R350" s="538"/>
      <c r="S350" s="538"/>
      <c r="T350" s="538"/>
      <c r="U350" s="538"/>
      <c r="V350" s="538"/>
      <c r="W350" s="538"/>
      <c r="X350" s="538"/>
      <c r="Y350" s="538"/>
      <c r="Z350" s="538"/>
    </row>
    <row r="351" spans="1:26" s="549" customFormat="1" ht="27" customHeight="1">
      <c r="A351" s="590"/>
      <c r="B351" s="591"/>
      <c r="C351" s="592"/>
      <c r="D351" s="592"/>
      <c r="E351" s="593"/>
      <c r="F351" s="594"/>
      <c r="G351" s="548"/>
      <c r="H351" s="548"/>
      <c r="I351" s="548"/>
      <c r="J351" s="548"/>
      <c r="K351" s="548"/>
      <c r="L351" s="548"/>
      <c r="M351" s="548"/>
      <c r="N351" s="548"/>
      <c r="O351" s="548"/>
      <c r="P351" s="548"/>
      <c r="Q351" s="548"/>
      <c r="R351" s="548"/>
      <c r="S351" s="548"/>
      <c r="T351" s="548"/>
      <c r="U351" s="548"/>
      <c r="V351" s="548"/>
      <c r="W351" s="548"/>
      <c r="X351" s="548"/>
      <c r="Y351" s="548"/>
      <c r="Z351" s="548"/>
    </row>
    <row r="352" spans="1:26">
      <c r="A352" s="596"/>
      <c r="B352" s="586" t="s">
        <v>465</v>
      </c>
      <c r="C352" s="598"/>
      <c r="D352" s="598"/>
      <c r="E352" s="599"/>
      <c r="F352" s="589"/>
      <c r="G352" s="538"/>
      <c r="H352" s="538"/>
      <c r="I352" s="538"/>
      <c r="J352" s="538"/>
      <c r="K352" s="538"/>
      <c r="L352" s="538"/>
      <c r="M352" s="538"/>
      <c r="N352" s="538"/>
      <c r="O352" s="538"/>
      <c r="P352" s="538"/>
      <c r="Q352" s="538"/>
      <c r="R352" s="538"/>
      <c r="S352" s="538"/>
      <c r="T352" s="538"/>
      <c r="U352" s="538"/>
      <c r="V352" s="538"/>
      <c r="W352" s="538"/>
      <c r="X352" s="538"/>
      <c r="Y352" s="538"/>
      <c r="Z352" s="538"/>
    </row>
    <row r="353" spans="1:26">
      <c r="A353" s="590"/>
      <c r="B353" s="595" t="s">
        <v>466</v>
      </c>
      <c r="C353" s="592"/>
      <c r="D353" s="592"/>
      <c r="E353" s="593"/>
      <c r="F353" s="594"/>
      <c r="G353" s="538"/>
      <c r="H353" s="538"/>
      <c r="I353" s="538"/>
      <c r="J353" s="538"/>
      <c r="K353" s="538"/>
      <c r="L353" s="538"/>
      <c r="M353" s="538"/>
      <c r="N353" s="538"/>
      <c r="O353" s="538"/>
      <c r="P353" s="538"/>
      <c r="Q353" s="538"/>
      <c r="R353" s="538"/>
      <c r="S353" s="538"/>
      <c r="T353" s="538"/>
      <c r="U353" s="538"/>
      <c r="V353" s="538"/>
      <c r="W353" s="538"/>
      <c r="X353" s="538"/>
      <c r="Y353" s="538"/>
      <c r="Z353" s="538"/>
    </row>
    <row r="354" spans="1:26">
      <c r="A354" s="590">
        <v>12</v>
      </c>
      <c r="B354" s="591" t="s">
        <v>467</v>
      </c>
      <c r="C354" s="592">
        <v>1</v>
      </c>
      <c r="D354" s="592" t="s">
        <v>134</v>
      </c>
      <c r="E354" s="593"/>
      <c r="F354" s="594">
        <f t="shared" ref="F354" si="14">C354*E354</f>
        <v>0</v>
      </c>
      <c r="G354" s="538"/>
      <c r="H354" s="538"/>
      <c r="I354" s="538"/>
      <c r="J354" s="538"/>
      <c r="K354" s="538"/>
      <c r="L354" s="538"/>
      <c r="M354" s="538"/>
      <c r="N354" s="538"/>
      <c r="O354" s="538"/>
      <c r="P354" s="538"/>
      <c r="Q354" s="538"/>
      <c r="R354" s="538"/>
      <c r="S354" s="538"/>
      <c r="T354" s="538"/>
      <c r="U354" s="538"/>
      <c r="V354" s="538"/>
      <c r="W354" s="538"/>
      <c r="X354" s="538"/>
      <c r="Y354" s="538"/>
      <c r="Z354" s="538"/>
    </row>
    <row r="355" spans="1:26">
      <c r="A355" s="602"/>
      <c r="B355" s="607" t="s">
        <v>468</v>
      </c>
      <c r="C355" s="604"/>
      <c r="D355" s="604"/>
      <c r="E355" s="605"/>
      <c r="F355" s="606">
        <f>SUM(F352:F354)</f>
        <v>0</v>
      </c>
      <c r="G355" s="538"/>
      <c r="H355" s="538"/>
      <c r="I355" s="538"/>
      <c r="J355" s="538"/>
      <c r="K355" s="538"/>
      <c r="L355" s="538"/>
      <c r="M355" s="538"/>
      <c r="N355" s="538"/>
      <c r="O355" s="538"/>
      <c r="P355" s="538"/>
      <c r="Q355" s="538"/>
      <c r="R355" s="538"/>
      <c r="S355" s="538"/>
      <c r="T355" s="538"/>
      <c r="U355" s="538"/>
      <c r="V355" s="538"/>
      <c r="W355" s="538"/>
      <c r="X355" s="538"/>
      <c r="Y355" s="538"/>
      <c r="Z355" s="538"/>
    </row>
    <row r="356" spans="1:26">
      <c r="A356" s="602"/>
      <c r="B356" s="607"/>
      <c r="C356" s="604"/>
      <c r="D356" s="604"/>
      <c r="E356" s="605"/>
      <c r="F356" s="606"/>
      <c r="G356" s="538"/>
      <c r="H356" s="538"/>
      <c r="I356" s="538"/>
      <c r="J356" s="538"/>
      <c r="K356" s="538"/>
      <c r="L356" s="538"/>
      <c r="M356" s="538"/>
      <c r="N356" s="538"/>
      <c r="O356" s="538"/>
      <c r="P356" s="538"/>
      <c r="Q356" s="538"/>
      <c r="R356" s="538"/>
      <c r="S356" s="538"/>
      <c r="T356" s="538"/>
      <c r="U356" s="538"/>
      <c r="V356" s="538"/>
      <c r="W356" s="538"/>
      <c r="X356" s="538"/>
      <c r="Y356" s="538"/>
      <c r="Z356" s="538"/>
    </row>
    <row r="357" spans="1:26" s="575" customFormat="1" ht="13.2">
      <c r="A357" s="609"/>
      <c r="B357" s="610" t="s">
        <v>469</v>
      </c>
      <c r="C357" s="609"/>
      <c r="D357" s="609"/>
      <c r="E357" s="611"/>
      <c r="F357" s="612"/>
      <c r="G357" s="574"/>
      <c r="H357" s="574"/>
      <c r="I357" s="574"/>
      <c r="J357" s="574"/>
      <c r="K357" s="574"/>
      <c r="L357" s="574"/>
      <c r="M357" s="574"/>
      <c r="N357" s="574"/>
      <c r="O357" s="574"/>
      <c r="P357" s="574"/>
      <c r="Q357" s="574"/>
      <c r="R357" s="574"/>
      <c r="S357" s="574"/>
      <c r="T357" s="574"/>
      <c r="U357" s="574"/>
      <c r="V357" s="574"/>
      <c r="W357" s="574"/>
      <c r="X357" s="574"/>
      <c r="Y357" s="574"/>
      <c r="Z357" s="574"/>
    </row>
    <row r="358" spans="1:26" s="575" customFormat="1" ht="26.4">
      <c r="A358" s="576" t="s">
        <v>136</v>
      </c>
      <c r="B358" s="577" t="s">
        <v>177</v>
      </c>
      <c r="C358" s="576" t="s">
        <v>178</v>
      </c>
      <c r="D358" s="576" t="s">
        <v>179</v>
      </c>
      <c r="E358" s="578" t="s">
        <v>250</v>
      </c>
      <c r="F358" s="578" t="s">
        <v>251</v>
      </c>
      <c r="G358" s="574"/>
      <c r="H358" s="574"/>
      <c r="I358" s="574"/>
      <c r="J358" s="574"/>
      <c r="K358" s="574"/>
      <c r="L358" s="574"/>
      <c r="M358" s="574"/>
      <c r="N358" s="574"/>
      <c r="O358" s="574"/>
      <c r="P358" s="574"/>
      <c r="Q358" s="574"/>
      <c r="R358" s="574"/>
      <c r="S358" s="574"/>
      <c r="T358" s="574"/>
      <c r="U358" s="574"/>
      <c r="V358" s="574"/>
      <c r="W358" s="574"/>
      <c r="X358" s="574"/>
      <c r="Y358" s="574"/>
      <c r="Z358" s="574"/>
    </row>
    <row r="359" spans="1:26">
      <c r="G359" s="538"/>
      <c r="H359" s="538"/>
      <c r="I359" s="538"/>
      <c r="J359" s="538"/>
      <c r="K359" s="538"/>
      <c r="L359" s="538"/>
      <c r="M359" s="538"/>
      <c r="N359" s="538"/>
      <c r="O359" s="538"/>
      <c r="P359" s="538"/>
      <c r="Q359" s="538"/>
      <c r="R359" s="538"/>
      <c r="S359" s="538"/>
      <c r="T359" s="538"/>
      <c r="U359" s="538"/>
      <c r="V359" s="538"/>
      <c r="W359" s="538"/>
      <c r="X359" s="538"/>
      <c r="Y359" s="538"/>
      <c r="Z359" s="538"/>
    </row>
    <row r="360" spans="1:26">
      <c r="G360" s="538"/>
      <c r="H360" s="538"/>
      <c r="I360" s="538"/>
      <c r="J360" s="538"/>
      <c r="K360" s="538"/>
      <c r="L360" s="538"/>
      <c r="M360" s="538"/>
      <c r="N360" s="538"/>
      <c r="O360" s="538"/>
      <c r="P360" s="538"/>
      <c r="Q360" s="538"/>
      <c r="R360" s="538"/>
      <c r="S360" s="538"/>
      <c r="T360" s="538"/>
      <c r="U360" s="538"/>
      <c r="V360" s="538"/>
      <c r="W360" s="538"/>
      <c r="X360" s="538"/>
      <c r="Y360" s="538"/>
      <c r="Z360" s="538"/>
    </row>
    <row r="361" spans="1:26">
      <c r="G361" s="538"/>
      <c r="H361" s="538"/>
      <c r="I361" s="538"/>
      <c r="J361" s="538"/>
      <c r="K361" s="538"/>
      <c r="L361" s="538"/>
      <c r="M361" s="538"/>
      <c r="N361" s="538"/>
      <c r="O361" s="538"/>
      <c r="P361" s="538"/>
      <c r="Q361" s="538"/>
      <c r="R361" s="538"/>
      <c r="S361" s="538"/>
      <c r="T361" s="538"/>
      <c r="U361" s="538"/>
      <c r="V361" s="538"/>
      <c r="W361" s="538"/>
      <c r="X361" s="538"/>
      <c r="Y361" s="538"/>
      <c r="Z361" s="538"/>
    </row>
    <row r="362" spans="1:26">
      <c r="G362" s="538"/>
      <c r="H362" s="538"/>
      <c r="I362" s="538"/>
      <c r="J362" s="538"/>
      <c r="K362" s="538"/>
      <c r="L362" s="538"/>
      <c r="M362" s="538"/>
      <c r="N362" s="538"/>
      <c r="O362" s="538"/>
      <c r="P362" s="538"/>
      <c r="Q362" s="538"/>
      <c r="R362" s="538"/>
      <c r="S362" s="538"/>
      <c r="T362" s="538"/>
      <c r="U362" s="538"/>
      <c r="V362" s="538"/>
      <c r="W362" s="538"/>
      <c r="X362" s="538"/>
      <c r="Y362" s="538"/>
      <c r="Z362" s="538"/>
    </row>
    <row r="363" spans="1:26">
      <c r="G363" s="538"/>
      <c r="H363" s="538"/>
      <c r="I363" s="538"/>
      <c r="J363" s="538"/>
      <c r="K363" s="538"/>
      <c r="L363" s="538"/>
      <c r="M363" s="538"/>
      <c r="N363" s="538"/>
      <c r="O363" s="538"/>
      <c r="P363" s="538"/>
      <c r="Q363" s="538"/>
      <c r="R363" s="538"/>
      <c r="S363" s="538"/>
      <c r="T363" s="538"/>
      <c r="U363" s="538"/>
      <c r="V363" s="538"/>
      <c r="W363" s="538"/>
      <c r="X363" s="538"/>
      <c r="Y363" s="538"/>
      <c r="Z363" s="538"/>
    </row>
    <row r="364" spans="1:26">
      <c r="G364" s="538"/>
      <c r="H364" s="538"/>
      <c r="I364" s="538"/>
      <c r="J364" s="538"/>
      <c r="K364" s="538"/>
      <c r="L364" s="538"/>
      <c r="M364" s="538"/>
      <c r="N364" s="538"/>
      <c r="O364" s="538"/>
      <c r="P364" s="538"/>
      <c r="Q364" s="538"/>
      <c r="R364" s="538"/>
      <c r="S364" s="538"/>
      <c r="T364" s="538"/>
      <c r="U364" s="538"/>
      <c r="V364" s="538"/>
      <c r="W364" s="538"/>
      <c r="X364" s="538"/>
      <c r="Y364" s="538"/>
      <c r="Z364" s="538"/>
    </row>
    <row r="365" spans="1:26">
      <c r="G365" s="538"/>
      <c r="H365" s="538"/>
      <c r="I365" s="538"/>
      <c r="J365" s="538"/>
      <c r="K365" s="538"/>
      <c r="L365" s="538"/>
      <c r="M365" s="538"/>
      <c r="N365" s="538"/>
      <c r="O365" s="538"/>
      <c r="P365" s="538"/>
      <c r="Q365" s="538"/>
      <c r="R365" s="538"/>
      <c r="S365" s="538"/>
      <c r="T365" s="538"/>
      <c r="U365" s="538"/>
      <c r="V365" s="538"/>
      <c r="W365" s="538"/>
      <c r="X365" s="538"/>
      <c r="Y365" s="538"/>
      <c r="Z365" s="538"/>
    </row>
    <row r="366" spans="1:26">
      <c r="G366" s="538"/>
      <c r="H366" s="538"/>
      <c r="I366" s="538"/>
      <c r="J366" s="538"/>
      <c r="K366" s="538"/>
      <c r="L366" s="538"/>
      <c r="M366" s="538"/>
      <c r="N366" s="538"/>
      <c r="O366" s="538"/>
      <c r="P366" s="538"/>
      <c r="Q366" s="538"/>
      <c r="R366" s="538"/>
      <c r="S366" s="538"/>
      <c r="T366" s="538"/>
      <c r="U366" s="538"/>
      <c r="V366" s="538"/>
      <c r="W366" s="538"/>
      <c r="X366" s="538"/>
      <c r="Y366" s="538"/>
      <c r="Z366" s="538"/>
    </row>
    <row r="367" spans="1:26">
      <c r="G367" s="538"/>
      <c r="H367" s="538"/>
      <c r="I367" s="538"/>
      <c r="J367" s="538"/>
      <c r="K367" s="538"/>
      <c r="L367" s="538"/>
      <c r="M367" s="538"/>
      <c r="N367" s="538"/>
      <c r="O367" s="538"/>
      <c r="P367" s="538"/>
      <c r="Q367" s="538"/>
      <c r="R367" s="538"/>
      <c r="S367" s="538"/>
      <c r="T367" s="538"/>
      <c r="U367" s="538"/>
      <c r="V367" s="538"/>
      <c r="W367" s="538"/>
      <c r="X367" s="538"/>
      <c r="Y367" s="538"/>
      <c r="Z367" s="538"/>
    </row>
    <row r="368" spans="1:26">
      <c r="G368" s="538"/>
      <c r="H368" s="538"/>
      <c r="I368" s="538"/>
      <c r="J368" s="538"/>
      <c r="K368" s="538"/>
      <c r="L368" s="538"/>
      <c r="M368" s="538"/>
      <c r="N368" s="538"/>
      <c r="O368" s="538"/>
      <c r="P368" s="538"/>
      <c r="Q368" s="538"/>
      <c r="R368" s="538"/>
      <c r="S368" s="538"/>
      <c r="T368" s="538"/>
      <c r="U368" s="538"/>
      <c r="V368" s="538"/>
      <c r="W368" s="538"/>
      <c r="X368" s="538"/>
      <c r="Y368" s="538"/>
      <c r="Z368" s="538"/>
    </row>
    <row r="369" spans="7:26">
      <c r="G369" s="538"/>
      <c r="H369" s="538"/>
      <c r="I369" s="538"/>
      <c r="J369" s="538"/>
      <c r="K369" s="538"/>
      <c r="L369" s="538"/>
      <c r="M369" s="538"/>
      <c r="N369" s="538"/>
      <c r="O369" s="538"/>
      <c r="P369" s="538"/>
      <c r="Q369" s="538"/>
      <c r="R369" s="538"/>
      <c r="S369" s="538"/>
      <c r="T369" s="538"/>
      <c r="U369" s="538"/>
      <c r="V369" s="538"/>
      <c r="W369" s="538"/>
      <c r="X369" s="538"/>
      <c r="Y369" s="538"/>
      <c r="Z369" s="538"/>
    </row>
    <row r="370" spans="7:26">
      <c r="G370" s="538"/>
      <c r="H370" s="538"/>
      <c r="I370" s="538"/>
      <c r="J370" s="538"/>
      <c r="K370" s="538"/>
      <c r="L370" s="538"/>
      <c r="M370" s="538"/>
      <c r="N370" s="538"/>
      <c r="O370" s="538"/>
      <c r="P370" s="538"/>
      <c r="Q370" s="538"/>
      <c r="R370" s="538"/>
      <c r="S370" s="538"/>
      <c r="T370" s="538"/>
      <c r="U370" s="538"/>
      <c r="V370" s="538"/>
      <c r="W370" s="538"/>
      <c r="X370" s="538"/>
      <c r="Y370" s="538"/>
      <c r="Z370" s="538"/>
    </row>
    <row r="371" spans="7:26">
      <c r="G371" s="538"/>
      <c r="H371" s="538"/>
      <c r="I371" s="538"/>
      <c r="J371" s="538"/>
      <c r="K371" s="538"/>
      <c r="L371" s="538"/>
      <c r="M371" s="538"/>
      <c r="N371" s="538"/>
      <c r="O371" s="538"/>
      <c r="P371" s="538"/>
      <c r="Q371" s="538"/>
      <c r="R371" s="538"/>
      <c r="S371" s="538"/>
      <c r="T371" s="538"/>
      <c r="U371" s="538"/>
      <c r="V371" s="538"/>
      <c r="W371" s="538"/>
      <c r="X371" s="538"/>
      <c r="Y371" s="538"/>
      <c r="Z371" s="538"/>
    </row>
    <row r="372" spans="7:26">
      <c r="G372" s="538"/>
      <c r="H372" s="538"/>
      <c r="I372" s="538"/>
      <c r="J372" s="538"/>
      <c r="K372" s="538"/>
      <c r="L372" s="538"/>
      <c r="M372" s="538"/>
      <c r="N372" s="538"/>
      <c r="O372" s="538"/>
      <c r="P372" s="538"/>
      <c r="Q372" s="538"/>
      <c r="R372" s="538"/>
      <c r="S372" s="538"/>
      <c r="T372" s="538"/>
      <c r="U372" s="538"/>
      <c r="V372" s="538"/>
      <c r="W372" s="538"/>
      <c r="X372" s="538"/>
      <c r="Y372" s="538"/>
      <c r="Z372" s="538"/>
    </row>
    <row r="373" spans="7:26">
      <c r="G373" s="538"/>
      <c r="H373" s="538"/>
      <c r="I373" s="538"/>
      <c r="J373" s="538"/>
      <c r="K373" s="538"/>
      <c r="L373" s="538"/>
      <c r="M373" s="538"/>
      <c r="N373" s="538"/>
      <c r="O373" s="538"/>
      <c r="P373" s="538"/>
      <c r="Q373" s="538"/>
      <c r="R373" s="538"/>
      <c r="S373" s="538"/>
      <c r="T373" s="538"/>
      <c r="U373" s="538"/>
      <c r="V373" s="538"/>
      <c r="W373" s="538"/>
      <c r="X373" s="538"/>
      <c r="Y373" s="538"/>
      <c r="Z373" s="538"/>
    </row>
    <row r="374" spans="7:26">
      <c r="G374" s="538"/>
      <c r="H374" s="538"/>
      <c r="I374" s="538"/>
      <c r="J374" s="538"/>
      <c r="K374" s="538"/>
      <c r="L374" s="538"/>
      <c r="M374" s="538"/>
      <c r="N374" s="538"/>
      <c r="O374" s="538"/>
      <c r="P374" s="538"/>
      <c r="Q374" s="538"/>
      <c r="R374" s="538"/>
      <c r="S374" s="538"/>
      <c r="T374" s="538"/>
      <c r="U374" s="538"/>
      <c r="V374" s="538"/>
      <c r="W374" s="538"/>
      <c r="X374" s="538"/>
      <c r="Y374" s="538"/>
      <c r="Z374" s="538"/>
    </row>
    <row r="375" spans="7:26">
      <c r="G375" s="538"/>
      <c r="H375" s="538"/>
      <c r="I375" s="538"/>
      <c r="J375" s="538"/>
      <c r="K375" s="538"/>
      <c r="L375" s="538"/>
      <c r="M375" s="538"/>
      <c r="N375" s="538"/>
      <c r="O375" s="538"/>
      <c r="P375" s="538"/>
      <c r="Q375" s="538"/>
      <c r="R375" s="538"/>
      <c r="S375" s="538"/>
      <c r="T375" s="538"/>
      <c r="U375" s="538"/>
      <c r="V375" s="538"/>
      <c r="W375" s="538"/>
      <c r="X375" s="538"/>
      <c r="Y375" s="538"/>
      <c r="Z375" s="538"/>
    </row>
    <row r="376" spans="7:26">
      <c r="G376" s="538"/>
      <c r="H376" s="538"/>
      <c r="I376" s="538"/>
      <c r="J376" s="538"/>
      <c r="K376" s="538"/>
      <c r="L376" s="538"/>
      <c r="M376" s="538"/>
      <c r="N376" s="538"/>
      <c r="O376" s="538"/>
      <c r="P376" s="538"/>
      <c r="Q376" s="538"/>
      <c r="R376" s="538"/>
      <c r="S376" s="538"/>
      <c r="T376" s="538"/>
      <c r="U376" s="538"/>
      <c r="V376" s="538"/>
      <c r="W376" s="538"/>
      <c r="X376" s="538"/>
      <c r="Y376" s="538"/>
      <c r="Z376" s="538"/>
    </row>
    <row r="377" spans="7:26">
      <c r="G377" s="538"/>
      <c r="H377" s="538"/>
      <c r="I377" s="538"/>
      <c r="J377" s="538"/>
      <c r="K377" s="538"/>
      <c r="L377" s="538"/>
      <c r="M377" s="538"/>
      <c r="N377" s="538"/>
      <c r="O377" s="538"/>
      <c r="P377" s="538"/>
      <c r="Q377" s="538"/>
      <c r="R377" s="538"/>
      <c r="S377" s="538"/>
      <c r="T377" s="538"/>
      <c r="U377" s="538"/>
      <c r="V377" s="538"/>
      <c r="W377" s="538"/>
      <c r="X377" s="538"/>
      <c r="Y377" s="538"/>
      <c r="Z377" s="538"/>
    </row>
    <row r="378" spans="7:26">
      <c r="G378" s="538"/>
      <c r="H378" s="538"/>
      <c r="I378" s="538"/>
      <c r="J378" s="538"/>
      <c r="K378" s="538"/>
      <c r="L378" s="538"/>
      <c r="M378" s="538"/>
      <c r="N378" s="538"/>
      <c r="O378" s="538"/>
      <c r="P378" s="538"/>
      <c r="Q378" s="538"/>
      <c r="R378" s="538"/>
      <c r="S378" s="538"/>
      <c r="T378" s="538"/>
      <c r="U378" s="538"/>
      <c r="V378" s="538"/>
      <c r="W378" s="538"/>
      <c r="X378" s="538"/>
      <c r="Y378" s="538"/>
      <c r="Z378" s="538"/>
    </row>
    <row r="379" spans="7:26">
      <c r="G379" s="538"/>
      <c r="H379" s="538"/>
      <c r="I379" s="538"/>
      <c r="J379" s="538"/>
      <c r="K379" s="538"/>
      <c r="L379" s="538"/>
      <c r="M379" s="538"/>
      <c r="N379" s="538"/>
      <c r="O379" s="538"/>
      <c r="P379" s="538"/>
      <c r="Q379" s="538"/>
      <c r="R379" s="538"/>
      <c r="S379" s="538"/>
      <c r="T379" s="538"/>
      <c r="U379" s="538"/>
      <c r="V379" s="538"/>
      <c r="W379" s="538"/>
      <c r="X379" s="538"/>
      <c r="Y379" s="538"/>
      <c r="Z379" s="538"/>
    </row>
    <row r="380" spans="7:26">
      <c r="G380" s="538"/>
      <c r="H380" s="538"/>
      <c r="I380" s="538"/>
      <c r="J380" s="538"/>
      <c r="K380" s="538"/>
      <c r="L380" s="538"/>
      <c r="M380" s="538"/>
      <c r="N380" s="538"/>
      <c r="O380" s="538"/>
      <c r="P380" s="538"/>
      <c r="Q380" s="538"/>
      <c r="R380" s="538"/>
      <c r="S380" s="538"/>
      <c r="T380" s="538"/>
      <c r="U380" s="538"/>
      <c r="V380" s="538"/>
      <c r="W380" s="538"/>
      <c r="X380" s="538"/>
      <c r="Y380" s="538"/>
      <c r="Z380" s="538"/>
    </row>
    <row r="381" spans="7:26">
      <c r="G381" s="538"/>
      <c r="H381" s="538"/>
      <c r="I381" s="538"/>
      <c r="J381" s="538"/>
      <c r="K381" s="538"/>
      <c r="L381" s="538"/>
      <c r="M381" s="538"/>
      <c r="N381" s="538"/>
      <c r="O381" s="538"/>
      <c r="P381" s="538"/>
      <c r="Q381" s="538"/>
      <c r="R381" s="538"/>
      <c r="S381" s="538"/>
      <c r="T381" s="538"/>
      <c r="U381" s="538"/>
      <c r="V381" s="538"/>
      <c r="W381" s="538"/>
      <c r="X381" s="538"/>
      <c r="Y381" s="538"/>
      <c r="Z381" s="538"/>
    </row>
    <row r="382" spans="7:26">
      <c r="G382" s="538"/>
      <c r="H382" s="538"/>
      <c r="I382" s="538"/>
      <c r="J382" s="538"/>
      <c r="K382" s="538"/>
      <c r="L382" s="538"/>
      <c r="M382" s="538"/>
      <c r="N382" s="538"/>
      <c r="O382" s="538"/>
      <c r="P382" s="538"/>
      <c r="Q382" s="538"/>
      <c r="R382" s="538"/>
      <c r="S382" s="538"/>
      <c r="T382" s="538"/>
      <c r="U382" s="538"/>
      <c r="V382" s="538"/>
      <c r="W382" s="538"/>
      <c r="X382" s="538"/>
      <c r="Y382" s="538"/>
      <c r="Z382" s="538"/>
    </row>
    <row r="383" spans="7:26">
      <c r="G383" s="538"/>
      <c r="H383" s="538"/>
      <c r="I383" s="538"/>
      <c r="J383" s="538"/>
      <c r="K383" s="538"/>
      <c r="L383" s="538"/>
      <c r="M383" s="538"/>
      <c r="N383" s="538"/>
      <c r="O383" s="538"/>
      <c r="P383" s="538"/>
      <c r="Q383" s="538"/>
      <c r="R383" s="538"/>
      <c r="S383" s="538"/>
      <c r="T383" s="538"/>
      <c r="U383" s="538"/>
      <c r="V383" s="538"/>
      <c r="W383" s="538"/>
      <c r="X383" s="538"/>
      <c r="Y383" s="538"/>
      <c r="Z383" s="538"/>
    </row>
    <row r="384" spans="7:26">
      <c r="G384" s="538"/>
      <c r="H384" s="538"/>
      <c r="I384" s="538"/>
      <c r="J384" s="538"/>
      <c r="K384" s="538"/>
      <c r="L384" s="538"/>
      <c r="M384" s="538"/>
      <c r="N384" s="538"/>
      <c r="O384" s="538"/>
      <c r="P384" s="538"/>
      <c r="Q384" s="538"/>
      <c r="R384" s="538"/>
      <c r="S384" s="538"/>
      <c r="T384" s="538"/>
      <c r="U384" s="538"/>
      <c r="V384" s="538"/>
      <c r="W384" s="538"/>
      <c r="X384" s="538"/>
      <c r="Y384" s="538"/>
      <c r="Z384" s="538"/>
    </row>
    <row r="385" spans="1:26">
      <c r="G385" s="538"/>
      <c r="H385" s="538"/>
      <c r="I385" s="538"/>
      <c r="J385" s="538"/>
      <c r="K385" s="538"/>
      <c r="L385" s="538"/>
      <c r="M385" s="538"/>
      <c r="N385" s="538"/>
      <c r="O385" s="538"/>
      <c r="P385" s="538"/>
      <c r="Q385" s="538"/>
      <c r="R385" s="538"/>
      <c r="S385" s="538"/>
      <c r="T385" s="538"/>
      <c r="U385" s="538"/>
      <c r="V385" s="538"/>
      <c r="W385" s="538"/>
      <c r="X385" s="538"/>
      <c r="Y385" s="538"/>
      <c r="Z385" s="538"/>
    </row>
    <row r="386" spans="1:26">
      <c r="G386" s="538"/>
      <c r="H386" s="538"/>
      <c r="I386" s="538"/>
      <c r="J386" s="538"/>
      <c r="K386" s="538"/>
      <c r="L386" s="538"/>
      <c r="M386" s="538"/>
      <c r="N386" s="538"/>
      <c r="O386" s="538"/>
      <c r="P386" s="538"/>
      <c r="Q386" s="538"/>
      <c r="R386" s="538"/>
      <c r="S386" s="538"/>
      <c r="T386" s="538"/>
      <c r="U386" s="538"/>
      <c r="V386" s="538"/>
      <c r="W386" s="538"/>
      <c r="X386" s="538"/>
      <c r="Y386" s="538"/>
      <c r="Z386" s="538"/>
    </row>
    <row r="387" spans="1:26">
      <c r="G387" s="538"/>
      <c r="H387" s="538"/>
      <c r="I387" s="538"/>
      <c r="J387" s="538"/>
      <c r="K387" s="538"/>
      <c r="L387" s="538"/>
      <c r="M387" s="538"/>
      <c r="N387" s="538"/>
      <c r="O387" s="538"/>
      <c r="P387" s="538"/>
      <c r="Q387" s="538"/>
      <c r="R387" s="538"/>
      <c r="S387" s="538"/>
      <c r="T387" s="538"/>
      <c r="U387" s="538"/>
      <c r="V387" s="538"/>
      <c r="W387" s="538"/>
      <c r="X387" s="538"/>
      <c r="Y387" s="538"/>
      <c r="Z387" s="538"/>
    </row>
    <row r="388" spans="1:26">
      <c r="G388" s="538"/>
      <c r="H388" s="538"/>
      <c r="I388" s="538"/>
      <c r="J388" s="538"/>
      <c r="K388" s="538"/>
      <c r="L388" s="538"/>
      <c r="M388" s="538"/>
      <c r="N388" s="538"/>
      <c r="O388" s="538"/>
      <c r="P388" s="538"/>
      <c r="Q388" s="538"/>
      <c r="R388" s="538"/>
      <c r="S388" s="538"/>
      <c r="T388" s="538"/>
      <c r="U388" s="538"/>
      <c r="V388" s="538"/>
      <c r="W388" s="538"/>
      <c r="X388" s="538"/>
      <c r="Y388" s="538"/>
      <c r="Z388" s="538"/>
    </row>
    <row r="389" spans="1:26">
      <c r="G389" s="538"/>
      <c r="H389" s="538"/>
      <c r="I389" s="538"/>
      <c r="J389" s="538"/>
      <c r="K389" s="538"/>
      <c r="L389" s="538"/>
      <c r="M389" s="538"/>
      <c r="N389" s="538"/>
      <c r="O389" s="538"/>
      <c r="P389" s="538"/>
      <c r="Q389" s="538"/>
      <c r="R389" s="538"/>
      <c r="S389" s="538"/>
      <c r="T389" s="538"/>
      <c r="U389" s="538"/>
      <c r="V389" s="538"/>
      <c r="W389" s="538"/>
      <c r="X389" s="538"/>
      <c r="Y389" s="538"/>
      <c r="Z389" s="538"/>
    </row>
    <row r="390" spans="1:26">
      <c r="G390" s="538"/>
      <c r="H390" s="538"/>
      <c r="I390" s="538"/>
      <c r="J390" s="538"/>
      <c r="K390" s="538"/>
      <c r="L390" s="538"/>
      <c r="M390" s="538"/>
      <c r="N390" s="538"/>
      <c r="O390" s="538"/>
      <c r="P390" s="538"/>
      <c r="Q390" s="538"/>
      <c r="R390" s="538"/>
      <c r="S390" s="538"/>
      <c r="T390" s="538"/>
      <c r="U390" s="538"/>
      <c r="V390" s="538"/>
      <c r="W390" s="538"/>
      <c r="X390" s="538"/>
      <c r="Y390" s="538"/>
      <c r="Z390" s="538"/>
    </row>
    <row r="391" spans="1:26">
      <c r="G391" s="538"/>
      <c r="H391" s="538"/>
      <c r="I391" s="538"/>
      <c r="J391" s="538"/>
      <c r="K391" s="538"/>
      <c r="L391" s="538"/>
      <c r="M391" s="538"/>
      <c r="N391" s="538"/>
      <c r="O391" s="538"/>
      <c r="P391" s="538"/>
      <c r="Q391" s="538"/>
      <c r="R391" s="538"/>
      <c r="S391" s="538"/>
      <c r="T391" s="538"/>
      <c r="U391" s="538"/>
      <c r="V391" s="538"/>
      <c r="W391" s="538"/>
      <c r="X391" s="538"/>
      <c r="Y391" s="538"/>
      <c r="Z391" s="538"/>
    </row>
    <row r="392" spans="1:26">
      <c r="G392" s="538"/>
      <c r="H392" s="538"/>
      <c r="I392" s="538"/>
      <c r="J392" s="538"/>
      <c r="K392" s="538"/>
      <c r="L392" s="538"/>
      <c r="M392" s="538"/>
      <c r="N392" s="538"/>
      <c r="O392" s="538"/>
      <c r="P392" s="538"/>
      <c r="Q392" s="538"/>
      <c r="R392" s="538"/>
      <c r="S392" s="538"/>
      <c r="T392" s="538"/>
      <c r="U392" s="538"/>
      <c r="V392" s="538"/>
      <c r="W392" s="538"/>
      <c r="X392" s="538"/>
      <c r="Y392" s="538"/>
      <c r="Z392" s="538"/>
    </row>
    <row r="393" spans="1:26">
      <c r="G393" s="538"/>
      <c r="H393" s="538"/>
      <c r="I393" s="538"/>
      <c r="J393" s="538"/>
      <c r="K393" s="538"/>
      <c r="L393" s="538"/>
      <c r="M393" s="538"/>
      <c r="N393" s="538"/>
      <c r="O393" s="538"/>
      <c r="P393" s="538"/>
      <c r="Q393" s="538"/>
      <c r="R393" s="538"/>
      <c r="S393" s="538"/>
      <c r="T393" s="538"/>
      <c r="U393" s="538"/>
      <c r="V393" s="538"/>
      <c r="W393" s="538"/>
      <c r="X393" s="538"/>
      <c r="Y393" s="538"/>
      <c r="Z393" s="538"/>
    </row>
    <row r="394" spans="1:26">
      <c r="A394" s="555"/>
      <c r="B394" s="556" t="s">
        <v>470</v>
      </c>
      <c r="C394" s="557"/>
      <c r="D394" s="557"/>
      <c r="E394" s="558"/>
      <c r="F394" s="571">
        <f>SUM(F359:F393)</f>
        <v>0</v>
      </c>
      <c r="G394" s="538"/>
      <c r="H394" s="538"/>
      <c r="I394" s="538"/>
      <c r="J394" s="538"/>
      <c r="K394" s="538"/>
      <c r="L394" s="538"/>
      <c r="M394" s="538"/>
      <c r="N394" s="538"/>
      <c r="O394" s="538"/>
      <c r="P394" s="538"/>
      <c r="Q394" s="538"/>
      <c r="R394" s="538"/>
      <c r="S394" s="538"/>
      <c r="T394" s="538"/>
      <c r="U394" s="538"/>
      <c r="V394" s="538"/>
      <c r="W394" s="538"/>
      <c r="X394" s="538"/>
      <c r="Y394" s="538"/>
      <c r="Z394" s="538"/>
    </row>
    <row r="395" spans="1:26">
      <c r="G395" s="538"/>
      <c r="H395" s="538"/>
      <c r="I395" s="538"/>
      <c r="J395" s="538"/>
      <c r="K395" s="538"/>
      <c r="L395" s="538"/>
      <c r="M395" s="538"/>
      <c r="N395" s="538"/>
      <c r="O395" s="538"/>
      <c r="P395" s="538"/>
      <c r="Q395" s="538"/>
      <c r="R395" s="538"/>
      <c r="S395" s="538"/>
      <c r="T395" s="538"/>
      <c r="U395" s="538"/>
      <c r="V395" s="538"/>
      <c r="W395" s="538"/>
      <c r="X395" s="538"/>
      <c r="Y395" s="538"/>
      <c r="Z395" s="538"/>
    </row>
    <row r="396" spans="1:26">
      <c r="G396" s="538"/>
      <c r="H396" s="538"/>
      <c r="I396" s="538"/>
      <c r="J396" s="538"/>
      <c r="K396" s="538"/>
      <c r="L396" s="538"/>
      <c r="M396" s="538"/>
      <c r="N396" s="538"/>
      <c r="O396" s="538"/>
      <c r="P396" s="538"/>
      <c r="Q396" s="538"/>
      <c r="R396" s="538"/>
      <c r="S396" s="538"/>
      <c r="T396" s="538"/>
      <c r="U396" s="538"/>
      <c r="V396" s="538"/>
      <c r="W396" s="538"/>
      <c r="X396" s="538"/>
      <c r="Y396" s="538"/>
      <c r="Z396" s="538"/>
    </row>
    <row r="397" spans="1:26">
      <c r="B397" s="553"/>
      <c r="G397" s="538"/>
      <c r="H397" s="538"/>
      <c r="I397" s="538"/>
      <c r="J397" s="538"/>
      <c r="K397" s="538"/>
      <c r="L397" s="538"/>
      <c r="M397" s="538"/>
      <c r="N397" s="538"/>
      <c r="O397" s="538"/>
      <c r="P397" s="538"/>
      <c r="Q397" s="538"/>
      <c r="R397" s="538"/>
      <c r="S397" s="538"/>
      <c r="T397" s="538"/>
      <c r="U397" s="538"/>
      <c r="V397" s="538"/>
      <c r="W397" s="538"/>
      <c r="X397" s="538"/>
      <c r="Y397" s="538"/>
      <c r="Z397" s="538"/>
    </row>
    <row r="398" spans="1:26">
      <c r="G398" s="538"/>
      <c r="H398" s="538"/>
      <c r="I398" s="538"/>
      <c r="J398" s="538"/>
      <c r="K398" s="538"/>
      <c r="L398" s="538"/>
      <c r="M398" s="538"/>
      <c r="N398" s="538"/>
      <c r="O398" s="538"/>
      <c r="P398" s="538"/>
      <c r="Q398" s="538"/>
      <c r="R398" s="538"/>
      <c r="S398" s="538"/>
      <c r="T398" s="538"/>
      <c r="U398" s="538"/>
      <c r="V398" s="538"/>
      <c r="W398" s="538"/>
      <c r="X398" s="538"/>
      <c r="Y398" s="538"/>
      <c r="Z398" s="538"/>
    </row>
    <row r="399" spans="1:26">
      <c r="G399" s="538"/>
      <c r="H399" s="538"/>
      <c r="I399" s="538"/>
      <c r="J399" s="538"/>
      <c r="K399" s="538"/>
      <c r="L399" s="538"/>
      <c r="M399" s="538"/>
      <c r="N399" s="538"/>
      <c r="O399" s="538"/>
      <c r="P399" s="538"/>
      <c r="Q399" s="538"/>
      <c r="R399" s="538"/>
      <c r="S399" s="538"/>
      <c r="T399" s="538"/>
      <c r="U399" s="538"/>
      <c r="V399" s="538"/>
      <c r="W399" s="538"/>
      <c r="X399" s="538"/>
      <c r="Y399" s="538"/>
      <c r="Z399" s="538"/>
    </row>
    <row r="400" spans="1:26">
      <c r="G400" s="538"/>
      <c r="H400" s="538"/>
      <c r="I400" s="538"/>
      <c r="J400" s="538"/>
      <c r="K400" s="538"/>
      <c r="L400" s="538"/>
      <c r="M400" s="538"/>
      <c r="N400" s="538"/>
      <c r="O400" s="538"/>
      <c r="P400" s="538"/>
      <c r="Q400" s="538"/>
      <c r="R400" s="538"/>
      <c r="S400" s="538"/>
      <c r="T400" s="538"/>
      <c r="U400" s="538"/>
      <c r="V400" s="538"/>
      <c r="W400" s="538"/>
      <c r="X400" s="538"/>
      <c r="Y400" s="538"/>
      <c r="Z400" s="538"/>
    </row>
    <row r="401" spans="1:26" ht="24.6">
      <c r="B401" s="579" t="s">
        <v>471</v>
      </c>
      <c r="G401" s="538"/>
      <c r="H401" s="538"/>
      <c r="I401" s="538"/>
      <c r="J401" s="538"/>
      <c r="K401" s="538"/>
      <c r="L401" s="538"/>
      <c r="M401" s="538"/>
      <c r="N401" s="538"/>
      <c r="O401" s="538"/>
      <c r="P401" s="538"/>
      <c r="Q401" s="538"/>
      <c r="R401" s="538"/>
      <c r="S401" s="538"/>
      <c r="T401" s="538"/>
      <c r="U401" s="538"/>
      <c r="V401" s="538"/>
      <c r="W401" s="538"/>
      <c r="X401" s="538"/>
      <c r="Y401" s="538"/>
      <c r="Z401" s="538"/>
    </row>
    <row r="402" spans="1:26">
      <c r="G402" s="538"/>
      <c r="H402" s="538"/>
      <c r="I402" s="538"/>
      <c r="J402" s="538"/>
      <c r="K402" s="538"/>
      <c r="L402" s="538"/>
      <c r="M402" s="538"/>
      <c r="N402" s="538"/>
      <c r="O402" s="538"/>
      <c r="P402" s="538"/>
      <c r="Q402" s="538"/>
      <c r="R402" s="538"/>
      <c r="S402" s="538"/>
      <c r="T402" s="538"/>
      <c r="U402" s="538"/>
      <c r="V402" s="538"/>
      <c r="W402" s="538"/>
      <c r="X402" s="538"/>
      <c r="Y402" s="538"/>
      <c r="Z402" s="538"/>
    </row>
    <row r="403" spans="1:26">
      <c r="A403" s="550"/>
      <c r="B403" s="573" t="s">
        <v>472</v>
      </c>
      <c r="C403" s="551"/>
      <c r="D403" s="551"/>
      <c r="E403" s="552"/>
      <c r="F403" s="547"/>
      <c r="G403" s="538"/>
      <c r="H403" s="538"/>
      <c r="I403" s="538"/>
      <c r="J403" s="538"/>
      <c r="K403" s="538"/>
      <c r="L403" s="538"/>
      <c r="M403" s="538"/>
      <c r="N403" s="538"/>
      <c r="O403" s="538"/>
      <c r="P403" s="538"/>
      <c r="Q403" s="538"/>
      <c r="R403" s="538"/>
      <c r="S403" s="538"/>
      <c r="T403" s="538"/>
      <c r="U403" s="538"/>
      <c r="V403" s="538"/>
      <c r="W403" s="538"/>
      <c r="X403" s="538"/>
      <c r="Y403" s="538"/>
      <c r="Z403" s="538"/>
    </row>
    <row r="404" spans="1:26">
      <c r="A404" s="580">
        <v>1</v>
      </c>
      <c r="B404" s="581" t="str">
        <f>B34</f>
        <v>TOTAL FOR PRELIMINARIES in € exc VAT</v>
      </c>
      <c r="F404" s="582" t="str">
        <f>F34</f>
        <v>INC</v>
      </c>
      <c r="G404" s="538"/>
      <c r="H404" s="538"/>
      <c r="I404" s="538"/>
      <c r="J404" s="538"/>
      <c r="K404" s="538"/>
      <c r="L404" s="538"/>
      <c r="M404" s="538"/>
      <c r="N404" s="538"/>
      <c r="O404" s="538"/>
      <c r="P404" s="538"/>
      <c r="Q404" s="538"/>
      <c r="R404" s="538"/>
      <c r="S404" s="538"/>
      <c r="T404" s="538"/>
      <c r="U404" s="538"/>
      <c r="V404" s="538"/>
      <c r="W404" s="538"/>
      <c r="X404" s="538"/>
      <c r="Y404" s="538"/>
      <c r="Z404" s="538"/>
    </row>
    <row r="405" spans="1:26">
      <c r="A405" s="580">
        <v>2</v>
      </c>
      <c r="B405" s="581" t="str">
        <f>B108</f>
        <v>TOTAL FOR ELECTRICAL INSTALLATION in € exc VAT</v>
      </c>
      <c r="F405" s="583">
        <f ca="1">F108</f>
        <v>3784.6799999999985</v>
      </c>
      <c r="G405" s="538"/>
      <c r="H405" s="538"/>
      <c r="I405" s="538"/>
      <c r="J405" s="538"/>
      <c r="K405" s="538"/>
      <c r="L405" s="538"/>
      <c r="M405" s="538"/>
      <c r="N405" s="538"/>
      <c r="O405" s="538"/>
      <c r="P405" s="538"/>
      <c r="Q405" s="538"/>
      <c r="R405" s="538"/>
      <c r="S405" s="538"/>
      <c r="T405" s="538"/>
      <c r="U405" s="538"/>
      <c r="V405" s="538"/>
      <c r="W405" s="538"/>
      <c r="X405" s="538"/>
      <c r="Y405" s="538"/>
      <c r="Z405" s="538"/>
    </row>
    <row r="406" spans="1:26">
      <c r="A406" s="580">
        <v>3</v>
      </c>
      <c r="B406" s="581" t="str">
        <f>B134</f>
        <v>TOTAL FOR TELEPHONE/COMPUTER INSTALLATION in € exc VAT</v>
      </c>
      <c r="F406" s="583">
        <f>F134</f>
        <v>357.26</v>
      </c>
      <c r="G406" s="538"/>
      <c r="H406" s="538"/>
      <c r="I406" s="538"/>
      <c r="J406" s="538"/>
      <c r="K406" s="538"/>
      <c r="L406" s="538"/>
      <c r="M406" s="538"/>
      <c r="N406" s="538"/>
      <c r="O406" s="538"/>
      <c r="P406" s="538"/>
      <c r="Q406" s="538"/>
      <c r="R406" s="538"/>
      <c r="S406" s="538"/>
      <c r="T406" s="538"/>
      <c r="U406" s="538"/>
      <c r="V406" s="538"/>
      <c r="W406" s="538"/>
      <c r="X406" s="538"/>
      <c r="Y406" s="538"/>
      <c r="Z406" s="538"/>
    </row>
    <row r="407" spans="1:26">
      <c r="A407" s="613">
        <v>4</v>
      </c>
      <c r="B407" s="614" t="str">
        <f>B155</f>
        <v>TOTAL FOR SPRINKLER SYSTEM in € exc VAT</v>
      </c>
      <c r="C407" s="592"/>
      <c r="D407" s="592"/>
      <c r="E407" s="593"/>
      <c r="F407" s="615">
        <f>F155</f>
        <v>0</v>
      </c>
      <c r="G407" s="538"/>
      <c r="H407" s="538"/>
      <c r="I407" s="538"/>
      <c r="J407" s="538"/>
      <c r="K407" s="538"/>
      <c r="L407" s="538"/>
      <c r="M407" s="538"/>
      <c r="N407" s="538"/>
      <c r="O407" s="538"/>
      <c r="P407" s="538"/>
      <c r="Q407" s="538"/>
      <c r="R407" s="538"/>
      <c r="S407" s="538"/>
      <c r="T407" s="538"/>
      <c r="U407" s="538"/>
      <c r="V407" s="538"/>
      <c r="W407" s="538"/>
      <c r="X407" s="538"/>
      <c r="Y407" s="538"/>
      <c r="Z407" s="538"/>
    </row>
    <row r="408" spans="1:26">
      <c r="A408" s="580">
        <v>5</v>
      </c>
      <c r="B408" s="581" t="str">
        <f>B204</f>
        <v>TOTAL FOR ROOM MANAGEMENT SYSTEM in € exc VAT</v>
      </c>
      <c r="F408" s="583">
        <f ca="1">F204</f>
        <v>1646.1100000000001</v>
      </c>
      <c r="G408" s="538"/>
      <c r="H408" s="538"/>
      <c r="I408" s="538"/>
      <c r="J408" s="538"/>
      <c r="K408" s="538"/>
      <c r="L408" s="538"/>
      <c r="M408" s="538"/>
      <c r="N408" s="538"/>
      <c r="O408" s="538"/>
      <c r="P408" s="538"/>
      <c r="Q408" s="538"/>
      <c r="R408" s="538"/>
      <c r="S408" s="538"/>
      <c r="T408" s="538"/>
      <c r="U408" s="538"/>
      <c r="V408" s="538"/>
      <c r="W408" s="538"/>
      <c r="X408" s="538"/>
      <c r="Y408" s="538"/>
      <c r="Z408" s="538"/>
    </row>
    <row r="409" spans="1:26">
      <c r="A409" s="613">
        <v>6</v>
      </c>
      <c r="B409" s="614" t="str">
        <f>B246</f>
        <v>TOTAL FOR VENTILATION INSTALLATION in € exc VAT</v>
      </c>
      <c r="C409" s="592"/>
      <c r="D409" s="592"/>
      <c r="E409" s="593"/>
      <c r="F409" s="615">
        <f>F246</f>
        <v>0</v>
      </c>
      <c r="G409" s="538"/>
      <c r="H409" s="538"/>
      <c r="I409" s="538"/>
      <c r="J409" s="538"/>
      <c r="K409" s="538"/>
      <c r="L409" s="538"/>
      <c r="M409" s="538"/>
      <c r="N409" s="538"/>
      <c r="O409" s="538"/>
      <c r="P409" s="538"/>
      <c r="Q409" s="538"/>
      <c r="R409" s="538"/>
      <c r="S409" s="538"/>
      <c r="T409" s="538"/>
      <c r="U409" s="538"/>
      <c r="V409" s="538"/>
      <c r="W409" s="538"/>
      <c r="X409" s="538"/>
      <c r="Y409" s="538"/>
      <c r="Z409" s="538"/>
    </row>
    <row r="410" spans="1:26">
      <c r="A410" s="613">
        <v>7</v>
      </c>
      <c r="B410" s="614" t="str">
        <f>B273</f>
        <v>TOTAL FOR AIR CONDITIONING INSTALLATION in € exc VAT</v>
      </c>
      <c r="C410" s="592"/>
      <c r="D410" s="592"/>
      <c r="E410" s="593"/>
      <c r="F410" s="615">
        <f>F273</f>
        <v>0</v>
      </c>
      <c r="G410" s="538"/>
      <c r="H410" s="538"/>
      <c r="I410" s="538"/>
      <c r="J410" s="538"/>
      <c r="K410" s="538"/>
      <c r="L410" s="538"/>
      <c r="M410" s="538"/>
      <c r="N410" s="538"/>
      <c r="O410" s="538"/>
      <c r="P410" s="538"/>
      <c r="Q410" s="538"/>
      <c r="R410" s="538"/>
      <c r="S410" s="538"/>
      <c r="T410" s="538"/>
      <c r="U410" s="538"/>
      <c r="V410" s="538"/>
      <c r="W410" s="538"/>
      <c r="X410" s="538"/>
      <c r="Y410" s="538"/>
      <c r="Z410" s="538"/>
    </row>
    <row r="411" spans="1:26">
      <c r="A411" s="613">
        <v>8</v>
      </c>
      <c r="B411" s="614" t="str">
        <f>B281</f>
        <v>TOTAL FOR DAY RATES &amp; MAINTENANCE in € exc VAT</v>
      </c>
      <c r="C411" s="592"/>
      <c r="D411" s="592"/>
      <c r="E411" s="593"/>
      <c r="F411" s="615" t="str">
        <f>F281</f>
        <v>rate</v>
      </c>
      <c r="G411" s="538"/>
      <c r="H411" s="538"/>
      <c r="I411" s="538"/>
      <c r="J411" s="538"/>
      <c r="K411" s="538"/>
      <c r="L411" s="538"/>
      <c r="M411" s="538"/>
      <c r="N411" s="538"/>
      <c r="O411" s="538"/>
      <c r="P411" s="538"/>
      <c r="Q411" s="538"/>
      <c r="R411" s="538"/>
      <c r="S411" s="538"/>
      <c r="T411" s="538"/>
      <c r="U411" s="538"/>
      <c r="V411" s="538"/>
      <c r="W411" s="538"/>
      <c r="X411" s="538"/>
      <c r="Y411" s="538"/>
      <c r="Z411" s="538"/>
    </row>
    <row r="412" spans="1:26">
      <c r="A412" s="580">
        <v>9</v>
      </c>
      <c r="B412" s="581" t="str">
        <f>B294</f>
        <v>TOTAL FOR FIRE DETECTION SYSTEM INSTALLATION in € exc VAT</v>
      </c>
      <c r="F412" s="583">
        <f>F294</f>
        <v>325.40999999999997</v>
      </c>
      <c r="G412" s="538"/>
      <c r="H412" s="538"/>
      <c r="I412" s="538"/>
      <c r="J412" s="538"/>
      <c r="K412" s="538"/>
      <c r="L412" s="538"/>
      <c r="M412" s="538"/>
      <c r="N412" s="538"/>
      <c r="O412" s="538"/>
      <c r="P412" s="538"/>
      <c r="Q412" s="538"/>
      <c r="R412" s="538"/>
      <c r="S412" s="538"/>
      <c r="T412" s="538"/>
      <c r="U412" s="538"/>
      <c r="V412" s="538"/>
      <c r="W412" s="538"/>
      <c r="X412" s="538"/>
      <c r="Y412" s="538"/>
      <c r="Z412" s="538"/>
    </row>
    <row r="413" spans="1:26">
      <c r="A413" s="613">
        <v>10</v>
      </c>
      <c r="B413" s="614" t="str">
        <f>B350</f>
        <v>TOTAL FOR PLUMBING INSTALLATION in € exc VAT</v>
      </c>
      <c r="C413" s="592"/>
      <c r="D413" s="592"/>
      <c r="E413" s="593"/>
      <c r="F413" s="615">
        <f>F350</f>
        <v>0</v>
      </c>
      <c r="G413" s="538"/>
      <c r="H413" s="538"/>
      <c r="I413" s="538"/>
      <c r="J413" s="538"/>
      <c r="K413" s="538"/>
      <c r="L413" s="538"/>
      <c r="M413" s="538"/>
      <c r="N413" s="538"/>
      <c r="O413" s="538"/>
      <c r="P413" s="538"/>
      <c r="Q413" s="538"/>
      <c r="R413" s="538"/>
      <c r="S413" s="538"/>
      <c r="T413" s="538"/>
      <c r="U413" s="538"/>
      <c r="V413" s="538"/>
      <c r="W413" s="538"/>
      <c r="X413" s="538"/>
      <c r="Y413" s="538"/>
      <c r="Z413" s="538"/>
    </row>
    <row r="414" spans="1:26">
      <c r="A414" s="613">
        <v>11</v>
      </c>
      <c r="B414" s="614" t="str">
        <f>B355</f>
        <v>TOTAL FOR FIRE FIGHTING EQUIPMENT in € exc VAT</v>
      </c>
      <c r="C414" s="592"/>
      <c r="D414" s="592"/>
      <c r="E414" s="593"/>
      <c r="F414" s="615">
        <f>F355</f>
        <v>0</v>
      </c>
      <c r="G414" s="538"/>
      <c r="H414" s="538"/>
      <c r="I414" s="538"/>
      <c r="J414" s="538"/>
      <c r="K414" s="538"/>
      <c r="L414" s="538"/>
      <c r="M414" s="538"/>
      <c r="N414" s="538"/>
      <c r="O414" s="538"/>
      <c r="P414" s="538"/>
      <c r="Q414" s="538"/>
      <c r="R414" s="538"/>
      <c r="S414" s="538"/>
      <c r="T414" s="538"/>
      <c r="U414" s="538"/>
      <c r="V414" s="538"/>
      <c r="W414" s="538"/>
      <c r="X414" s="538"/>
      <c r="Y414" s="538"/>
      <c r="Z414" s="538"/>
    </row>
    <row r="415" spans="1:26">
      <c r="A415" s="580">
        <v>12</v>
      </c>
      <c r="B415" s="581" t="str">
        <f>B394</f>
        <v>TOTAL FOR UNBILLED ITEMS in € exc VAT</v>
      </c>
      <c r="F415" s="583">
        <f>F394</f>
        <v>0</v>
      </c>
      <c r="G415" s="538"/>
      <c r="H415" s="538"/>
      <c r="I415" s="538"/>
      <c r="J415" s="538"/>
      <c r="K415" s="538"/>
      <c r="L415" s="538"/>
      <c r="M415" s="538"/>
      <c r="N415" s="538"/>
      <c r="O415" s="538"/>
      <c r="P415" s="538"/>
      <c r="Q415" s="538"/>
      <c r="R415" s="538"/>
      <c r="S415" s="538"/>
      <c r="T415" s="538"/>
      <c r="U415" s="538"/>
      <c r="V415" s="538"/>
      <c r="W415" s="538"/>
      <c r="X415" s="538"/>
      <c r="Y415" s="538"/>
      <c r="Z415" s="538"/>
    </row>
    <row r="416" spans="1:26">
      <c r="A416" s="550"/>
      <c r="B416" s="573" t="s">
        <v>473</v>
      </c>
      <c r="C416" s="551"/>
      <c r="D416" s="551"/>
      <c r="E416" s="552"/>
      <c r="F416" s="584">
        <f ca="1">SUM(F404:F415)</f>
        <v>6113.4599999999991</v>
      </c>
      <c r="G416" s="538"/>
      <c r="H416" s="538"/>
      <c r="I416" s="538"/>
      <c r="J416" s="538"/>
      <c r="K416" s="538"/>
      <c r="L416" s="538"/>
      <c r="M416" s="538"/>
      <c r="N416" s="538"/>
      <c r="O416" s="538"/>
      <c r="P416" s="538"/>
      <c r="Q416" s="538"/>
      <c r="R416" s="538"/>
      <c r="S416" s="538"/>
      <c r="T416" s="538"/>
      <c r="U416" s="538"/>
      <c r="V416" s="538"/>
      <c r="W416" s="538"/>
      <c r="X416" s="538"/>
      <c r="Y416" s="538"/>
      <c r="Z416" s="538"/>
    </row>
    <row r="417" spans="5:26">
      <c r="G417" s="538"/>
      <c r="H417" s="538"/>
      <c r="I417" s="538"/>
      <c r="J417" s="538"/>
      <c r="K417" s="538"/>
      <c r="L417" s="538"/>
      <c r="M417" s="538"/>
      <c r="N417" s="538"/>
      <c r="O417" s="538"/>
      <c r="P417" s="538"/>
      <c r="Q417" s="538"/>
      <c r="R417" s="538"/>
      <c r="S417" s="538"/>
      <c r="T417" s="538"/>
      <c r="U417" s="538"/>
      <c r="V417" s="538"/>
      <c r="W417" s="538"/>
      <c r="X417" s="538"/>
      <c r="Y417" s="538"/>
      <c r="Z417" s="538"/>
    </row>
    <row r="418" spans="5:26">
      <c r="E418" s="536" t="s">
        <v>474</v>
      </c>
      <c r="F418" s="541">
        <v>80000</v>
      </c>
      <c r="G418" s="538"/>
      <c r="H418" s="538"/>
      <c r="I418" s="538"/>
      <c r="J418" s="538"/>
      <c r="K418" s="538"/>
      <c r="L418" s="538"/>
      <c r="M418" s="538"/>
      <c r="N418" s="538"/>
      <c r="O418" s="538"/>
      <c r="P418" s="538"/>
      <c r="Q418" s="538"/>
      <c r="R418" s="538"/>
      <c r="S418" s="538"/>
      <c r="T418" s="538"/>
      <c r="U418" s="538"/>
      <c r="V418" s="538"/>
      <c r="W418" s="538"/>
      <c r="X418" s="538"/>
      <c r="Y418" s="538"/>
      <c r="Z418" s="538"/>
    </row>
    <row r="419" spans="5:26">
      <c r="E419" s="536" t="s">
        <v>475</v>
      </c>
      <c r="F419" s="541">
        <v>60000</v>
      </c>
      <c r="G419" s="538"/>
      <c r="H419" s="538"/>
      <c r="I419" s="538"/>
      <c r="J419" s="538"/>
      <c r="K419" s="538"/>
      <c r="L419" s="538"/>
      <c r="M419" s="538"/>
      <c r="N419" s="538"/>
      <c r="O419" s="538"/>
      <c r="P419" s="538"/>
      <c r="Q419" s="538"/>
      <c r="R419" s="538"/>
      <c r="S419" s="538"/>
      <c r="T419" s="538"/>
      <c r="U419" s="538"/>
      <c r="V419" s="538"/>
      <c r="W419" s="538"/>
      <c r="X419" s="538"/>
      <c r="Y419" s="538"/>
      <c r="Z419" s="538"/>
    </row>
    <row r="420" spans="5:26">
      <c r="E420" s="536" t="s">
        <v>475</v>
      </c>
      <c r="F420" s="541">
        <v>40000</v>
      </c>
      <c r="G420" s="538"/>
      <c r="H420" s="538"/>
      <c r="I420" s="538"/>
      <c r="J420" s="538"/>
      <c r="K420" s="538"/>
      <c r="L420" s="538"/>
      <c r="M420" s="538"/>
      <c r="N420" s="538"/>
      <c r="O420" s="538"/>
      <c r="P420" s="538"/>
      <c r="Q420" s="538"/>
      <c r="R420" s="538"/>
      <c r="S420" s="538"/>
      <c r="T420" s="538"/>
      <c r="U420" s="538"/>
      <c r="V420" s="538"/>
      <c r="W420" s="538"/>
      <c r="X420" s="538"/>
      <c r="Y420" s="538"/>
      <c r="Z420" s="538"/>
    </row>
    <row r="421" spans="5:26">
      <c r="G421" s="538"/>
      <c r="H421" s="538"/>
      <c r="I421" s="538"/>
      <c r="J421" s="538"/>
      <c r="K421" s="538"/>
      <c r="L421" s="538"/>
      <c r="M421" s="538"/>
      <c r="N421" s="538"/>
      <c r="O421" s="538"/>
      <c r="P421" s="538"/>
      <c r="Q421" s="538"/>
      <c r="R421" s="538"/>
      <c r="S421" s="538"/>
      <c r="T421" s="538"/>
      <c r="U421" s="538"/>
      <c r="V421" s="538"/>
      <c r="W421" s="538"/>
      <c r="X421" s="538"/>
      <c r="Y421" s="538"/>
      <c r="Z421" s="538"/>
    </row>
    <row r="422" spans="5:26">
      <c r="F422" s="541">
        <f ca="1">SUM(F416:F420)</f>
        <v>186113.46</v>
      </c>
      <c r="G422" s="538"/>
      <c r="H422" s="538"/>
      <c r="I422" s="538"/>
      <c r="J422" s="538"/>
      <c r="K422" s="538"/>
      <c r="L422" s="538"/>
      <c r="M422" s="538"/>
      <c r="N422" s="538"/>
      <c r="O422" s="538"/>
      <c r="P422" s="538"/>
      <c r="Q422" s="538"/>
      <c r="R422" s="538"/>
      <c r="S422" s="538"/>
      <c r="T422" s="538"/>
      <c r="U422" s="538"/>
      <c r="V422" s="538"/>
      <c r="W422" s="538"/>
      <c r="X422" s="538"/>
      <c r="Y422" s="538"/>
      <c r="Z422" s="538"/>
    </row>
  </sheetData>
  <mergeCells count="5">
    <mergeCell ref="E3:F3"/>
    <mergeCell ref="B35:D35"/>
    <mergeCell ref="E61:F61"/>
    <mergeCell ref="E83:F83"/>
    <mergeCell ref="E94:F94"/>
  </mergeCells>
  <pageMargins left="0.7" right="1.2578125" top="0.75" bottom="0.75" header="0.3" footer="0.3"/>
  <pageSetup paperSize="9" scale="68" orientation="portrait" r:id="rId1"/>
  <headerFooter>
    <oddHeader>&amp;L&amp;"Myriad Pro Light,Bold"&amp;K0070C0CYAN ENGINEERING LTD&amp;C&amp;"Myriad Pro Light,Bold"&amp;K0070C0 AX SUNNY COAST&amp;R&amp;"Myriad Pro Light,Bold"&amp;K0070C0BILL OF QUANTITIES</oddHeader>
    <oddFooter>&amp;C&amp;"Myriad Pro Light,Bold"&amp;K0070C0REV 00 DATE 16.10.2025&amp;R&amp;"Myriad Pro Light,Bold"&amp;K0070C0 PAGE &amp;P OF &amp;N</oddFooter>
  </headerFooter>
  <rowBreaks count="12" manualBreakCount="12">
    <brk id="37" max="5" man="1"/>
    <brk id="109" max="5" man="1"/>
    <brk id="135" max="5" man="1"/>
    <brk id="156" max="5" man="1"/>
    <brk id="205" max="5" man="1"/>
    <brk id="247" max="5" man="1"/>
    <brk id="274" max="5" man="1"/>
    <brk id="282" max="5" man="1"/>
    <brk id="296" max="5" man="1"/>
    <brk id="351" max="5" man="1"/>
    <brk id="356" max="5" man="1"/>
    <brk id="400" max="5" man="1"/>
  </rowBreaks>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7</vt:i4>
      </vt:variant>
    </vt:vector>
  </HeadingPairs>
  <TitlesOfParts>
    <vt:vector size="16" baseType="lpstr">
      <vt:lpstr>Notes</vt:lpstr>
      <vt:lpstr>Material_List</vt:lpstr>
      <vt:lpstr>LSZH_Conduit</vt:lpstr>
      <vt:lpstr>Takeoffs_PVC</vt:lpstr>
      <vt:lpstr>Elec_Rates</vt:lpstr>
      <vt:lpstr>Elec_Est</vt:lpstr>
      <vt:lpstr>ML_Sum</vt:lpstr>
      <vt:lpstr>Quote</vt:lpstr>
      <vt:lpstr>MUR MEP BOQ</vt:lpstr>
      <vt:lpstr>AREAS</vt:lpstr>
      <vt:lpstr>Electrical</vt:lpstr>
      <vt:lpstr>FireAlarm</vt:lpstr>
      <vt:lpstr>Elec_Est!Print_Area</vt:lpstr>
      <vt:lpstr>'MUR MEP BOQ'!Print_Area</vt:lpstr>
      <vt:lpstr>RMS</vt:lpstr>
      <vt:lpstr>Telephone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Ramon Farrugia</cp:lastModifiedBy>
  <cp:lastPrinted>2026-02-06T08:56:50Z</cp:lastPrinted>
  <dcterms:created xsi:type="dcterms:W3CDTF">2004-05-27T15:45:27Z</dcterms:created>
  <dcterms:modified xsi:type="dcterms:W3CDTF">2026-02-06T10:18:01Z</dcterms:modified>
  <cp:contentStatus/>
</cp:coreProperties>
</file>