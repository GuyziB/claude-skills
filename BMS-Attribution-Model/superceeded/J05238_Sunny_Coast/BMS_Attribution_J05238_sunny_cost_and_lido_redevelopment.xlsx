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ion_Log" sheetId="1" state="visible" r:id="rId1"/>
    <sheet name="Labou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7F3F00"/>
      <sz val="9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9"/>
    </font>
    <font>
      <name val="Arial"/>
      <color rgb="00595959"/>
      <sz val="8"/>
    </font>
    <font>
      <name val="Arial"/>
      <b val="1"/>
      <color rgb="00FFFFFF"/>
      <sz val="11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4" fontId="11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0" fontId="0" fillId="9" borderId="1" pivotButton="0" quotePrefix="0" xfId="0"/>
    <xf numFmtId="165" fontId="7" fillId="9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4" fontId="11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11" fillId="7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0" fontId="0" fillId="6" borderId="1" pivotButton="0" quotePrefix="0" xfId="0"/>
    <xf numFmtId="165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P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14" customWidth="1" min="4" max="4"/>
    <col width="44" customWidth="1" min="5" max="5"/>
    <col width="14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9" customWidth="1" min="15" max="15"/>
    <col width="12" customWidth="1" min="16" max="16"/>
  </cols>
  <sheetData>
    <row r="1" ht="22" customHeight="1">
      <c r="A1" s="1" t="inlineStr">
        <is>
          <t>PANTA CONTRACTING LIMITED — BMS Attribution Log   |   Sunny Cost and Lido Redevelopment   |   v3.1</t>
        </is>
      </c>
    </row>
    <row r="2" ht="22" customHeight="1">
      <c r="A2" s="2" t="inlineStr">
        <is>
          <t>ISELL/ICOST Cluster Scan   |   02 April 2026   |   Includes Labour Hours &amp; P&amp;L   |   All hours are BMS team hours</t>
        </is>
      </c>
    </row>
    <row r="3" ht="13" customHeight="1">
      <c r="A3" s="3" t="inlineStr">
        <is>
          <t>Colour:  Green = BMS cluster rule (512/617)   |   Amber = Manual flag   |   Yellow = Maintenance (outside revenue scope)   |   mu_A/B/C = pricing rate bands — all hours are BMS team hours</t>
        </is>
      </c>
    </row>
    <row r="4" ht="40" customHeight="1">
      <c r="A4" s="2" t="inlineStr">
        <is>
          <t>Log_ID</t>
        </is>
      </c>
      <c r="B4" s="2" t="inlineStr">
        <is>
          <t>Source_File</t>
        </is>
      </c>
      <c r="C4" s="2" t="inlineStr">
        <is>
          <t>Excel_Row</t>
        </is>
      </c>
      <c r="D4" s="2" t="inlineStr">
        <is>
          <t>Item_Number</t>
        </is>
      </c>
      <c r="E4" s="2" t="inlineStr">
        <is>
          <t>Item_Name</t>
        </is>
      </c>
      <c r="F4" s="2" t="inlineStr">
        <is>
          <t>BMS_Trigger</t>
        </is>
      </c>
      <c r="G4" s="2" t="inlineStr">
        <is>
          <t>Sell_Total
(€)</t>
        </is>
      </c>
      <c r="H4" s="2" t="inlineStr">
        <is>
          <t>Mat_Cost
(€)</t>
        </is>
      </c>
      <c r="I4" s="2" t="inlineStr">
        <is>
          <t>Total
Lab Hrs</t>
        </is>
      </c>
      <c r="J4" s="2" t="inlineStr">
        <is>
          <t>mu_A Hrs</t>
        </is>
      </c>
      <c r="K4" s="2" t="inlineStr">
        <is>
          <t>mu_B Hrs</t>
        </is>
      </c>
      <c r="L4" s="2" t="inlineStr">
        <is>
          <t>mu_C Hrs</t>
        </is>
      </c>
      <c r="M4" s="2" t="inlineStr">
        <is>
          <t>Lab_Cost
(€)</t>
        </is>
      </c>
      <c r="N4" s="2" t="inlineStr">
        <is>
          <t>Gross_Profit
(€)</t>
        </is>
      </c>
      <c r="O4" s="2" t="inlineStr">
        <is>
          <t>Margin
%</t>
        </is>
      </c>
      <c r="P4" s="2" t="inlineStr">
        <is>
          <t>Hour
Check</t>
        </is>
      </c>
    </row>
    <row r="5" ht="22" customHeight="1">
      <c r="A5" s="4" t="n">
        <v>1</v>
      </c>
      <c r="B5" s="5" t="inlineStr">
        <is>
          <t>EL25-0700 (EL)</t>
        </is>
      </c>
      <c r="C5" s="6" t="n">
        <v>392</v>
      </c>
      <c r="D5" s="6" t="inlineStr">
        <is>
          <t>Item: 3.002</t>
        </is>
      </c>
      <c r="E5" s="5" t="inlineStr">
        <is>
          <t>Computer / Telephone points c/w RJ 45 CAT 6 wall plates</t>
        </is>
      </c>
      <c r="F5" s="6" t="inlineStr">
        <is>
          <t>617</t>
        </is>
      </c>
      <c r="G5" s="7" t="n">
        <v>125.4</v>
      </c>
      <c r="H5" s="7" t="n">
        <v>75.45999999999999</v>
      </c>
      <c r="I5" s="8" t="n">
        <v>1.73</v>
      </c>
      <c r="J5" s="8" t="n">
        <v>1.73225</v>
      </c>
      <c r="K5" s="8" t="n">
        <v>0</v>
      </c>
      <c r="L5" s="8" t="n">
        <v>0</v>
      </c>
      <c r="M5" s="7" t="n">
        <v>49.94596425</v>
      </c>
      <c r="N5" s="7" t="n">
        <v>-0.005964249999983906</v>
      </c>
      <c r="O5" s="9" t="n">
        <v>-4.756180223272652e-05</v>
      </c>
      <c r="P5" s="6" t="inlineStr">
        <is>
          <t>OK</t>
        </is>
      </c>
    </row>
    <row r="6" ht="22" customHeight="1">
      <c r="A6" s="4" t="n">
        <v>2</v>
      </c>
      <c r="B6" s="5" t="inlineStr">
        <is>
          <t>EL25-0700 (EL)</t>
        </is>
      </c>
      <c r="C6" s="6" t="n">
        <v>405</v>
      </c>
      <c r="D6" s="6" t="inlineStr">
        <is>
          <t>Item: 3.004</t>
        </is>
      </c>
      <c r="E6" s="5" t="inlineStr">
        <is>
          <t>From main network switch to corridor</t>
        </is>
      </c>
      <c r="F6" s="6" t="inlineStr">
        <is>
          <t>617</t>
        </is>
      </c>
      <c r="G6" s="7" t="n">
        <v>5.18</v>
      </c>
      <c r="H6" s="7" t="n">
        <v>2.13</v>
      </c>
      <c r="I6" s="8" t="n">
        <v>0.11</v>
      </c>
      <c r="J6" s="8" t="n">
        <v>0.105625</v>
      </c>
      <c r="K6" s="8" t="n">
        <v>0</v>
      </c>
      <c r="L6" s="8" t="n">
        <v>0</v>
      </c>
      <c r="M6" s="7" t="n">
        <v>3.045485625</v>
      </c>
      <c r="N6" s="7" t="n">
        <v>0.004514374999999848</v>
      </c>
      <c r="O6" s="9" t="n">
        <v>0.000871500965250936</v>
      </c>
      <c r="P6" s="6" t="inlineStr">
        <is>
          <t>OK</t>
        </is>
      </c>
    </row>
    <row r="7" ht="22" customHeight="1">
      <c r="A7" s="4" t="n">
        <v>3</v>
      </c>
      <c r="B7" s="5" t="inlineStr">
        <is>
          <t>ELM25-0699 (ELM)</t>
        </is>
      </c>
      <c r="C7" s="6" t="n">
        <v>37</v>
      </c>
      <c r="D7" s="6" t="inlineStr">
        <is>
          <t>Item: 6.008</t>
        </is>
      </c>
      <c r="E7" s="5" t="inlineStr">
        <is>
          <t xml:space="preserve">Provide an indirect OA monitroing devices such as differential pressure sensor, </t>
        </is>
      </c>
      <c r="F7" s="6" t="inlineStr">
        <is>
          <t>512</t>
        </is>
      </c>
      <c r="G7" s="7" t="n">
        <v>234</v>
      </c>
      <c r="H7" s="7" t="n">
        <v>180</v>
      </c>
      <c r="I7" s="8" t="n">
        <v>0</v>
      </c>
      <c r="J7" s="8" t="n">
        <v>0</v>
      </c>
      <c r="K7" s="8" t="n">
        <v>0</v>
      </c>
      <c r="L7" s="8" t="n">
        <v>0</v>
      </c>
      <c r="M7" s="7" t="n">
        <v>0</v>
      </c>
      <c r="N7" s="7" t="n">
        <v>54</v>
      </c>
      <c r="O7" s="9" t="n">
        <v>0.2307692307692308</v>
      </c>
      <c r="P7" s="6" t="inlineStr">
        <is>
          <t>OK</t>
        </is>
      </c>
    </row>
    <row r="8" ht="18" customHeight="1">
      <c r="A8" s="10" t="inlineStr">
        <is>
          <t>TOTALS — All BMS Clusters</t>
        </is>
      </c>
      <c r="G8" s="11">
        <f>SUM(G5:G7)</f>
        <v/>
      </c>
      <c r="H8" s="11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11">
        <f>SUM(M5:M7)</f>
        <v/>
      </c>
      <c r="N8" s="11">
        <f>SUM(N5:N7)</f>
        <v/>
      </c>
      <c r="O8" s="13">
        <f>IF(G8&gt;0,N8/G8,0)</f>
        <v/>
      </c>
    </row>
  </sheetData>
  <mergeCells count="4">
    <mergeCell ref="A8:F8"/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3" customWidth="1" min="4" max="4"/>
    <col width="11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</cols>
  <sheetData>
    <row r="1" ht="22" customHeight="1">
      <c r="A1" s="1" t="inlineStr">
        <is>
          <t>PANTA CONTRACTING LIMITED — BMS Labour Hours &amp; P&amp;L Summary   |   Sunny Cost and Lido Redevelopment</t>
        </is>
      </c>
    </row>
    <row r="2" ht="22" customHeight="1">
      <c r="A2" s="2" t="inlineStr">
        <is>
          <t>All hours are BMS team hours — mu_A/B/C are pricing rate bands only   |   02 April 2026</t>
        </is>
      </c>
    </row>
    <row r="3" ht="24" customHeight="1">
      <c r="A3" s="14" t="inlineStr">
        <is>
          <t>IMPORTANT: The BMS department is entitled to the full revenue, hours and profit for all clusters shown. mu_A/B/C indicate which labour rate was used for pricing — they do NOT indicate who performed the work. All work within a BMS cluster is BMS scope.</t>
        </is>
      </c>
    </row>
    <row r="4" ht="16" customHeight="1">
      <c r="A4" s="15" t="inlineStr">
        <is>
          <t xml:space="preserve">  EL25-0700 (EL) — EL</t>
        </is>
      </c>
    </row>
    <row r="5" ht="13" customHeight="1">
      <c r="A5" s="16" t="inlineStr">
        <is>
          <t>mu_A = Electrical (cost €28.83/hr, sell €28.83/hr [ML_Sum (matches derived)])  |  mu_B = Controls Section (Guy) (cost €33.00/hr, sell €33.00/hr [ML_Sum (matches derived)])  |  mu_C = Controls Section (Engineer) (cost €30.00/hr, sell €30.00/hr [ML_Sum (matches derived)])</t>
        </is>
      </c>
    </row>
    <row r="6" ht="36" customHeight="1">
      <c r="A6" s="2" t="inlineStr">
        <is>
          <t>Item</t>
        </is>
      </c>
      <c r="B6" s="2" t="inlineStr">
        <is>
          <t>Item Name</t>
        </is>
      </c>
      <c r="C6" s="2" t="inlineStr">
        <is>
          <t>Sell Total
(€)</t>
        </is>
      </c>
      <c r="D6" s="2" t="inlineStr">
        <is>
          <t>Mat Cost
(€)</t>
        </is>
      </c>
      <c r="E6" s="2" t="inlineStr">
        <is>
          <t>Lab Hrs
Total</t>
        </is>
      </c>
      <c r="F6" s="2" t="inlineStr">
        <is>
          <t>mu_A
Electrical</t>
        </is>
      </c>
      <c r="G6" s="2" t="inlineStr">
        <is>
          <t>mu_B
Controls S</t>
        </is>
      </c>
      <c r="H6" s="2" t="inlineStr">
        <is>
          <t>mu_C
Controls S</t>
        </is>
      </c>
      <c r="I6" s="2" t="inlineStr">
        <is>
          <t>Lab Cost
(€)</t>
        </is>
      </c>
      <c r="J6" s="2" t="inlineStr">
        <is>
          <t>Gross Profit
(€)</t>
        </is>
      </c>
    </row>
    <row r="7" ht="14" customHeight="1">
      <c r="A7" s="4" t="inlineStr">
        <is>
          <t>Item: 3.002</t>
        </is>
      </c>
      <c r="B7" s="5" t="inlineStr">
        <is>
          <t xml:space="preserve">Computer / Telephone points c/w RJ 45 CAT </t>
        </is>
      </c>
      <c r="C7" s="7" t="n">
        <v>125.4</v>
      </c>
      <c r="D7" s="7" t="n">
        <v>75.45999999999999</v>
      </c>
      <c r="E7" s="8" t="n">
        <v>1.73</v>
      </c>
      <c r="F7" s="8" t="n">
        <v>1.73225</v>
      </c>
      <c r="G7" s="8" t="n">
        <v>0</v>
      </c>
      <c r="H7" s="8" t="n">
        <v>0</v>
      </c>
      <c r="I7" s="7" t="n">
        <v>49.94596425</v>
      </c>
      <c r="J7" s="7" t="n">
        <v>-0.005964249999983906</v>
      </c>
    </row>
    <row r="8" ht="14" customHeight="1">
      <c r="A8" s="4" t="inlineStr">
        <is>
          <t>Item: 3.004</t>
        </is>
      </c>
      <c r="B8" s="5" t="inlineStr">
        <is>
          <t>From main network switch to corridor</t>
        </is>
      </c>
      <c r="C8" s="7" t="n">
        <v>5.18</v>
      </c>
      <c r="D8" s="7" t="n">
        <v>2.13</v>
      </c>
      <c r="E8" s="8" t="n">
        <v>0.11</v>
      </c>
      <c r="F8" s="8" t="n">
        <v>0.105625</v>
      </c>
      <c r="G8" s="8" t="n">
        <v>0</v>
      </c>
      <c r="H8" s="8" t="n">
        <v>0</v>
      </c>
      <c r="I8" s="7" t="n">
        <v>3.045485625</v>
      </c>
      <c r="J8" s="7" t="n">
        <v>0.004514374999999848</v>
      </c>
    </row>
    <row r="9" ht="16" customHeight="1">
      <c r="A9" s="17" t="inlineStr">
        <is>
          <t>SUBTOTAL (in-scope)</t>
        </is>
      </c>
      <c r="B9" s="17">
        <f>IF(C9&gt;0,"Margin "&amp;TEXT(J9/C9,"0.0%"),"Margin —")</f>
        <v/>
      </c>
      <c r="C9" s="11">
        <f>SUM(C7:C8)</f>
        <v/>
      </c>
      <c r="D9" s="11">
        <f>SUM(D7:D8)</f>
        <v/>
      </c>
      <c r="E9" s="12">
        <f>SUM(E7:E8)</f>
        <v/>
      </c>
      <c r="F9" s="12">
        <f>SUM(F7:F8)</f>
        <v/>
      </c>
      <c r="G9" s="12">
        <f>SUM(G7:G8)</f>
        <v/>
      </c>
      <c r="H9" s="12">
        <f>SUM(H7:H8)</f>
        <v/>
      </c>
      <c r="I9" s="11">
        <f>SUM(I7:I8)</f>
        <v/>
      </c>
      <c r="J9" s="11">
        <f>SUM(J7:J8)</f>
        <v/>
      </c>
    </row>
    <row r="11" ht="16" customHeight="1">
      <c r="A11" s="15" t="inlineStr">
        <is>
          <t xml:space="preserve">  ELM25-0699 (ELM) — ELM</t>
        </is>
      </c>
    </row>
    <row r="12" ht="13" customHeight="1">
      <c r="A12" s="16" t="inlineStr">
        <is>
          <t>mu_A = Electrical (cost €27.46/hr, sell €0.00/hr [default])  |  mu_B = ECA Technician (cost €33.72/hr, sell €0.00/hr [default])  |  mu_C = ECA Engineer (cost €30.00/hr, sell €0.00/hr [default])</t>
        </is>
      </c>
    </row>
    <row r="13" ht="36" customHeight="1">
      <c r="A13" s="2" t="inlineStr">
        <is>
          <t>Item</t>
        </is>
      </c>
      <c r="B13" s="2" t="inlineStr">
        <is>
          <t>Item Name</t>
        </is>
      </c>
      <c r="C13" s="2" t="inlineStr">
        <is>
          <t>Sell Total
(€)</t>
        </is>
      </c>
      <c r="D13" s="2" t="inlineStr">
        <is>
          <t>Mat Cost
(€)</t>
        </is>
      </c>
      <c r="E13" s="2" t="inlineStr">
        <is>
          <t>Lab Hrs
Total</t>
        </is>
      </c>
      <c r="F13" s="2" t="inlineStr">
        <is>
          <t>mu_A
Electrical</t>
        </is>
      </c>
      <c r="G13" s="2" t="inlineStr">
        <is>
          <t>mu_B
ECA Techni</t>
        </is>
      </c>
      <c r="H13" s="2" t="inlineStr">
        <is>
          <t>mu_C
ECA Engine</t>
        </is>
      </c>
      <c r="I13" s="2" t="inlineStr">
        <is>
          <t>Lab Cost
(€)</t>
        </is>
      </c>
      <c r="J13" s="2" t="inlineStr">
        <is>
          <t>Gross Profit
(€)</t>
        </is>
      </c>
    </row>
    <row r="14" ht="14" customHeight="1">
      <c r="A14" s="4" t="inlineStr">
        <is>
          <t>Item: 6.008</t>
        </is>
      </c>
      <c r="B14" s="5" t="inlineStr">
        <is>
          <t xml:space="preserve">Provide an indirect OA monitroing devices </t>
        </is>
      </c>
      <c r="C14" s="7" t="n">
        <v>234</v>
      </c>
      <c r="D14" s="7" t="n">
        <v>180</v>
      </c>
      <c r="E14" s="8" t="n">
        <v>0</v>
      </c>
      <c r="F14" s="8" t="n">
        <v>0</v>
      </c>
      <c r="G14" s="8" t="n">
        <v>0</v>
      </c>
      <c r="H14" s="8" t="n">
        <v>0</v>
      </c>
      <c r="I14" s="7" t="n">
        <v>0</v>
      </c>
      <c r="J14" s="7" t="n">
        <v>54</v>
      </c>
    </row>
    <row r="15" ht="16" customHeight="1">
      <c r="A15" s="17" t="inlineStr">
        <is>
          <t>SUBTOTAL (in-scope)</t>
        </is>
      </c>
      <c r="B15" s="17">
        <f>IF(C15&gt;0,"Margin "&amp;TEXT(J15/C15,"0.0%"),"Margin —")</f>
        <v/>
      </c>
      <c r="C15" s="11">
        <f>SUM(C14:C14)</f>
        <v/>
      </c>
      <c r="D15" s="11">
        <f>SUM(D14:D14)</f>
        <v/>
      </c>
      <c r="E15" s="12">
        <f>SUM(E14:E14)</f>
        <v/>
      </c>
      <c r="F15" s="12">
        <f>SUM(F14:F14)</f>
        <v/>
      </c>
      <c r="G15" s="12">
        <f>SUM(G14:G14)</f>
        <v/>
      </c>
      <c r="H15" s="12">
        <f>SUM(H14:H14)</f>
        <v/>
      </c>
      <c r="I15" s="11">
        <f>SUM(I14:I14)</f>
        <v/>
      </c>
      <c r="J15" s="11">
        <f>SUM(J14:J14)</f>
        <v/>
      </c>
    </row>
    <row r="17" ht="20" customHeight="1">
      <c r="A17" s="18" t="inlineStr">
        <is>
          <t xml:space="preserve">  COMBINED BMS P&amp;L — Sunny Cost and Lido Redevelopment (excl. Maintenance)</t>
        </is>
      </c>
    </row>
    <row r="18" ht="16" customHeight="1">
      <c r="A18" s="19" t="inlineStr">
        <is>
          <t>Combined Project Revenue</t>
        </is>
      </c>
      <c r="C18" s="20">
        <f>6463.04</f>
        <v/>
      </c>
      <c r="D18" s="21" t="n"/>
      <c r="E18" s="21" t="n"/>
      <c r="F18" s="21" t="n"/>
      <c r="G18" s="21" t="n"/>
      <c r="H18" s="21" t="n"/>
      <c r="I18" s="21" t="n"/>
      <c r="J18" s="21" t="n"/>
    </row>
    <row r="19" ht="16" customHeight="1">
      <c r="A19" s="22" t="inlineStr">
        <is>
          <t>BMS Revenue (in-scope)</t>
        </is>
      </c>
      <c r="C19" s="23">
        <f>C9+C15</f>
        <v/>
      </c>
      <c r="D19" s="24" t="n"/>
      <c r="E19" s="24" t="n"/>
      <c r="F19" s="24" t="n"/>
      <c r="G19" s="24" t="n"/>
      <c r="H19" s="24" t="n"/>
      <c r="I19" s="24" t="n"/>
      <c r="J19" s="24" t="n"/>
    </row>
    <row r="20" ht="16" customHeight="1">
      <c r="A20" s="22" t="inlineStr">
        <is>
          <t>BMS Attribution %</t>
        </is>
      </c>
      <c r="C20" s="25">
        <f>IF(C18&gt;0,C19/C18,0)</f>
        <v/>
      </c>
      <c r="D20" s="24" t="n"/>
      <c r="E20" s="24" t="n"/>
      <c r="F20" s="24" t="n"/>
      <c r="G20" s="24" t="n"/>
      <c r="H20" s="24" t="n"/>
      <c r="I20" s="24" t="n"/>
      <c r="J20" s="24" t="n"/>
    </row>
    <row r="21" ht="16" customHeight="1">
      <c r="A21" s="26" t="inlineStr">
        <is>
          <t>BMS Material Cost</t>
        </is>
      </c>
      <c r="C21" s="27">
        <f>D9+D15</f>
        <v/>
      </c>
      <c r="D21" s="28" t="n"/>
      <c r="E21" s="28" t="n"/>
      <c r="F21" s="28" t="n"/>
      <c r="G21" s="28" t="n"/>
      <c r="H21" s="28" t="n"/>
      <c r="I21" s="28" t="n"/>
      <c r="J21" s="28" t="n"/>
    </row>
    <row r="22" ht="16" customHeight="1">
      <c r="A22" s="26" t="inlineStr">
        <is>
          <t>BMS Labour Hours — Total</t>
        </is>
      </c>
      <c r="C22" s="29">
        <f>E9+E15</f>
        <v/>
      </c>
      <c r="D22" s="28" t="n"/>
      <c r="E22" s="28" t="n"/>
      <c r="F22" s="28" t="n"/>
      <c r="G22" s="28" t="n"/>
      <c r="H22" s="28" t="n"/>
      <c r="I22" s="28" t="n"/>
      <c r="J22" s="28" t="n"/>
    </row>
    <row r="23" ht="16" customHeight="1">
      <c r="A23" s="19" t="inlineStr">
        <is>
          <t xml:space="preserve">  Electrical (mu_A)</t>
        </is>
      </c>
      <c r="C23" s="30">
        <f>F9+F15</f>
        <v/>
      </c>
      <c r="D23" s="21" t="n"/>
      <c r="E23" s="21" t="n"/>
      <c r="F23" s="21" t="n"/>
      <c r="G23" s="21" t="n"/>
      <c r="H23" s="21" t="n"/>
      <c r="I23" s="21" t="n"/>
      <c r="J23" s="21" t="n"/>
    </row>
    <row r="24" ht="16" customHeight="1">
      <c r="A24" s="19" t="inlineStr">
        <is>
          <t xml:space="preserve">  Controls Section (Guy) (mu_B)</t>
        </is>
      </c>
      <c r="C24" s="30">
        <f>G9+G15</f>
        <v/>
      </c>
      <c r="D24" s="21" t="n"/>
      <c r="E24" s="21" t="n"/>
      <c r="F24" s="21" t="n"/>
      <c r="G24" s="21" t="n"/>
      <c r="H24" s="21" t="n"/>
      <c r="I24" s="21" t="n"/>
      <c r="J24" s="21" t="n"/>
    </row>
    <row r="25" ht="16" customHeight="1">
      <c r="A25" s="19" t="inlineStr">
        <is>
          <t xml:space="preserve">  Controls Section (Engineer) (mu_C)</t>
        </is>
      </c>
      <c r="C25" s="30">
        <f>H9+H15</f>
        <v/>
      </c>
      <c r="D25" s="21" t="n"/>
      <c r="E25" s="21" t="n"/>
      <c r="F25" s="21" t="n"/>
      <c r="G25" s="21" t="n"/>
      <c r="H25" s="21" t="n"/>
      <c r="I25" s="21" t="n"/>
      <c r="J25" s="21" t="n"/>
    </row>
    <row r="26" ht="16" customHeight="1">
      <c r="A26" s="26" t="inlineStr">
        <is>
          <t>BMS Labour Cost</t>
        </is>
      </c>
      <c r="C26" s="27">
        <f>I9+I15</f>
        <v/>
      </c>
      <c r="D26" s="28" t="n"/>
      <c r="E26" s="28" t="n"/>
      <c r="F26" s="28" t="n"/>
      <c r="G26" s="28" t="n"/>
      <c r="H26" s="28" t="n"/>
      <c r="I26" s="28" t="n"/>
      <c r="J26" s="28" t="n"/>
    </row>
    <row r="27" ht="16" customHeight="1">
      <c r="A27" s="17" t="inlineStr">
        <is>
          <t>BMS Gross Profit</t>
        </is>
      </c>
      <c r="C27" s="11">
        <f>C19-C21-C26</f>
        <v/>
      </c>
      <c r="D27" s="31" t="n"/>
      <c r="E27" s="31" t="n"/>
      <c r="F27" s="31" t="n"/>
      <c r="G27" s="31" t="n"/>
      <c r="H27" s="31" t="n"/>
      <c r="I27" s="31" t="n"/>
      <c r="J27" s="31" t="n"/>
    </row>
    <row r="28" ht="16" customHeight="1">
      <c r="A28" s="17" t="inlineStr">
        <is>
          <t>BMS Gross Margin</t>
        </is>
      </c>
      <c r="C28" s="32">
        <f>IF(C19&gt;0,C27/C19,0)</f>
        <v/>
      </c>
      <c r="D28" s="31" t="n"/>
      <c r="E28" s="31" t="n"/>
      <c r="F28" s="31" t="n"/>
      <c r="G28" s="31" t="n"/>
      <c r="H28" s="31" t="n"/>
      <c r="I28" s="31" t="n"/>
      <c r="J28" s="31" t="n"/>
    </row>
  </sheetData>
  <mergeCells count="19">
    <mergeCell ref="A5:J5"/>
    <mergeCell ref="A24:B24"/>
    <mergeCell ref="A17:J17"/>
    <mergeCell ref="A4:J4"/>
    <mergeCell ref="A25:B25"/>
    <mergeCell ref="A18:B18"/>
    <mergeCell ref="A27:B27"/>
    <mergeCell ref="A11:J11"/>
    <mergeCell ref="A1:J1"/>
    <mergeCell ref="A21:B21"/>
    <mergeCell ref="A26:B26"/>
    <mergeCell ref="A23:B23"/>
    <mergeCell ref="A22:B22"/>
    <mergeCell ref="A20:B20"/>
    <mergeCell ref="A19:B19"/>
    <mergeCell ref="A3:J3"/>
    <mergeCell ref="A28:B28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2026-04-02T06:26:18Z</dcterms:created>
  <dcterms:modified xsi:type="dcterms:W3CDTF">2026-04-02T06:26:18Z</dcterms:modified>
</cp:coreProperties>
</file>