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fileSharing readOnlyRecommended="1"/>
  <workbookPr backupFile="1" codeName="ThisWorkbook"/>
  <mc:AlternateContent xmlns:mc="http://schemas.openxmlformats.org/markup-compatibility/2006">
    <mc:Choice Requires="x15">
      <x15ac:absPath xmlns:x15ac="http://schemas.microsoft.com/office/spreadsheetml/2010/11/ac" url="K:\est\Sunny Coast Hotel\Estimates\"/>
    </mc:Choice>
  </mc:AlternateContent>
  <xr:revisionPtr revIDLastSave="0" documentId="13_ncr:1_{2E0BBA49-0A1E-4B51-9EC0-58C42C01E856}" xr6:coauthVersionLast="47" xr6:coauthVersionMax="47" xr10:uidLastSave="{00000000-0000-0000-0000-000000000000}"/>
  <bookViews>
    <workbookView xWindow="29970" yWindow="1860" windowWidth="23010" windowHeight="12210" tabRatio="811" activeTab="2" xr2:uid="{00000000-000D-0000-FFFF-FFFF00000000}"/>
  </bookViews>
  <sheets>
    <sheet name="Notes" sheetId="10" r:id="rId1"/>
    <sheet name="Elec_Est" sheetId="8" r:id="rId2"/>
    <sheet name="ML_Sum" sheetId="1" r:id="rId3"/>
    <sheet name="Quote" sheetId="18" r:id="rId4"/>
    <sheet name="MUR MEP BOQ" sheetId="21" r:id="rId5"/>
  </sheets>
  <externalReferences>
    <externalReference r:id="rId6"/>
  </externalReferences>
  <definedNames>
    <definedName name="_xlnm._FilterDatabase" localSheetId="1" hidden="1">Elec_Est!$G$1:$G$168</definedName>
    <definedName name="_Key1" hidden="1">#REF!</definedName>
    <definedName name="_Order1" hidden="1">255</definedName>
    <definedName name="_Sort" hidden="1">#REF!</definedName>
    <definedName name="Access_Control">[1]Elec_Est!#REF!</definedName>
    <definedName name="AREAS" localSheetId="3">[1]ML_Sum!$X$1:$AD$16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1">Elec_Est!$A$1:$T$168</definedName>
    <definedName name="_xlnm.Print_Area" localSheetId="4">'MUR MEP BOQ'!$A$1:$H$256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6" i="21" l="1"/>
  <c r="E116" i="21"/>
  <c r="T76" i="8"/>
  <c r="T75" i="8"/>
  <c r="R76" i="8"/>
  <c r="R75" i="8"/>
  <c r="F108" i="21"/>
  <c r="F113" i="21"/>
  <c r="E108" i="21"/>
  <c r="E113" i="21"/>
  <c r="G113" i="21"/>
  <c r="H113" i="21" s="1"/>
  <c r="G108" i="21"/>
  <c r="H108" i="21" s="1"/>
  <c r="R70" i="8"/>
  <c r="R69" i="8"/>
  <c r="R68" i="8"/>
  <c r="R71" i="8" s="1"/>
  <c r="R64" i="8"/>
  <c r="AM59" i="8" s="1"/>
  <c r="R63" i="8"/>
  <c r="R62" i="8"/>
  <c r="R61" i="8"/>
  <c r="AM66" i="8" l="1"/>
  <c r="D95" i="1"/>
  <c r="D175" i="1" s="1"/>
  <c r="R50" i="8" l="1"/>
  <c r="R51" i="8"/>
  <c r="Q49" i="8"/>
  <c r="R49" i="8" s="1"/>
  <c r="R48" i="8" l="1"/>
  <c r="R47" i="8"/>
  <c r="R39" i="8"/>
  <c r="R33" i="8"/>
  <c r="R32" i="8"/>
  <c r="R26" i="8"/>
  <c r="R25" i="8"/>
  <c r="R108" i="8" l="1"/>
  <c r="T108" i="8"/>
  <c r="R109" i="8"/>
  <c r="T109" i="8"/>
  <c r="R110" i="8"/>
  <c r="T110" i="8"/>
  <c r="R111" i="8"/>
  <c r="R112" i="8"/>
  <c r="T112" i="8"/>
  <c r="R113" i="8"/>
  <c r="T113" i="8"/>
  <c r="R114" i="8"/>
  <c r="T114" i="8"/>
  <c r="R115" i="8"/>
  <c r="T115" i="8"/>
  <c r="R116" i="8"/>
  <c r="R117" i="8"/>
  <c r="T117" i="8"/>
  <c r="R118" i="8"/>
  <c r="T118" i="8"/>
  <c r="R119" i="8"/>
  <c r="T119" i="8"/>
  <c r="R120" i="8"/>
  <c r="T120" i="8"/>
  <c r="R121" i="8"/>
  <c r="T121" i="8"/>
  <c r="R122" i="8"/>
  <c r="T122" i="8"/>
  <c r="R123" i="8"/>
  <c r="T123" i="8"/>
  <c r="R124" i="8"/>
  <c r="T124" i="8"/>
  <c r="R125" i="8"/>
  <c r="T125" i="8"/>
  <c r="R126" i="8"/>
  <c r="T126" i="8"/>
  <c r="R127" i="8"/>
  <c r="T127" i="8"/>
  <c r="R128" i="8"/>
  <c r="T128" i="8"/>
  <c r="R129" i="8"/>
  <c r="R130" i="8"/>
  <c r="R131" i="8"/>
  <c r="T131" i="8"/>
  <c r="R132" i="8"/>
  <c r="T132" i="8"/>
  <c r="R133" i="8"/>
  <c r="T133" i="8"/>
  <c r="R134" i="8"/>
  <c r="T134" i="8"/>
  <c r="R135" i="8"/>
  <c r="T135" i="8"/>
  <c r="R136" i="8"/>
  <c r="T136" i="8"/>
  <c r="R137" i="8"/>
  <c r="T137" i="8"/>
  <c r="R138" i="8"/>
  <c r="T138" i="8"/>
  <c r="R139" i="8"/>
  <c r="T139" i="8"/>
  <c r="R140" i="8"/>
  <c r="T140" i="8"/>
  <c r="R141" i="8"/>
  <c r="T141" i="8"/>
  <c r="R142" i="8"/>
  <c r="T142" i="8"/>
  <c r="R143" i="8"/>
  <c r="T143" i="8"/>
  <c r="R144" i="8"/>
  <c r="T144" i="8"/>
  <c r="R145" i="8"/>
  <c r="T145" i="8"/>
  <c r="R146" i="8"/>
  <c r="T146" i="8"/>
  <c r="R147" i="8"/>
  <c r="T147" i="8"/>
  <c r="R148" i="8"/>
  <c r="T148" i="8"/>
  <c r="R149" i="8"/>
  <c r="T149" i="8"/>
  <c r="R150" i="8"/>
  <c r="T150" i="8"/>
  <c r="R151" i="8"/>
  <c r="T151" i="8"/>
  <c r="R152" i="8"/>
  <c r="T152" i="8"/>
  <c r="R153" i="8"/>
  <c r="T153" i="8"/>
  <c r="R154" i="8"/>
  <c r="T154" i="8"/>
  <c r="R155" i="8"/>
  <c r="T155" i="8"/>
  <c r="R156" i="8"/>
  <c r="R157" i="8"/>
  <c r="T157" i="8"/>
  <c r="R158" i="8"/>
  <c r="T158" i="8"/>
  <c r="R159" i="8"/>
  <c r="T159" i="8"/>
  <c r="R160" i="8"/>
  <c r="T160" i="8"/>
  <c r="R161" i="8"/>
  <c r="T161" i="8"/>
  <c r="R162" i="8"/>
  <c r="T162" i="8"/>
  <c r="T107" i="8"/>
  <c r="R107" i="8"/>
  <c r="B254" i="21" l="1"/>
  <c r="B253" i="21"/>
  <c r="B252" i="21"/>
  <c r="A252" i="21"/>
  <c r="A253" i="21" s="1"/>
  <c r="A254" i="21" s="1"/>
  <c r="H250" i="21"/>
  <c r="B250" i="21"/>
  <c r="B249" i="21"/>
  <c r="B248" i="21"/>
  <c r="B246" i="21"/>
  <c r="H243" i="21"/>
  <c r="B243" i="21"/>
  <c r="H233" i="21"/>
  <c r="H254" i="21" s="1"/>
  <c r="H193" i="21"/>
  <c r="H194" i="21" s="1"/>
  <c r="H253" i="21" s="1"/>
  <c r="H185" i="21"/>
  <c r="A185" i="21"/>
  <c r="H184" i="21"/>
  <c r="A184" i="21"/>
  <c r="H182" i="21"/>
  <c r="A182" i="21"/>
  <c r="H181" i="21"/>
  <c r="A181" i="21"/>
  <c r="H178" i="21"/>
  <c r="A178" i="21"/>
  <c r="H177" i="21"/>
  <c r="A177" i="21"/>
  <c r="H176" i="21"/>
  <c r="H175" i="21"/>
  <c r="H174" i="21"/>
  <c r="A174" i="21"/>
  <c r="H173" i="21"/>
  <c r="A173" i="21"/>
  <c r="H172" i="21"/>
  <c r="H171" i="21"/>
  <c r="H170" i="21"/>
  <c r="H169" i="21"/>
  <c r="H168" i="21"/>
  <c r="H167" i="21"/>
  <c r="H166" i="21"/>
  <c r="H165" i="21"/>
  <c r="H164" i="21"/>
  <c r="H163" i="21"/>
  <c r="H162" i="21"/>
  <c r="H161" i="21"/>
  <c r="A161" i="21"/>
  <c r="H160" i="21"/>
  <c r="A160" i="21"/>
  <c r="H159" i="21"/>
  <c r="H158" i="21"/>
  <c r="H157" i="21"/>
  <c r="H156" i="21"/>
  <c r="H155" i="21"/>
  <c r="A155" i="21"/>
  <c r="H154" i="21"/>
  <c r="A154" i="21"/>
  <c r="H153" i="21"/>
  <c r="H152" i="21"/>
  <c r="H151" i="21"/>
  <c r="H150" i="21"/>
  <c r="H149" i="21"/>
  <c r="H148" i="21"/>
  <c r="H147" i="21"/>
  <c r="H146" i="21"/>
  <c r="A146" i="21"/>
  <c r="H145" i="21"/>
  <c r="H144" i="21"/>
  <c r="H143" i="21"/>
  <c r="H142" i="21"/>
  <c r="H141" i="21"/>
  <c r="H140" i="21"/>
  <c r="H139" i="21"/>
  <c r="A139" i="21"/>
  <c r="A141" i="21" s="1"/>
  <c r="H125" i="21"/>
  <c r="A125" i="21"/>
  <c r="H124" i="21"/>
  <c r="H123" i="21"/>
  <c r="H122" i="21"/>
  <c r="A122" i="21"/>
  <c r="H121" i="21"/>
  <c r="A121" i="21"/>
  <c r="H120" i="21"/>
  <c r="H119" i="21"/>
  <c r="A119" i="21"/>
  <c r="H118" i="21"/>
  <c r="H114" i="21"/>
  <c r="H112" i="21"/>
  <c r="H111" i="21"/>
  <c r="A111" i="21"/>
  <c r="A110" i="21"/>
  <c r="H109" i="21"/>
  <c r="H107" i="21"/>
  <c r="H106" i="21"/>
  <c r="A106" i="21"/>
  <c r="H105" i="21"/>
  <c r="A105" i="21"/>
  <c r="H104" i="21"/>
  <c r="A104" i="21"/>
  <c r="A107" i="21" s="1"/>
  <c r="H98" i="21"/>
  <c r="H97" i="21"/>
  <c r="A95" i="21"/>
  <c r="A94" i="21"/>
  <c r="H92" i="21"/>
  <c r="A92" i="21"/>
  <c r="H91" i="21"/>
  <c r="A91" i="21"/>
  <c r="H90" i="21"/>
  <c r="H89" i="21"/>
  <c r="H88" i="21"/>
  <c r="A88" i="21"/>
  <c r="H87" i="21"/>
  <c r="A87" i="21"/>
  <c r="H86" i="21"/>
  <c r="H85" i="21"/>
  <c r="H84" i="21"/>
  <c r="H83" i="21"/>
  <c r="A83" i="21"/>
  <c r="H82" i="21"/>
  <c r="A82" i="21"/>
  <c r="H81" i="21"/>
  <c r="H79" i="21"/>
  <c r="H78" i="21"/>
  <c r="H77" i="21"/>
  <c r="A75" i="21"/>
  <c r="A74" i="21"/>
  <c r="H71" i="21"/>
  <c r="H70" i="21"/>
  <c r="H69" i="21"/>
  <c r="H68" i="21"/>
  <c r="A63" i="21"/>
  <c r="A55" i="21"/>
  <c r="A54" i="21"/>
  <c r="A53" i="21"/>
  <c r="A50" i="21"/>
  <c r="A49" i="21"/>
  <c r="H48" i="21"/>
  <c r="H47" i="21"/>
  <c r="H46" i="21"/>
  <c r="H45" i="21"/>
  <c r="H44" i="21"/>
  <c r="H43" i="21"/>
  <c r="H42" i="21"/>
  <c r="H57" i="21" s="1"/>
  <c r="H246" i="21" s="1"/>
  <c r="A42" i="21"/>
  <c r="R77" i="8"/>
  <c r="R52" i="8"/>
  <c r="R42" i="8"/>
  <c r="R41" i="8"/>
  <c r="R40" i="8"/>
  <c r="R34" i="8"/>
  <c r="R27" i="8"/>
  <c r="H189" i="21" l="1"/>
  <c r="H252" i="21" s="1"/>
  <c r="R53" i="8"/>
  <c r="R35" i="8"/>
  <c r="AM30" i="8" s="1"/>
  <c r="E67" i="21" s="1"/>
  <c r="A66" i="21"/>
  <c r="A108" i="21"/>
  <c r="A44" i="21"/>
  <c r="A143" i="21"/>
  <c r="A43" i="21"/>
  <c r="A45" i="21" s="1"/>
  <c r="R78" i="8"/>
  <c r="AM73" i="8" s="1"/>
  <c r="E126" i="21" s="1"/>
  <c r="E249" i="21" s="1"/>
  <c r="R43" i="8"/>
  <c r="R28" i="8"/>
  <c r="AM45" i="8"/>
  <c r="E76" i="21" s="1"/>
  <c r="AM37" i="8" l="1"/>
  <c r="E73" i="21" s="1"/>
  <c r="AM23" i="8"/>
  <c r="E66" i="21" s="1"/>
  <c r="R81" i="8"/>
  <c r="A46" i="21"/>
  <c r="A47" i="21" s="1"/>
  <c r="A67" i="21"/>
  <c r="A109" i="21"/>
  <c r="A112" i="21" s="1"/>
  <c r="A145" i="21"/>
  <c r="E99" i="21" l="1"/>
  <c r="E248" i="21" s="1"/>
  <c r="E255" i="21" s="1"/>
  <c r="A147" i="21"/>
  <c r="A68" i="21"/>
  <c r="A113" i="21"/>
  <c r="A114" i="21"/>
  <c r="A48" i="21"/>
  <c r="A51" i="21" s="1"/>
  <c r="F21" i="18"/>
  <c r="A52" i="21" l="1"/>
  <c r="A116" i="21"/>
  <c r="A69" i="21"/>
  <c r="A70" i="21"/>
  <c r="A148" i="21"/>
  <c r="A149" i="21" s="1"/>
  <c r="A56" i="21"/>
  <c r="A115" i="21"/>
  <c r="A118" i="21" s="1"/>
  <c r="T4" i="1"/>
  <c r="A71" i="21" l="1"/>
  <c r="A117" i="21"/>
  <c r="A150" i="21"/>
  <c r="A151" i="21"/>
  <c r="T8" i="1"/>
  <c r="T3" i="1"/>
  <c r="T5" i="1"/>
  <c r="T6" i="1"/>
  <c r="T7" i="1"/>
  <c r="T9" i="1"/>
  <c r="T10" i="1"/>
  <c r="T11" i="1"/>
  <c r="A152" i="21" l="1"/>
  <c r="A153" i="21" s="1"/>
  <c r="A156" i="21" s="1"/>
  <c r="A120" i="21"/>
  <c r="A123" i="21" s="1"/>
  <c r="A72" i="21"/>
  <c r="A157" i="21" l="1"/>
  <c r="A158" i="21" s="1"/>
  <c r="A159" i="21" s="1"/>
  <c r="A162" i="21" s="1"/>
  <c r="A163" i="21" s="1"/>
  <c r="A164" i="21" s="1"/>
  <c r="A124" i="21"/>
  <c r="A132" i="21" s="1"/>
  <c r="A133" i="21" s="1"/>
  <c r="A73" i="21"/>
  <c r="A76" i="21" s="1"/>
  <c r="A77" i="21" s="1"/>
  <c r="A78" i="21" s="1"/>
  <c r="A79" i="21" s="1"/>
  <c r="A165" i="21" l="1"/>
  <c r="A166" i="21" s="1"/>
  <c r="A167" i="21" s="1"/>
  <c r="A168" i="21" s="1"/>
  <c r="A169" i="21" s="1"/>
  <c r="A170" i="21" s="1"/>
  <c r="A171" i="21" s="1"/>
  <c r="A172" i="21" s="1"/>
  <c r="A175" i="21" s="1"/>
  <c r="A176" i="21" s="1"/>
  <c r="A179" i="21" s="1"/>
  <c r="A180" i="21" s="1"/>
  <c r="A183" i="21" s="1"/>
  <c r="A186" i="21" s="1"/>
  <c r="A187" i="21" s="1"/>
  <c r="A188" i="21" s="1"/>
  <c r="A80" i="21"/>
  <c r="A81" i="21"/>
  <c r="A84" i="21" s="1"/>
  <c r="A85" i="21" s="1"/>
  <c r="A86" i="21" s="1"/>
  <c r="A89" i="21" s="1"/>
  <c r="A90" i="21" s="1"/>
  <c r="A93" i="21" s="1"/>
  <c r="A96" i="21" s="1"/>
  <c r="A97" i="21" s="1"/>
  <c r="A98" i="21" s="1"/>
  <c r="D7" i="18"/>
  <c r="D8" i="18"/>
  <c r="D9" i="18"/>
  <c r="D10" i="18"/>
  <c r="D6" i="18"/>
  <c r="A1" i="18" l="1"/>
  <c r="A2" i="18" l="1"/>
  <c r="S5" i="18"/>
  <c r="F95" i="8" l="1"/>
  <c r="F94" i="8"/>
  <c r="F31" i="1" s="1"/>
  <c r="A31" i="1" s="1"/>
  <c r="F93" i="8"/>
  <c r="F30" i="1" s="1"/>
  <c r="F92" i="8"/>
  <c r="F29" i="1" s="1"/>
  <c r="F91" i="8"/>
  <c r="F28" i="1" s="1"/>
  <c r="A28" i="1" s="1"/>
  <c r="F90" i="8"/>
  <c r="F27" i="1" s="1"/>
  <c r="T1" i="8"/>
  <c r="T2" i="1"/>
  <c r="T2" i="8" s="1"/>
  <c r="J24" i="1"/>
  <c r="J25" i="1"/>
  <c r="J26" i="1"/>
  <c r="J27" i="1"/>
  <c r="J28" i="1"/>
  <c r="J29" i="1"/>
  <c r="J30" i="1"/>
  <c r="J31" i="1"/>
  <c r="J32" i="1"/>
  <c r="J23" i="1"/>
  <c r="G24" i="1"/>
  <c r="H24" i="1"/>
  <c r="I24" i="1"/>
  <c r="H25" i="1"/>
  <c r="I25" i="1"/>
  <c r="H26" i="1"/>
  <c r="I26" i="1"/>
  <c r="H27" i="1"/>
  <c r="I27" i="1"/>
  <c r="H28" i="1"/>
  <c r="I28" i="1"/>
  <c r="H29" i="1"/>
  <c r="I29" i="1"/>
  <c r="H30" i="1"/>
  <c r="I30" i="1"/>
  <c r="H31" i="1"/>
  <c r="I31" i="1"/>
  <c r="H32" i="1"/>
  <c r="I32" i="1"/>
  <c r="H23" i="1"/>
  <c r="R95" i="8"/>
  <c r="R32" i="1" s="1"/>
  <c r="T95" i="8"/>
  <c r="T32" i="1" s="1"/>
  <c r="T94" i="8"/>
  <c r="R94" i="8"/>
  <c r="R31" i="1" s="1"/>
  <c r="T93" i="8"/>
  <c r="R93" i="8"/>
  <c r="R30" i="1" s="1"/>
  <c r="T92" i="8"/>
  <c r="R92" i="8"/>
  <c r="R29" i="1" s="1"/>
  <c r="T91" i="8"/>
  <c r="R91" i="8"/>
  <c r="R28" i="1" s="1"/>
  <c r="T90" i="8"/>
  <c r="R90" i="8"/>
  <c r="R27" i="1" s="1"/>
  <c r="R89" i="8"/>
  <c r="R26" i="1" s="1"/>
  <c r="R88" i="8"/>
  <c r="R25" i="1" s="1"/>
  <c r="R87" i="8"/>
  <c r="R24" i="1" s="1"/>
  <c r="S2" i="8"/>
  <c r="S12" i="8"/>
  <c r="T12" i="8"/>
  <c r="F1" i="8"/>
  <c r="O6" i="1"/>
  <c r="B18" i="1"/>
  <c r="Q1" i="1"/>
  <c r="E36" i="1" s="1"/>
  <c r="C11" i="1"/>
  <c r="G32" i="1" s="1"/>
  <c r="S1" i="1"/>
  <c r="C2" i="1"/>
  <c r="T13" i="1"/>
  <c r="F77" i="1"/>
  <c r="T114" i="1"/>
  <c r="S114" i="1" s="1"/>
  <c r="T115" i="1"/>
  <c r="S115" i="1" s="1"/>
  <c r="T116" i="1"/>
  <c r="S116" i="1" s="1"/>
  <c r="T117" i="1"/>
  <c r="S117" i="1" s="1"/>
  <c r="T122" i="1"/>
  <c r="S122" i="1" s="1"/>
  <c r="T123" i="1"/>
  <c r="S123" i="1" s="1"/>
  <c r="T124" i="1"/>
  <c r="S124" i="1" s="1"/>
  <c r="T125" i="1"/>
  <c r="S125" i="1" s="1"/>
  <c r="T127" i="1"/>
  <c r="S127" i="1" s="1"/>
  <c r="T128" i="1"/>
  <c r="S128" i="1" s="1"/>
  <c r="T129" i="1"/>
  <c r="S129" i="1" s="1"/>
  <c r="T133" i="1"/>
  <c r="S133" i="1" s="1"/>
  <c r="T134" i="1"/>
  <c r="S134" i="1" s="1"/>
  <c r="T135" i="1"/>
  <c r="S135" i="1" s="1"/>
  <c r="T136" i="1"/>
  <c r="S136" i="1" s="1"/>
  <c r="T137" i="1"/>
  <c r="S137" i="1" s="1"/>
  <c r="T138" i="1"/>
  <c r="S138" i="1" s="1"/>
  <c r="T139" i="1"/>
  <c r="S139" i="1" s="1"/>
  <c r="T140" i="1"/>
  <c r="S140" i="1" s="1"/>
  <c r="T141" i="1"/>
  <c r="S141" i="1" s="1"/>
  <c r="T142" i="1"/>
  <c r="S142" i="1" s="1"/>
  <c r="T143" i="1"/>
  <c r="S143" i="1" s="1"/>
  <c r="T144" i="1"/>
  <c r="S144" i="1" s="1"/>
  <c r="T145" i="1"/>
  <c r="S145" i="1" s="1"/>
  <c r="T146" i="1"/>
  <c r="S146" i="1" s="1"/>
  <c r="T147" i="1"/>
  <c r="S147" i="1" s="1"/>
  <c r="T148" i="1"/>
  <c r="S148" i="1" s="1"/>
  <c r="T149" i="1"/>
  <c r="S149" i="1" s="1"/>
  <c r="T150" i="1"/>
  <c r="S150" i="1" s="1"/>
  <c r="T151" i="1"/>
  <c r="S151" i="1" s="1"/>
  <c r="T152" i="1"/>
  <c r="S152" i="1" s="1"/>
  <c r="T153" i="1"/>
  <c r="S153" i="1" s="1"/>
  <c r="T157" i="1"/>
  <c r="S157" i="1" s="1"/>
  <c r="T159" i="1"/>
  <c r="S159" i="1" s="1"/>
  <c r="T160" i="1"/>
  <c r="S160" i="1" s="1"/>
  <c r="T161" i="1"/>
  <c r="S161" i="1" s="1"/>
  <c r="T162" i="1"/>
  <c r="S162" i="1" s="1"/>
  <c r="T163" i="1"/>
  <c r="S163" i="1" s="1"/>
  <c r="T164" i="1"/>
  <c r="S164" i="1" s="1"/>
  <c r="R109" i="1"/>
  <c r="R110" i="1"/>
  <c r="R112" i="1"/>
  <c r="R113" i="1"/>
  <c r="R114" i="1"/>
  <c r="R115" i="1"/>
  <c r="R116" i="1"/>
  <c r="R117" i="1"/>
  <c r="R118" i="1"/>
  <c r="R119" i="1"/>
  <c r="R122" i="1"/>
  <c r="R124" i="1"/>
  <c r="R125" i="1"/>
  <c r="R126" i="1"/>
  <c r="R127" i="1"/>
  <c r="R128" i="1"/>
  <c r="R129" i="1"/>
  <c r="R131" i="1"/>
  <c r="R133" i="1"/>
  <c r="R134"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C3" i="1"/>
  <c r="C3" i="8" s="1"/>
  <c r="C4" i="1"/>
  <c r="G25" i="1" s="1"/>
  <c r="C5" i="1"/>
  <c r="C6" i="1"/>
  <c r="G27" i="1" s="1"/>
  <c r="C7" i="1"/>
  <c r="G28" i="1" s="1"/>
  <c r="C8" i="1"/>
  <c r="G29" i="1" s="1"/>
  <c r="C9" i="1"/>
  <c r="C10" i="1"/>
  <c r="G31" i="1" s="1"/>
  <c r="C12" i="1"/>
  <c r="C12" i="8" s="1"/>
  <c r="F22" i="1"/>
  <c r="O10" i="1"/>
  <c r="N10" i="1"/>
  <c r="N10" i="8" s="1"/>
  <c r="M10" i="1"/>
  <c r="L10" i="1"/>
  <c r="K10" i="1"/>
  <c r="J10" i="1"/>
  <c r="N9" i="1"/>
  <c r="M9" i="1"/>
  <c r="M9" i="8" s="1"/>
  <c r="L9" i="1"/>
  <c r="K9" i="1"/>
  <c r="J9" i="1"/>
  <c r="N8" i="1"/>
  <c r="M8" i="1"/>
  <c r="L8" i="1"/>
  <c r="K8" i="1"/>
  <c r="J8" i="1"/>
  <c r="N7" i="1"/>
  <c r="M7" i="1"/>
  <c r="L7" i="1"/>
  <c r="K7" i="1"/>
  <c r="J7" i="1"/>
  <c r="N6" i="1"/>
  <c r="M6" i="1"/>
  <c r="L6" i="1"/>
  <c r="K6" i="1"/>
  <c r="J6" i="1"/>
  <c r="O5" i="1"/>
  <c r="N5" i="1"/>
  <c r="M5" i="1"/>
  <c r="L5" i="1"/>
  <c r="L5" i="8" s="1"/>
  <c r="K5" i="1"/>
  <c r="J5" i="1"/>
  <c r="J5" i="8" s="1"/>
  <c r="O4" i="1"/>
  <c r="N4" i="1"/>
  <c r="M4" i="1"/>
  <c r="L4" i="1"/>
  <c r="K4" i="1"/>
  <c r="J4" i="1"/>
  <c r="O3" i="1"/>
  <c r="N3" i="1"/>
  <c r="N3" i="8" s="1"/>
  <c r="M3" i="1"/>
  <c r="L3" i="1"/>
  <c r="K3" i="1"/>
  <c r="J3" i="1"/>
  <c r="O2" i="1"/>
  <c r="N2" i="1"/>
  <c r="M2" i="1"/>
  <c r="L2" i="1"/>
  <c r="K2" i="1"/>
  <c r="K2" i="8" s="1"/>
  <c r="J2" i="1"/>
  <c r="O1" i="1"/>
  <c r="N1" i="1"/>
  <c r="N1" i="8" s="1"/>
  <c r="M1" i="1"/>
  <c r="M1" i="8" s="1"/>
  <c r="L1" i="1"/>
  <c r="K1" i="1"/>
  <c r="J1" i="1"/>
  <c r="B16" i="1"/>
  <c r="S3" i="8"/>
  <c r="T3" i="8"/>
  <c r="B14" i="1"/>
  <c r="F104" i="8"/>
  <c r="T104" i="8"/>
  <c r="R104" i="8"/>
  <c r="S11" i="8"/>
  <c r="T11" i="8"/>
  <c r="S10" i="8"/>
  <c r="T10" i="8"/>
  <c r="S9" i="8"/>
  <c r="T9" i="8"/>
  <c r="S8" i="8"/>
  <c r="T8" i="8"/>
  <c r="S7" i="8"/>
  <c r="T7" i="8"/>
  <c r="S6" i="8"/>
  <c r="T6" i="8"/>
  <c r="S5" i="8"/>
  <c r="T5" i="8"/>
  <c r="S4" i="8"/>
  <c r="T4" i="8"/>
  <c r="F11" i="8"/>
  <c r="E95" i="8" s="1"/>
  <c r="F10" i="8"/>
  <c r="E94" i="8" s="1"/>
  <c r="F9" i="8"/>
  <c r="E93" i="8" s="1"/>
  <c r="F8" i="8"/>
  <c r="E92" i="8" s="1"/>
  <c r="F7" i="8"/>
  <c r="E91" i="8" s="1"/>
  <c r="F6" i="8"/>
  <c r="E90" i="8" s="1"/>
  <c r="F5" i="8"/>
  <c r="E89" i="8" s="1"/>
  <c r="F4" i="8"/>
  <c r="D24" i="1"/>
  <c r="D25" i="1"/>
  <c r="D26" i="1"/>
  <c r="D27" i="1"/>
  <c r="D28" i="1"/>
  <c r="D29" i="1"/>
  <c r="D30" i="1"/>
  <c r="D31" i="1"/>
  <c r="D32" i="1"/>
  <c r="D23" i="1"/>
  <c r="F3" i="8"/>
  <c r="F2" i="8"/>
  <c r="R11" i="1"/>
  <c r="R10" i="1"/>
  <c r="R9" i="1"/>
  <c r="R8" i="1"/>
  <c r="R7" i="1"/>
  <c r="R6" i="1"/>
  <c r="R5" i="1"/>
  <c r="R4" i="1"/>
  <c r="R3" i="1"/>
  <c r="R2" i="1"/>
  <c r="U1" i="8"/>
  <c r="Q2" i="8"/>
  <c r="Q3" i="8"/>
  <c r="Q4" i="8"/>
  <c r="Q5" i="8"/>
  <c r="Q6" i="8"/>
  <c r="Q7" i="8"/>
  <c r="Q8" i="8"/>
  <c r="Q9" i="8"/>
  <c r="Q10" i="8"/>
  <c r="Q11" i="8"/>
  <c r="Q12" i="8"/>
  <c r="D8" i="8"/>
  <c r="D9" i="8"/>
  <c r="D6" i="8"/>
  <c r="D4" i="8"/>
  <c r="D2" i="8"/>
  <c r="F12" i="8"/>
  <c r="C1" i="8"/>
  <c r="L1" i="8"/>
  <c r="K1" i="8"/>
  <c r="J1" i="8"/>
  <c r="Q1" i="8"/>
  <c r="D1" i="8"/>
  <c r="J2" i="8"/>
  <c r="M2" i="8"/>
  <c r="N2" i="8"/>
  <c r="K3" i="8"/>
  <c r="L3" i="8"/>
  <c r="O3" i="8"/>
  <c r="J4" i="8"/>
  <c r="K4" i="8"/>
  <c r="M4" i="8"/>
  <c r="N4" i="8"/>
  <c r="K5" i="8"/>
  <c r="O5" i="8"/>
  <c r="L6" i="8"/>
  <c r="M6" i="8"/>
  <c r="O6" i="8"/>
  <c r="J7" i="8"/>
  <c r="K7" i="8"/>
  <c r="O7" i="8"/>
  <c r="L8" i="8"/>
  <c r="O8" i="8"/>
  <c r="J9" i="8"/>
  <c r="K9" i="8"/>
  <c r="N9" i="8"/>
  <c r="O9" i="8"/>
  <c r="J10" i="8"/>
  <c r="L10" i="8"/>
  <c r="S107" i="1"/>
  <c r="D55" i="1"/>
  <c r="D5" i="8"/>
  <c r="V1" i="1" a="1"/>
  <c r="V1" i="1" s="1"/>
  <c r="E64" i="1"/>
  <c r="E103" i="1" s="1"/>
  <c r="D3" i="8"/>
  <c r="A36" i="1"/>
  <c r="E63" i="1"/>
  <c r="E61" i="1"/>
  <c r="E101" i="1" s="1"/>
  <c r="E62" i="1"/>
  <c r="E102" i="1" s="1"/>
  <c r="E60" i="1"/>
  <c r="D51" i="1"/>
  <c r="T63" i="8" l="1"/>
  <c r="B64" i="8" s="1"/>
  <c r="T62" i="8"/>
  <c r="T61" i="8"/>
  <c r="T64" i="8" s="1"/>
  <c r="T70" i="8"/>
  <c r="B71" i="8" s="1"/>
  <c r="T69" i="8"/>
  <c r="T68" i="8"/>
  <c r="T50" i="8"/>
  <c r="T51" i="8"/>
  <c r="T49" i="8"/>
  <c r="T130" i="8" s="1"/>
  <c r="T132" i="1" s="1"/>
  <c r="T48" i="8"/>
  <c r="T47" i="8"/>
  <c r="T39" i="8"/>
  <c r="T111" i="8" s="1"/>
  <c r="T113" i="1" s="1"/>
  <c r="S113" i="1" s="1"/>
  <c r="T26" i="8"/>
  <c r="T156" i="8" s="1"/>
  <c r="T32" i="8"/>
  <c r="T33" i="8"/>
  <c r="T25" i="8"/>
  <c r="T77" i="8"/>
  <c r="B78" i="8" s="1"/>
  <c r="T27" i="8"/>
  <c r="B28" i="8" s="1"/>
  <c r="T34" i="8"/>
  <c r="B35" i="8" s="1"/>
  <c r="T41" i="8"/>
  <c r="T40" i="8"/>
  <c r="T52" i="8"/>
  <c r="B53" i="8" s="1"/>
  <c r="T42" i="8"/>
  <c r="B43" i="8" s="1"/>
  <c r="T156" i="1"/>
  <c r="S156" i="1" s="1"/>
  <c r="T110" i="1"/>
  <c r="S110" i="1" s="1"/>
  <c r="E88" i="8"/>
  <c r="E86" i="8"/>
  <c r="E87" i="8"/>
  <c r="C8" i="8"/>
  <c r="B92" i="8" s="1"/>
  <c r="L7" i="8"/>
  <c r="N5" i="8"/>
  <c r="O10" i="8"/>
  <c r="L9" i="8"/>
  <c r="J6" i="8"/>
  <c r="N7" i="8"/>
  <c r="M10" i="8"/>
  <c r="L2" i="8"/>
  <c r="O4" i="8"/>
  <c r="J3" i="8"/>
  <c r="O1" i="8"/>
  <c r="C11" i="8"/>
  <c r="B95" i="8" s="1"/>
  <c r="K10" i="8"/>
  <c r="M5" i="8"/>
  <c r="C10" i="8"/>
  <c r="B94" i="8" s="1"/>
  <c r="M7" i="8"/>
  <c r="K6" i="8"/>
  <c r="N6" i="8"/>
  <c r="E22" i="1"/>
  <c r="M8" i="8"/>
  <c r="O2" i="8"/>
  <c r="S1" i="8"/>
  <c r="C6" i="8"/>
  <c r="B90" i="8" s="1"/>
  <c r="C4" i="8"/>
  <c r="L4" i="8"/>
  <c r="M3" i="8"/>
  <c r="T111" i="1"/>
  <c r="S111" i="1" s="1"/>
  <c r="I23" i="1"/>
  <c r="AH94" i="8"/>
  <c r="R167" i="8"/>
  <c r="AH92" i="8"/>
  <c r="AH88" i="8"/>
  <c r="AH90" i="8"/>
  <c r="T126" i="1"/>
  <c r="S126" i="1" s="1"/>
  <c r="E28" i="1"/>
  <c r="B28" i="1"/>
  <c r="AH95" i="8"/>
  <c r="AH91" i="8"/>
  <c r="AJ92" i="8"/>
  <c r="F32" i="1"/>
  <c r="AH89" i="8"/>
  <c r="AH93" i="8"/>
  <c r="AH87" i="8"/>
  <c r="R132" i="1"/>
  <c r="R111" i="1"/>
  <c r="J8" i="8"/>
  <c r="N8" i="8"/>
  <c r="T167" i="8"/>
  <c r="T154" i="1"/>
  <c r="G30" i="1"/>
  <c r="C9" i="8"/>
  <c r="B93" i="8" s="1"/>
  <c r="G26" i="1"/>
  <c r="C5" i="8"/>
  <c r="R169" i="1"/>
  <c r="R135" i="1"/>
  <c r="AJ90" i="8"/>
  <c r="T27" i="1"/>
  <c r="AJ94" i="8"/>
  <c r="T31" i="1"/>
  <c r="B27" i="1"/>
  <c r="E27" i="1"/>
  <c r="B30" i="1"/>
  <c r="E30" i="1"/>
  <c r="A30" i="1"/>
  <c r="K8" i="8"/>
  <c r="AJ95" i="8"/>
  <c r="T29" i="1"/>
  <c r="AJ91" i="8"/>
  <c r="T28" i="1"/>
  <c r="AJ93" i="8"/>
  <c r="T30" i="1"/>
  <c r="B31" i="1"/>
  <c r="E31" i="1"/>
  <c r="C7" i="8"/>
  <c r="B91" i="8" s="1"/>
  <c r="G23" i="1"/>
  <c r="C2" i="8"/>
  <c r="B104" i="8" s="1"/>
  <c r="A27" i="1"/>
  <c r="E29" i="1"/>
  <c r="A29" i="1"/>
  <c r="B29" i="1"/>
  <c r="E59" i="8" l="1"/>
  <c r="T71" i="8"/>
  <c r="AO59" i="8"/>
  <c r="T129" i="8"/>
  <c r="T131" i="1" s="1"/>
  <c r="S131" i="1" s="1"/>
  <c r="T116" i="8"/>
  <c r="T118" i="1" s="1"/>
  <c r="S118" i="1" s="1"/>
  <c r="T53" i="8"/>
  <c r="E45" i="8" s="1"/>
  <c r="G76" i="21" s="1"/>
  <c r="H76" i="21" s="1"/>
  <c r="T43" i="8"/>
  <c r="T28" i="8"/>
  <c r="T35" i="8"/>
  <c r="T78" i="8"/>
  <c r="T119" i="1"/>
  <c r="S119" i="1" s="1"/>
  <c r="T112" i="1"/>
  <c r="S112" i="1" s="1"/>
  <c r="T158" i="1"/>
  <c r="S158" i="1" s="1"/>
  <c r="T109" i="1"/>
  <c r="S109" i="1" s="1"/>
  <c r="T155" i="1"/>
  <c r="S155" i="1" s="1"/>
  <c r="A32" i="1"/>
  <c r="B32" i="1"/>
  <c r="E32" i="1"/>
  <c r="S132" i="1"/>
  <c r="S154" i="1"/>
  <c r="T169" i="1"/>
  <c r="R123" i="1"/>
  <c r="R166" i="8"/>
  <c r="R168" i="1"/>
  <c r="F59" i="8" l="1"/>
  <c r="T59" i="8" s="1"/>
  <c r="AG59" i="8"/>
  <c r="AI59" i="8"/>
  <c r="AJ59" i="8" s="1"/>
  <c r="AN59" i="8"/>
  <c r="AP59" i="8"/>
  <c r="AO66" i="8"/>
  <c r="E66" i="8"/>
  <c r="E37" i="8"/>
  <c r="AG37" i="8" s="1"/>
  <c r="AO45" i="8"/>
  <c r="F76" i="21" s="1"/>
  <c r="AO30" i="8"/>
  <c r="F67" i="21" s="1"/>
  <c r="E30" i="8"/>
  <c r="G67" i="21" s="1"/>
  <c r="H67" i="21" s="1"/>
  <c r="F45" i="8"/>
  <c r="T45" i="8" s="1"/>
  <c r="AG45" i="8"/>
  <c r="AI45" i="8" s="1"/>
  <c r="AJ45" i="8" s="1"/>
  <c r="AO73" i="8"/>
  <c r="F126" i="21" s="1"/>
  <c r="F249" i="21" s="1"/>
  <c r="E73" i="8"/>
  <c r="G116" i="21" s="1"/>
  <c r="H116" i="21" s="1"/>
  <c r="H126" i="21" s="1"/>
  <c r="H249" i="21" s="1"/>
  <c r="AO23" i="8"/>
  <c r="F66" i="21" s="1"/>
  <c r="E23" i="8"/>
  <c r="G66" i="21" s="1"/>
  <c r="H66" i="21" s="1"/>
  <c r="AO37" i="8"/>
  <c r="F73" i="21" s="1"/>
  <c r="T168" i="1"/>
  <c r="T166" i="8"/>
  <c r="AG66" i="8" l="1"/>
  <c r="F66" i="8"/>
  <c r="T66" i="8" s="1"/>
  <c r="AI66" i="8"/>
  <c r="AJ66" i="8" s="1"/>
  <c r="AN66" i="8"/>
  <c r="AP66" i="8"/>
  <c r="AH59" i="8"/>
  <c r="AK59" i="8"/>
  <c r="F99" i="21"/>
  <c r="F248" i="21" s="1"/>
  <c r="F255" i="21" s="1"/>
  <c r="G73" i="21"/>
  <c r="H73" i="21" s="1"/>
  <c r="AN45" i="8"/>
  <c r="AP45" i="8"/>
  <c r="H99" i="21"/>
  <c r="H248" i="21" s="1"/>
  <c r="H255" i="21" s="1"/>
  <c r="H261" i="21" s="1"/>
  <c r="AP23" i="8"/>
  <c r="AN23" i="8"/>
  <c r="AP73" i="8"/>
  <c r="AN73" i="8"/>
  <c r="AP37" i="8"/>
  <c r="AN37" i="8"/>
  <c r="AP30" i="8"/>
  <c r="AN30" i="8"/>
  <c r="AK45" i="8"/>
  <c r="AH45" i="8"/>
  <c r="F30" i="8"/>
  <c r="T30" i="8" s="1"/>
  <c r="AG30" i="8"/>
  <c r="AG23" i="8"/>
  <c r="AI23" i="8" s="1"/>
  <c r="AJ23" i="8" s="1"/>
  <c r="F23" i="8"/>
  <c r="F37" i="8"/>
  <c r="T37" i="8" s="1"/>
  <c r="T87" i="8" s="1"/>
  <c r="AJ87" i="8" s="1"/>
  <c r="AG73" i="8"/>
  <c r="AI73" i="8" s="1"/>
  <c r="AJ73" i="8" s="1"/>
  <c r="F73" i="8"/>
  <c r="T73" i="8" s="1"/>
  <c r="AH66" i="8" l="1"/>
  <c r="AK66" i="8"/>
  <c r="T24" i="1"/>
  <c r="B35" i="1"/>
  <c r="F81" i="8"/>
  <c r="T23" i="8"/>
  <c r="T81" i="8" s="1"/>
  <c r="AH23" i="8"/>
  <c r="AK23" i="8"/>
  <c r="AK73" i="8"/>
  <c r="AH73" i="8"/>
  <c r="AH30" i="8"/>
  <c r="AI30" i="8"/>
  <c r="AJ30" i="8" s="1"/>
  <c r="AH37" i="8"/>
  <c r="AI37" i="8"/>
  <c r="AJ37" i="8" s="1"/>
  <c r="T88" i="8"/>
  <c r="T25" i="1" s="1"/>
  <c r="F89" i="8"/>
  <c r="T89" i="8"/>
  <c r="AK37" i="8" l="1"/>
  <c r="AK30" i="8"/>
  <c r="T121" i="1"/>
  <c r="S121" i="1" s="1"/>
  <c r="R121" i="1"/>
  <c r="AJ88" i="8"/>
  <c r="AJ89" i="8"/>
  <c r="T26" i="1"/>
  <c r="F26" i="1"/>
  <c r="B89" i="8"/>
  <c r="T120" i="1" l="1"/>
  <c r="T165" i="8"/>
  <c r="R120" i="1"/>
  <c r="R165" i="8"/>
  <c r="B26" i="1"/>
  <c r="E26" i="1"/>
  <c r="A26" i="1"/>
  <c r="F87" i="8"/>
  <c r="F24" i="1" s="1"/>
  <c r="B24" i="1" s="1"/>
  <c r="F88" i="8"/>
  <c r="R130" i="1" l="1"/>
  <c r="R166" i="1" s="1"/>
  <c r="R164" i="8"/>
  <c r="R168" i="8" s="1"/>
  <c r="R106" i="8"/>
  <c r="T130" i="1"/>
  <c r="T165" i="1" s="1"/>
  <c r="T164" i="8"/>
  <c r="T168" i="8" s="1"/>
  <c r="R167" i="1"/>
  <c r="T106" i="8"/>
  <c r="T98" i="8"/>
  <c r="S120" i="1"/>
  <c r="T167" i="1"/>
  <c r="E24" i="1"/>
  <c r="A24" i="1"/>
  <c r="B87" i="8"/>
  <c r="F25" i="1"/>
  <c r="B88" i="8"/>
  <c r="R170" i="1" l="1"/>
  <c r="R165" i="1"/>
  <c r="T37" i="1"/>
  <c r="E83" i="1"/>
  <c r="R98" i="8"/>
  <c r="S130" i="1"/>
  <c r="S165" i="1" s="1"/>
  <c r="T166" i="1"/>
  <c r="T170" i="1" s="1"/>
  <c r="B25" i="1"/>
  <c r="E25" i="1"/>
  <c r="A25" i="1"/>
  <c r="R37" i="1" l="1"/>
  <c r="D83" i="1"/>
  <c r="F83" i="1"/>
  <c r="R86" i="8"/>
  <c r="R100" i="8"/>
  <c r="R102" i="8"/>
  <c r="AJ85" i="8" l="1"/>
  <c r="R96" i="8"/>
  <c r="R23" i="1"/>
  <c r="R35" i="1" s="1"/>
  <c r="E21" i="18" s="1"/>
  <c r="AH86" i="8"/>
  <c r="AH96" i="8" s="1"/>
  <c r="AH85" i="8" l="1"/>
  <c r="AH97" i="8" s="1"/>
  <c r="AK85" i="8"/>
  <c r="F102" i="8"/>
  <c r="F100" i="8"/>
  <c r="F86" i="8"/>
  <c r="R39" i="1"/>
  <c r="T86" i="8" l="1"/>
  <c r="T100" i="8"/>
  <c r="B100" i="8" s="1"/>
  <c r="F96" i="8"/>
  <c r="F23" i="1"/>
  <c r="B86" i="8" l="1"/>
  <c r="T23" i="1"/>
  <c r="T35" i="1" s="1"/>
  <c r="T96" i="8"/>
  <c r="AJ86" i="8"/>
  <c r="AJ96" i="8" s="1"/>
  <c r="F35" i="1"/>
  <c r="C72" i="1"/>
  <c r="E23" i="1"/>
  <c r="E35" i="1" s="1"/>
  <c r="F75" i="1" s="1"/>
  <c r="R83" i="1" s="1"/>
  <c r="Q19" i="1" s="1"/>
  <c r="T102" i="8"/>
  <c r="B102" i="8" s="1"/>
  <c r="B81" i="8"/>
  <c r="B23" i="1" l="1"/>
  <c r="A23" i="1"/>
  <c r="B19" i="1" s="1"/>
  <c r="Q16" i="1"/>
  <c r="F72" i="1"/>
  <c r="F74" i="1" s="1"/>
  <c r="Q17" i="1" s="1"/>
  <c r="Q15" i="1"/>
  <c r="AK96" i="8"/>
  <c r="AK97" i="8" s="1"/>
  <c r="AJ97" i="8"/>
  <c r="T39" i="1"/>
  <c r="E22"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85"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97"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97"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97"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sharedStrings.xml><?xml version="1.0" encoding="utf-8"?>
<sst xmlns="http://schemas.openxmlformats.org/spreadsheetml/2006/main" count="1231" uniqueCount="467">
  <si>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</si>
  <si>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</si>
  <si>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</si>
  <si>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</si>
  <si>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</si>
  <si>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</si>
  <si>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</si>
  <si>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</si>
  <si>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</si>
  <si>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</si>
  <si>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</si>
  <si>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</si>
  <si>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</si>
  <si>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</si>
  <si>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</si>
  <si>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</si>
  <si>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</si>
  <si>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</si>
  <si>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</si>
  <si>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</si>
  <si>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</si>
  <si>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</si>
  <si>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</si>
  <si>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</si>
  <si>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</si>
  <si>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</si>
  <si>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</si>
  <si>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</si>
  <si>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</si>
  <si>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</si>
  <si>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</si>
  <si>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</si>
  <si>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</si>
  <si>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</si>
  <si>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</si>
  <si>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</si>
  <si>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</si>
  <si>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</si>
  <si>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</si>
  <si>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</si>
  <si>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</si>
  <si>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</si>
  <si>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</si>
  <si>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</si>
  <si>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</si>
  <si>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</si>
  <si>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</si>
  <si>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</si>
  <si>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</si>
  <si>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</si>
  <si>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</si>
  <si>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</si>
  <si>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</si>
  <si>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</si>
  <si>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</si>
  <si>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</si>
  <si>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</si>
  <si>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</si>
  <si>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</si>
  <si>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</si>
  <si>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</si>
  <si>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</si>
  <si>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</si>
  <si>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</si>
  <si>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</si>
  <si>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</si>
  <si>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</si>
  <si>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</si>
  <si>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</si>
  <si>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</si>
  <si>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</si>
  <si>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</si>
  <si>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</si>
  <si>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</si>
  <si>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</si>
  <si>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</si>
  <si>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</si>
  <si>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</si>
  <si>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</si>
  <si>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</si>
  <si>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</si>
  <si>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</si>
  <si>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</si>
  <si>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</si>
  <si>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</si>
  <si>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</si>
  <si>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</si>
  <si>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</si>
  <si>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</si>
  <si>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</si>
  <si>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</si>
  <si>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</si>
  <si>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</si>
  <si>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</si>
  <si>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</si>
  <si>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</si>
  <si>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</si>
  <si>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</si>
  <si>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</si>
  <si>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</si>
  <si>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</si>
  <si>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</si>
  <si>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</si>
  <si>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</si>
  <si>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</si>
  <si>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</si>
  <si>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</si>
  <si>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</si>
  <si>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</si>
  <si>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</si>
  <si>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</si>
  <si>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</si>
  <si>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</si>
  <si>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</si>
  <si>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</si>
  <si>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</si>
  <si>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</si>
  <si>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</si>
  <si>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</si>
  <si>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</si>
  <si>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</si>
  <si>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</si>
  <si>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</si>
  <si>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</si>
  <si>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</si>
  <si>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</si>
  <si>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</si>
  <si>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</si>
  <si>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</si>
  <si>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</si>
  <si>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</si>
  <si>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</si>
  <si>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</si>
  <si>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</si>
  <si>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</si>
  <si>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</si>
  <si>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</si>
  <si>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</si>
  <si>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</si>
  <si>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</si>
  <si>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</si>
  <si>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</si>
  <si>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</si>
  <si>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</si>
  <si>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</si>
  <si>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</si>
  <si>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</si>
  <si>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</si>
  <si>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</si>
  <si>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</si>
  <si>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</si>
  <si>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</si>
  <si>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</si>
  <si>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</si>
  <si>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</si>
  <si>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</si>
  <si>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</si>
  <si>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</si>
  <si>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</si>
  <si>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</si>
  <si>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</si>
  <si>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</si>
  <si>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</si>
  <si>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</si>
  <si>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</si>
  <si>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</si>
  <si>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</si>
  <si>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</si>
  <si>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</si>
  <si>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</si>
  <si>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</si>
  <si>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</si>
  <si>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</si>
  <si>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</si>
  <si>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</si>
  <si>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</si>
  <si>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</si>
  <si>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</si>
  <si>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</si>
  <si>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</si>
  <si>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</si>
  <si>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</si>
  <si>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</si>
  <si>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</si>
  <si>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</si>
  <si>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</si>
  <si>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</si>
  <si>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</si>
  <si>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</si>
  <si>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</si>
  <si>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</si>
  <si>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DESCRIPTION</t>
  </si>
  <si>
    <t>QTY</t>
  </si>
  <si>
    <t>UNIT</t>
  </si>
  <si>
    <t>Electrical</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</si>
  <si>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</si>
  <si>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</si>
  <si>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</si>
  <si>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</si>
  <si>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</si>
  <si>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</si>
  <si>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</si>
  <si>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</si>
  <si>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</si>
  <si>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</si>
  <si>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</si>
  <si>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</si>
  <si>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</si>
  <si>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</si>
  <si>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</si>
  <si>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</si>
  <si>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</si>
  <si>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</si>
  <si>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</si>
  <si>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</si>
  <si>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</si>
  <si>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</si>
  <si>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</si>
  <si>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</si>
  <si>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</si>
  <si>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</si>
  <si>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</si>
  <si>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</si>
  <si>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</si>
  <si>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</si>
  <si>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</si>
  <si>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</si>
  <si>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</si>
  <si>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</si>
  <si>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</si>
  <si>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</si>
  <si>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</si>
  <si>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</si>
  <si>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t>
  </si>
  <si>
    <t>Pair Hrs.</t>
  </si>
  <si>
    <t>Pair.Hrs</t>
  </si>
  <si>
    <t>Final Sell after Discounts excl.VAT (€):</t>
  </si>
  <si>
    <t>Estim.Sell before Discounts excl.VAT (€):</t>
  </si>
  <si>
    <t>Overall Discount:</t>
  </si>
  <si>
    <t>MAT CONT &gt;&gt;</t>
  </si>
  <si>
    <t>BOQ TOTAL</t>
  </si>
  <si>
    <t>NOTES</t>
  </si>
  <si>
    <t>PRINT</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</si>
  <si>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</si>
  <si>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</si>
  <si>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</si>
  <si>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</si>
  <si>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</si>
  <si>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</si>
  <si>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</si>
  <si>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</si>
  <si>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</si>
  <si>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</si>
  <si>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</si>
  <si>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</si>
  <si>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</si>
  <si>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</si>
  <si>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</si>
  <si>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</si>
  <si>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</si>
  <si>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</si>
  <si>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</si>
  <si>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</si>
  <si>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</si>
  <si>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</si>
  <si>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</si>
  <si>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 Lab phr.</t>
  </si>
  <si>
    <t>U_L_Phr</t>
  </si>
  <si>
    <t>Material Cost (€) :</t>
  </si>
  <si>
    <t>Labour Pair Hours :</t>
  </si>
  <si>
    <t>Mr. A. Sciberras</t>
  </si>
  <si>
    <t>SUNNY COAST  MOCK UP ROOM MEP Bill of Quantities</t>
  </si>
  <si>
    <t>REV00</t>
  </si>
  <si>
    <t>Preliminaries and General Conditions</t>
  </si>
  <si>
    <t>RATE EXC. VAT</t>
  </si>
  <si>
    <t>TOTAL EXC. VAT</t>
  </si>
  <si>
    <t>The Preliminary Items included hereunder apply to the whole of the works contained in these Bills of Quantities and the rates and / or amounts inserted by the Contractor shall be deemed to apply to the whole of the works carried out under this Contract. The Contractor shall be deemed to have allowed in his tender for all costs in respect of all items described in the Preliminaries section of the Bills of Quantities. In the absence of any sum against any item or items , any monetary cost attributable thereto shall be deemed to be included elsewhere in the Preliminaries section or the unit rates for the measured works. The documents forming the Contract are to be taken as mutually explanatory to one another and any sum inserted here shall be deemed to cover the complete requirements of the Conditions of Contract, In the event of no amounts being inserted by the Contractor in respect of this Bill, no relative payment will be included in interim payments and the final All prices quoted in this tender are exclusive of V.A.T, but inclusive of all applicable Taxes and Levies. The contractor will be responsible for obtaining and incurring all expenses related to any permits that might be required by the local council and for any other fees that might become due to the local council or the competent authorities, bodies and /or agencies in relation to obstruction to traffic and pedestrians, necessary hoardings etc. Prior to submitting this tender document, the contractor is required to consult with the local council in relation to all requirements to carry out the scope of works of this tender.</t>
  </si>
  <si>
    <t>Health and Safety</t>
  </si>
  <si>
    <t>Allow all costs for the employment of a licenced Health and Safety Officer for the entire duration of the Contract. The officer shall be responsible for enforcing all health and safety measures required by law, preparation of risk assessments for approval and work in conjuction with the H&amp;S Officer appointed by the Employer. The Contractor shall also make provisions for a services of Fire Marshal during the works, in order to prevent any fires caused by Hot Works and other risks.</t>
  </si>
  <si>
    <t>LS</t>
  </si>
  <si>
    <t>INC</t>
  </si>
  <si>
    <t>Regular Cleaning</t>
  </si>
  <si>
    <t>Daily clean the site from any debris or material which may be intentionally or accidentally deposited during the course of works and during the transportation of material to the approariate disposal point</t>
  </si>
  <si>
    <t>Preliminary Review of Project</t>
  </si>
  <si>
    <t>The contractor shall obtain all the required operational information from Client, Perit and Engineers pertaining to the Risks related to Fire, so as to enable the full understanding of the design intent. The information shall include: materials, raw and finished, processes and chemicals used, quantities, packaging and storage format, shelving and stacking, ventilation requirements related to pharmaceutical industry, air pressure in rooms and corridors, safety and security, etc.</t>
  </si>
  <si>
    <t>The contractor shall review the M&amp;E project documentation, and understand the services that will interface or clash (in terms of routing, levels and space allocation) and thus liaise with the Engineers for solutions. Any preparatory works as well as builders' works, preparation, openings, plinths, etc must be delth with at this stage.</t>
  </si>
  <si>
    <t>Drawings</t>
  </si>
  <si>
    <t>Provision of working drawings and reengineering as necessary including updating of drawings as required and as the works proceed.</t>
  </si>
  <si>
    <t>Insurances</t>
  </si>
  <si>
    <t>Contractor's Insurance CAR Policy covering the total contract value. The contractor must also take out a professional Indemnity Insurance to cover the design and therefore its warranted Engineers.</t>
  </si>
  <si>
    <t>Contractor's Insurance covering death or injury to Contractor's Personnel</t>
  </si>
  <si>
    <t>Contractor's Insurance covering loss or damage to Contractor's plant and equipment.</t>
  </si>
  <si>
    <t>Builder's Works Drawings</t>
  </si>
  <si>
    <t>The contractor must submit detailed builders work drawings, coordinated with the M&amp;E drawings and the Fire compartmentation drawings issued by the Fire Engineer and Perit. The builder's work must provide clear information regarding all penetrations, holes and cores needed, the position with x &amp; y dimensions, hole diameters, etc. The drawings must also detail whether the builder or finishes contractor will need to carry out future interventions of making good. the drawings must include additional works such as plinths (dimensions), puddle flanges, overflows and sleeves, doorways or hatches for equipment access. Where contractor may need access to lifters, cherry pickers, scaffolding, crane, etc, this must be agreed upon from this stage of the project.</t>
  </si>
  <si>
    <t>Provision of mobile toilets facilities on site, incl. emptying, cleaning etc</t>
  </si>
  <si>
    <t>by client</t>
  </si>
  <si>
    <t>Provision of security services on site</t>
  </si>
  <si>
    <t>Provision of CONTRACTOR MEP Project management</t>
  </si>
  <si>
    <t>Prepare coordinated drawings for all services</t>
  </si>
  <si>
    <t>Any other works, Contractor to list</t>
  </si>
  <si>
    <t>TOTAL FOR PRELIMINARIES in € exc VAT</t>
  </si>
  <si>
    <t>*INC. = included, LS= lump sump, m= meters, No. =Number</t>
  </si>
  <si>
    <t>SPRINKLER INSTALLATION</t>
  </si>
  <si>
    <t>Take over design , reengineer and produce coordinated working drawings</t>
  </si>
  <si>
    <t xml:space="preserve">Supply, install and connect the following medium gauge galvanised steel pipework including all brackets, fittings etc </t>
  </si>
  <si>
    <t xml:space="preserve">25mm </t>
  </si>
  <si>
    <t>m</t>
  </si>
  <si>
    <t>32mm</t>
  </si>
  <si>
    <t>50mm</t>
  </si>
  <si>
    <t>Supply, install and connect Pendent type Sprinkler Quick Response, K80, 68DegC, concealed</t>
  </si>
  <si>
    <t>No.</t>
  </si>
  <si>
    <t>Supply, install and connect,  Sidewall type Sprinkler Quick Response, K80, 68DegC, escutcheon plate</t>
  </si>
  <si>
    <t>Flexibles, if required</t>
  </si>
  <si>
    <t>White Cover plate for concealed sprinkler</t>
  </si>
  <si>
    <t>Builder's Work</t>
  </si>
  <si>
    <t>Allow for all builder's work penetrations in structural walls, slabs or ceilings and including making good c/w with rendering and painting around pipework penetrations up to 300x300mm size</t>
  </si>
  <si>
    <t>L.S.</t>
  </si>
  <si>
    <t>Allow for sealing of all M&amp;E pentrations with fire collars, fire bags, and fire retardant foam of the intumescent type, for all penetrations carried out in the building crossing fire zones/compartments/barriers. Refer to Fire Safety Report for fire compartments &amp; REI rating. All fire zone sealing to be individually labeled, photographed and documented in a fire file.</t>
  </si>
  <si>
    <t>Ancillary Items</t>
  </si>
  <si>
    <t>Provision for extra structures, brackets, fittings etc required to mount equipment</t>
  </si>
  <si>
    <t>TOTAL FOR SPRINKLER SYSTEM in € exc VAT</t>
  </si>
  <si>
    <t>VENTILATION INSTALLATION</t>
  </si>
  <si>
    <t>Supply and install the following mixed flow fans including power supply connection, all conduit,trunking, chasing, penetrations, sleeves, wiring and all other items necessary for a complete and functional system</t>
  </si>
  <si>
    <r>
      <t>SF 01 [</t>
    </r>
    <r>
      <rPr>
        <b/>
        <i/>
        <sz val="10"/>
        <color rgb="FF000000"/>
        <rFont val="Myriad Pro Light"/>
        <family val="2"/>
      </rPr>
      <t>Delta P to be as per selected accessories] for bedroom</t>
    </r>
  </si>
  <si>
    <t>30 litres/sec mixed flow fan including electrical connection to double pole provided, complete. Fan to be very silent with silencers if required</t>
  </si>
  <si>
    <t>Motorised 0-10V damper with leakage Class 3 to EN1751-2014 which will be connected to the RMS system for modulation control of damper by CO2 sensor feedback</t>
  </si>
  <si>
    <t>Washable Class F7 filter with Filter Box</t>
  </si>
  <si>
    <t>Circular ducting with 13mm insulation to sealing class A, Ductwork designed to operate at a static pressure greater than 750 Pa. Sealing to EN 15727-2010, UNI EN 1507-2008, UNI EN 12237-2004, and UNI EN 13403-2004 standards are applicable</t>
  </si>
  <si>
    <t>Flexible ducting to connect to fan and grille</t>
  </si>
  <si>
    <t>Extract grille</t>
  </si>
  <si>
    <t xml:space="preserve">Extra over to achieve &lt; NC30 or 35dBA </t>
  </si>
  <si>
    <t>Provide an indirect OA monitroing devices such as differential pressure sensor, airflow switch or current trasnducer on supply fan, complete with wiring to main door</t>
  </si>
  <si>
    <r>
      <t>EF 01 [</t>
    </r>
    <r>
      <rPr>
        <b/>
        <i/>
        <sz val="10"/>
        <color rgb="FF000000"/>
        <rFont val="Myriad Pro Light"/>
        <family val="2"/>
      </rPr>
      <t>Delta P to be as per selected accessories] for shower and toilet</t>
    </r>
  </si>
  <si>
    <t>50 litres/sec mixed flow fan including electrical connection to double pole provided, delay off timer</t>
  </si>
  <si>
    <t>Circular ducting with 13mm insulation . Ductwork designed to operate at a static pressure greater than 750 Pa. Sealing to EN 15727-2010, UNI EN 1507-2008, UNI EN 12237-2004, and UNI EN 13403-2004 standards are applicable</t>
  </si>
  <si>
    <t>Disc Valve</t>
  </si>
  <si>
    <t>Non motorised back draft damper with leakage Class 3 to EN1751-2014</t>
  </si>
  <si>
    <t>Kitchen hood</t>
  </si>
  <si>
    <t xml:space="preserve">Circular ducting </t>
  </si>
  <si>
    <t>Labelling</t>
  </si>
  <si>
    <t>Supply and install labelling using proper fixing adhesive on all salient equipment such as pipes, valves, cables, switchgear</t>
  </si>
  <si>
    <t>Testing, commissioning &amp; Certification of all installations</t>
  </si>
  <si>
    <t>Supply two sets of printed as-fitted drawings and operation manuals and one copy in electronic format</t>
  </si>
  <si>
    <t>TOTAL FOR VENTILATION INSTALLATION in € exc VAT</t>
  </si>
  <si>
    <t>AIR CONDITIONING INSTALLATION</t>
  </si>
  <si>
    <t>Supply and install the following indoor units</t>
  </si>
  <si>
    <r>
      <t xml:space="preserve">Concealed indoor unit for 3.5kW </t>
    </r>
    <r>
      <rPr>
        <b/>
        <sz val="10"/>
        <color theme="1"/>
        <rFont val="Myriad Pro Light"/>
        <family val="2"/>
      </rPr>
      <t>bedroom</t>
    </r>
    <r>
      <rPr>
        <sz val="10"/>
        <color theme="1"/>
        <rFont val="Myriad Pro Light"/>
        <family val="2"/>
      </rPr>
      <t xml:space="preserve"> complete with supply and return grille, c/w wall mounted controller, chased conduit, wiring, connection to double pole. Indoor model to be compatabile with water cooled outdoor VR units range.</t>
    </r>
  </si>
  <si>
    <t>Wall mounted controller</t>
  </si>
  <si>
    <t>Provide means of having ac indoor unit fan working without outdoor, with speed hi-med-low modes for noise level similuation</t>
  </si>
  <si>
    <t>Note. The controller to be suitable for hotel, (important this is not an over complicated type of control), The controller or the indoor unit must have dry contact to enable/disable unit. Any power supplies to be included if requried.</t>
  </si>
  <si>
    <r>
      <t xml:space="preserve">Concealed indoor unit for 7.1kW </t>
    </r>
    <r>
      <rPr>
        <b/>
        <sz val="10"/>
        <color theme="1"/>
        <rFont val="Myriad Pro Light"/>
        <family val="2"/>
      </rPr>
      <t>main living area</t>
    </r>
    <r>
      <rPr>
        <sz val="10"/>
        <color theme="1"/>
        <rFont val="Myriad Pro Light"/>
        <family val="2"/>
      </rPr>
      <t xml:space="preserve"> complete with supply and return grille</t>
    </r>
  </si>
  <si>
    <t>Pheonlic ducting 600X200, the resistance R of the insulation must not exceed R-0.6, Ductwork designed to operate at a static pressure greater than 750 Pa. Sealing to EN 15727-2010, UNI EN 1507-2008, UNI EN 12237-2004, and UNI EN 13403-2004 standards are applicable</t>
  </si>
  <si>
    <t xml:space="preserve">Transformation pieces </t>
  </si>
  <si>
    <r>
      <t xml:space="preserve">Supply and install all copper pipes for the above 2 air-conditioning units, connecting VR indoor units, including all refnets, copper to copper welding, brackets and supports, and </t>
    </r>
    <r>
      <rPr>
        <b/>
        <sz val="10"/>
        <color theme="1"/>
        <rFont val="Myriad Pro Light"/>
        <family val="2"/>
      </rPr>
      <t xml:space="preserve">25mm closed cell insulation </t>
    </r>
  </si>
  <si>
    <t>Supply and install in appropriate gradient u-PVC drain pipes complete with 13mm insulation and including all fittings, brackets and supports for both indoor units</t>
  </si>
  <si>
    <t>TOTAL FOR AIR CONDITIONING INSTALLATION in € exc VAT</t>
  </si>
  <si>
    <t>PROVISION FOR DAY RATES AND MAINTENANCE INSTALLATION</t>
  </si>
  <si>
    <t>Day works: Provide and Supervise as directed the following:</t>
  </si>
  <si>
    <t>Technician</t>
  </si>
  <si>
    <t>hr</t>
  </si>
  <si>
    <t>rate</t>
  </si>
  <si>
    <t>Skilled tradesman</t>
  </si>
  <si>
    <t>Labourer/Mate</t>
  </si>
  <si>
    <t>TOTAL FOR DAY RATES &amp; MAINTENANCE in € exc VAT</t>
  </si>
  <si>
    <t>PLUMBING INSTALLATION</t>
  </si>
  <si>
    <t>Supply and install the following pipework, (chased in wall, buried or fixed to blockwork), including fittings, brackets, wall plates etc for a complete system</t>
  </si>
  <si>
    <r>
      <rPr>
        <b/>
        <sz val="10"/>
        <color theme="1"/>
        <rFont val="Myriad Pro Light"/>
        <family val="2"/>
      </rPr>
      <t>PROVISIONAL</t>
    </r>
    <r>
      <rPr>
        <sz val="10"/>
        <color theme="1"/>
        <rFont val="Myriad Pro Light"/>
        <family val="2"/>
      </rPr>
      <t xml:space="preserve"> Supply, install and connect a temporary Ø25mm composite PPR SDR 7.4 for temporary water supply to sample room</t>
    </r>
  </si>
  <si>
    <r>
      <t xml:space="preserve">Supply, install and connect all Hot, cold and return pipework in sample room, complete with brackets, fittings, wall plates etc for a complete system. Hot and Return pipe work to have </t>
    </r>
    <r>
      <rPr>
        <b/>
        <sz val="10"/>
        <color theme="1"/>
        <rFont val="Myriad Pro Light"/>
        <family val="2"/>
      </rPr>
      <t>25mm thick insulation</t>
    </r>
  </si>
  <si>
    <t>Supply, install and connect Isolating valve from same pipe manufacturer</t>
  </si>
  <si>
    <t>Ø25mm</t>
  </si>
  <si>
    <t>Plumbing hot and cold using Polyprop pipe work, the following plumbing points: Note.  Hot and Return pipe work to have 25mm thick insulation</t>
  </si>
  <si>
    <t>Wash hand basin - hot and cold</t>
  </si>
  <si>
    <t>Sink - hot and cold</t>
  </si>
  <si>
    <t>Dishwasher  - cold only</t>
  </si>
  <si>
    <t>Toilet - cold only</t>
  </si>
  <si>
    <t>Shower mixer concealed - hot and cold</t>
  </si>
  <si>
    <t>Shower head</t>
  </si>
  <si>
    <t xml:space="preserve">Hand shower </t>
  </si>
  <si>
    <t>Prepare Drains for the following:</t>
  </si>
  <si>
    <t>Wash hand basin</t>
  </si>
  <si>
    <t>Sink</t>
  </si>
  <si>
    <t xml:space="preserve">Toilet </t>
  </si>
  <si>
    <t xml:space="preserve">Shower tray </t>
  </si>
  <si>
    <t>Install only the following :</t>
  </si>
  <si>
    <t>Wash hand basin, mixer and waste</t>
  </si>
  <si>
    <t>Kitchen sink, mixer and waste</t>
  </si>
  <si>
    <t>Connect dishwasher waste</t>
  </si>
  <si>
    <t xml:space="preserve">WC and flushing </t>
  </si>
  <si>
    <t xml:space="preserve">Shower mixer concealed </t>
  </si>
  <si>
    <t>Shower tray</t>
  </si>
  <si>
    <t xml:space="preserve">Shower glass </t>
  </si>
  <si>
    <t>Mirror</t>
  </si>
  <si>
    <t xml:space="preserve">Other accessories such as Toilet paper holder, Tower rail, hook, toothbrush holder, soap dispenser - rate per accessory </t>
  </si>
  <si>
    <t>Shower Tray drain - supplied by others</t>
  </si>
  <si>
    <t>Supply only Angle Valves and Flexibles</t>
  </si>
  <si>
    <t>Install only Angle Valves and Flexibles</t>
  </si>
  <si>
    <t>inc</t>
  </si>
  <si>
    <t>TOTAL FOR PLUMBING INSTALLATION in € exc VAT</t>
  </si>
  <si>
    <t>FIRE FIGHTING EQUIPMENT</t>
  </si>
  <si>
    <t>Supply  and install the following fire extinguishers</t>
  </si>
  <si>
    <t>Fire blanket</t>
  </si>
  <si>
    <t>TOTAL FOR FIRE FIGHTING EQUIPMENT in € exc VAT</t>
  </si>
  <si>
    <t>ANCILLERIES AND UNBILLED ITEMS</t>
  </si>
  <si>
    <t>TOTAL FOR UNBILLED ITEMS in € exc VAT</t>
  </si>
  <si>
    <t xml:space="preserve">Mock Up Room </t>
  </si>
  <si>
    <t>COLLECTION PAGE</t>
  </si>
  <si>
    <t>GRAND TOTAL IN EUROs exc VAT</t>
  </si>
  <si>
    <t>GENSET???</t>
  </si>
  <si>
    <t>LIFT</t>
  </si>
  <si>
    <t>SF 01 [Delta P to be as per selected accessories] for bedroom</t>
  </si>
  <si>
    <t>Item: 6.001</t>
  </si>
  <si>
    <t>Item: 6.002</t>
  </si>
  <si>
    <t>Item: 6.008</t>
  </si>
  <si>
    <t>Item: 6.009</t>
  </si>
  <si>
    <t>Item: 7.007</t>
  </si>
  <si>
    <t>SUNCREST HOTELS plc</t>
  </si>
  <si>
    <t>Sunny Cost and Lido Redevelopment</t>
  </si>
  <si>
    <t>Sample Room</t>
  </si>
  <si>
    <t>Sample Room - Electrical for Mechanical</t>
  </si>
  <si>
    <t>R.Farrugia</t>
  </si>
  <si>
    <t>Total Material Cost</t>
  </si>
  <si>
    <t>Total Labour Hours</t>
  </si>
  <si>
    <t>Jason Camilleri</t>
  </si>
  <si>
    <t>Wiring Cable  3c    1.5 mm2 PVC Non-Arm</t>
  </si>
  <si>
    <t>CASC_017</t>
  </si>
  <si>
    <t>CRO</t>
  </si>
  <si>
    <t>02-002</t>
  </si>
  <si>
    <t>MISC</t>
  </si>
  <si>
    <t>LABO_009</t>
  </si>
  <si>
    <t>Labour to connect Mech Equip (SF01)</t>
  </si>
  <si>
    <t>Labour to connect Mech Equip (Motorised 0-10V damper)</t>
  </si>
  <si>
    <t>Controls Section (Guy)</t>
  </si>
  <si>
    <t>BMSE_007</t>
  </si>
  <si>
    <t>FRER</t>
  </si>
  <si>
    <t>1MCOEAR</t>
  </si>
  <si>
    <t>Differential pressure sensor</t>
  </si>
  <si>
    <t>Labour to connect Mech Equip (Bathroom 50 litres/sec mixed flow fan)</t>
  </si>
  <si>
    <t>16A 1 Channel Modular Relay Time Off Delay</t>
  </si>
  <si>
    <t>ESS SQ057269</t>
  </si>
  <si>
    <t>WACC_258</t>
  </si>
  <si>
    <t>MEM</t>
  </si>
  <si>
    <t>F8000</t>
  </si>
  <si>
    <t xml:space="preserve">20mm Conduit LSZH - RATE  </t>
  </si>
  <si>
    <t>COPV_003</t>
  </si>
  <si>
    <t>GEN</t>
  </si>
  <si>
    <t>20mm</t>
  </si>
  <si>
    <t xml:space="preserve">20mm Flexible Conduit LSZH - RATE  </t>
  </si>
  <si>
    <t>BOQ Item 6.001</t>
  </si>
  <si>
    <t>BOQ Item 6.002</t>
  </si>
  <si>
    <t>We have allowed to connect the Fan to a 13A DP Fused Outlet included in the electrical BOQ.</t>
  </si>
  <si>
    <t>BOQ Item 6.008</t>
  </si>
  <si>
    <t>BOQ Item 6.009</t>
  </si>
  <si>
    <t>BOQ Item 7.007</t>
  </si>
  <si>
    <t xml:space="preserve">Note: The Time Off Deley can be achived by the REMS logic controller </t>
  </si>
  <si>
    <t>Ms. S. Magri</t>
  </si>
  <si>
    <t>A. Sciberras</t>
  </si>
  <si>
    <r>
      <t xml:space="preserve">We have allowed to connect the Damper to a 13A DP Fused Outlet included in the electrical BOQ. </t>
    </r>
    <r>
      <rPr>
        <sz val="10"/>
        <color rgb="FFFF0000"/>
        <rFont val="Arial"/>
        <family val="2"/>
      </rPr>
      <t>The control wiring installation is included in the REMS BOQ.</t>
    </r>
  </si>
  <si>
    <r>
      <t xml:space="preserve">We have allowed to connect the Fan to a 13A DP Fused Outlet included in the electrical BOQ. </t>
    </r>
    <r>
      <rPr>
        <sz val="10"/>
        <color rgb="FFFF0000"/>
        <rFont val="Arial"/>
        <family val="2"/>
      </rPr>
      <t>The control wiring installation is included in the REMS BOQ,. Whilst, the Fan Time OFF delay can be achived by the REMS logic controller.</t>
    </r>
  </si>
  <si>
    <t>Note: The wiring and programming are included within the REMS BOQ</t>
  </si>
  <si>
    <t>The wiring and programming are included within the REMS BOQ</t>
  </si>
  <si>
    <t>ELM25-0699</t>
  </si>
  <si>
    <t>Item: 7.002</t>
  </si>
  <si>
    <t>Item: 7.005</t>
  </si>
  <si>
    <t>BOQ Items 7.002 &amp; 7.005</t>
  </si>
  <si>
    <t>The AC Connecting up and control wiring installation, are excluded.</t>
  </si>
  <si>
    <t xml:space="preserve">We have allowed for an empty conduit between the AC Indoor units and the room temperature/fan speed controller.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</si>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</sst>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0.00_-;\-&quot;£&quot;* #,##0.00_-;_-&quot;£&quot;* &quot;-&quot;??_-;_-@_-"/>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2]\ #,##0.00"/>
    <numFmt numFmtId="171" formatCode="0.0000"/>
    <numFmt numFmtId="172" formatCode="0.0000000"/>
    <numFmt numFmtId="173" formatCode="#,##0.00_ ;\-#,##0.00\ "/>
    <numFmt numFmtId="174" formatCode="[$-409]h:mm:ss\ AM/PM;@"/>
    <numFmt numFmtId="175" formatCode="[$-F400]h:mm:ss\ AM/PM"/>
    <numFmt numFmtId="176" formatCode="&quot;€/Prhr &quot;#,##0.00_);[Red]\(&quot;Lm &quot;#,##0.00\)"/>
    <numFmt numFmtId="177" formatCode="##,##0.00;[Red]\-#,##0.00"/>
    <numFmt numFmtId="178" formatCode="##,##0.00;[Red]\-#,###"/>
    <numFmt numFmtId="179" formatCode="##,##0.00;[Red]\-##,##0.00"/>
    <numFmt numFmtId="180" formatCode="&quot;€/Prhr &quot;#,##0.000_);[Red]\(&quot;Lm &quot;#,##0.000\)"/>
    <numFmt numFmtId="181" formatCode="_-[$€-2]\ * #,##0.00_-;\-[$€-2]\ * #,##0.00_-;_-[$€-2]\ * &quot;-&quot;??_-;_-@_-"/>
    <numFmt numFmtId="182" formatCode="[$€-83C]#,##0.00"/>
  </numFmts>
  <fonts count="171">
    <font>
      <sz val="10"/>
      <name val="Arial"/>
    </font>
    <font>
      <sz val="11"/>
      <color theme="1"/>
      <name val="Calibri"/>
      <family val="2"/>
      <scheme val="minor"/>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sz val="10"/>
      <color indexed="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b/>
      <i/>
      <u/>
      <sz val="8"/>
      <name val="Arial"/>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b/>
      <sz val="22.5"/>
      <name val="Arial"/>
      <family val="2"/>
    </font>
    <font>
      <sz val="14"/>
      <name val="Arial"/>
      <family val="2"/>
    </font>
    <font>
      <sz val="8"/>
      <color indexed="9"/>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sz val="11"/>
      <color theme="1"/>
      <name val="Calibri"/>
      <family val="2"/>
      <scheme val="minor"/>
    </font>
    <font>
      <sz val="10"/>
      <name val="AvantGarde"/>
    </font>
    <font>
      <b/>
      <sz val="11"/>
      <color theme="1"/>
      <name val="Calibri"/>
      <family val="2"/>
      <scheme val="minor"/>
    </font>
    <font>
      <sz val="10"/>
      <color theme="1"/>
      <name val="Myriad Pro Light"/>
      <family val="2"/>
    </font>
    <font>
      <b/>
      <sz val="12"/>
      <color rgb="FF0070C0"/>
      <name val="Myriad Pro Light"/>
      <family val="2"/>
    </font>
    <font>
      <b/>
      <sz val="10"/>
      <color rgb="FF0070C0"/>
      <name val="Myriad Pro Light"/>
      <family val="2"/>
    </font>
    <font>
      <b/>
      <sz val="10"/>
      <color theme="1"/>
      <name val="Myriad Pro Light"/>
      <family val="2"/>
    </font>
    <font>
      <i/>
      <sz val="10"/>
      <color theme="1"/>
      <name val="Myriad Pro Light"/>
      <family val="2"/>
    </font>
    <font>
      <b/>
      <i/>
      <sz val="10"/>
      <color theme="1"/>
      <name val="Myriad Pro Light"/>
      <family val="2"/>
    </font>
    <font>
      <b/>
      <i/>
      <sz val="10"/>
      <color rgb="FF000000"/>
      <name val="Myriad Pro Light"/>
      <family val="2"/>
    </font>
    <font>
      <sz val="10"/>
      <color rgb="FF000000"/>
      <name val="Myriad Pro Light"/>
      <family val="2"/>
    </font>
    <font>
      <i/>
      <sz val="10"/>
      <name val="Myriad Pro Light"/>
      <family val="2"/>
    </font>
    <font>
      <sz val="10"/>
      <name val="Myriad Pro Light"/>
      <family val="2"/>
    </font>
    <font>
      <b/>
      <sz val="10"/>
      <color rgb="FFFF0000"/>
      <name val="Myriad Pro Light"/>
      <family val="2"/>
    </font>
    <font>
      <b/>
      <sz val="20"/>
      <color rgb="FF0070C0"/>
      <name val="Myriad Pro Light"/>
      <family val="2"/>
    </font>
    <font>
      <b/>
      <sz val="10"/>
      <color rgb="FF4472C4"/>
      <name val="Myriad Pro Light"/>
      <family val="2"/>
    </font>
    <font>
      <sz val="9"/>
      <name val="MS Sans Serif"/>
    </font>
    <font>
      <b/>
      <sz val="9"/>
      <name val="MS Sans Serif"/>
    </font>
    <font>
      <b/>
      <sz val="9"/>
      <color rgb="FFFF0000"/>
      <name val="Arial"/>
      <family val="2"/>
    </font>
    <font>
      <b/>
      <sz val="10"/>
      <color theme="1"/>
      <name val="Myriad Pro Light"/>
    </font>
    <font>
      <sz val="10"/>
      <color rgb="FFFF0000"/>
      <name val="Arial"/>
      <family val="2"/>
    </font>
  </fonts>
  <fills count="21">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45">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7">
    <xf numFmtId="0" fontId="0" fillId="0" borderId="0"/>
    <xf numFmtId="43" fontId="5" fillId="0" borderId="0" applyFont="0" applyFill="0" applyBorder="0" applyAlignment="0" applyProtection="0"/>
    <xf numFmtId="164" fontId="5" fillId="0" borderId="0" applyFont="0" applyFill="0" applyBorder="0" applyAlignment="0" applyProtection="0"/>
    <xf numFmtId="0" fontId="5" fillId="0" borderId="0"/>
    <xf numFmtId="1" fontId="9" fillId="0" borderId="0"/>
    <xf numFmtId="0" fontId="5" fillId="0" borderId="0"/>
    <xf numFmtId="1" fontId="9" fillId="0" borderId="0"/>
    <xf numFmtId="0" fontId="8" fillId="0" borderId="0"/>
    <xf numFmtId="0" fontId="32" fillId="0" borderId="0"/>
    <xf numFmtId="0" fontId="149" fillId="0" borderId="0"/>
    <xf numFmtId="1" fontId="5" fillId="0" borderId="0"/>
    <xf numFmtId="0" fontId="5" fillId="0" borderId="0"/>
    <xf numFmtId="0" fontId="150" fillId="0" borderId="0"/>
    <xf numFmtId="0" fontId="151" fillId="0" borderId="0"/>
    <xf numFmtId="0" fontId="1" fillId="0" borderId="0"/>
    <xf numFmtId="9" fontId="1" fillId="0" borderId="0" applyFont="0" applyFill="0" applyBorder="0" applyAlignment="0" applyProtection="0"/>
    <xf numFmtId="44" fontId="1" fillId="0" borderId="0" applyFont="0" applyFill="0" applyBorder="0" applyAlignment="0" applyProtection="0"/>
  </cellStyleXfs>
  <cellXfs count="757">
    <xf numFmtId="0" fontId="0" fillId="0" borderId="0" xfId="0"/>
    <xf numFmtId="0" fontId="13" fillId="0" borderId="0" xfId="3" applyFont="1"/>
    <xf numFmtId="1" fontId="16" fillId="0" borderId="0" xfId="6" applyFont="1" applyProtection="1">
      <protection locked="0"/>
    </xf>
    <xf numFmtId="0" fontId="5" fillId="0" borderId="0" xfId="3"/>
    <xf numFmtId="1" fontId="13" fillId="0" borderId="0" xfId="6" applyFont="1" applyProtection="1">
      <protection locked="0"/>
    </xf>
    <xf numFmtId="2" fontId="13" fillId="0" borderId="0" xfId="6" applyNumberFormat="1" applyFont="1" applyProtection="1">
      <protection locked="0"/>
    </xf>
    <xf numFmtId="1" fontId="27" fillId="0" borderId="0" xfId="6" applyFont="1" applyAlignment="1" applyProtection="1">
      <alignment horizontal="center"/>
      <protection locked="0"/>
    </xf>
    <xf numFmtId="0" fontId="38" fillId="0" borderId="0" xfId="2" applyNumberFormat="1" applyFont="1" applyFill="1" applyBorder="1" applyAlignment="1" applyProtection="1">
      <alignment horizontal="centerContinuous"/>
      <protection locked="0"/>
    </xf>
    <xf numFmtId="0" fontId="20" fillId="0" borderId="0" xfId="7" applyFont="1" applyAlignment="1" applyProtection="1">
      <alignment horizontal="center"/>
      <protection locked="0"/>
    </xf>
    <xf numFmtId="1" fontId="13" fillId="0" borderId="0" xfId="6" applyFont="1" applyAlignment="1" applyProtection="1">
      <alignment horizontal="centerContinuous"/>
      <protection locked="0"/>
    </xf>
    <xf numFmtId="1" fontId="13" fillId="0" borderId="0" xfId="6" applyFont="1" applyAlignment="1" applyProtection="1">
      <alignment horizontal="left"/>
      <protection locked="0"/>
    </xf>
    <xf numFmtId="0" fontId="14" fillId="0" borderId="0" xfId="2" applyNumberFormat="1" applyFont="1" applyBorder="1" applyAlignment="1" applyProtection="1">
      <protection locked="0"/>
    </xf>
    <xf numFmtId="0" fontId="14" fillId="0" borderId="0" xfId="3" applyFont="1" applyAlignment="1" applyProtection="1">
      <alignment horizontal="left"/>
      <protection locked="0"/>
    </xf>
    <xf numFmtId="15" fontId="14" fillId="0" borderId="0" xfId="6" applyNumberFormat="1" applyFont="1" applyAlignment="1" applyProtection="1">
      <alignment horizontal="left"/>
      <protection locked="0"/>
    </xf>
    <xf numFmtId="0" fontId="14" fillId="0" borderId="0" xfId="2" applyNumberFormat="1" applyFont="1" applyFill="1" applyBorder="1" applyAlignment="1" applyProtection="1">
      <alignment horizontal="left"/>
      <protection locked="0"/>
    </xf>
    <xf numFmtId="0" fontId="33" fillId="0" borderId="0" xfId="2" applyNumberFormat="1" applyFont="1" applyBorder="1" applyAlignment="1" applyProtection="1">
      <alignment horizontal="centerContinuous"/>
      <protection locked="0"/>
    </xf>
    <xf numFmtId="0" fontId="10" fillId="3" borderId="3" xfId="3" applyFont="1" applyFill="1" applyBorder="1" applyAlignment="1">
      <alignment horizontal="center"/>
    </xf>
    <xf numFmtId="0" fontId="10" fillId="4" borderId="3" xfId="3" applyFont="1" applyFill="1" applyBorder="1" applyAlignment="1">
      <alignment horizontal="center"/>
    </xf>
    <xf numFmtId="0" fontId="60" fillId="5" borderId="3" xfId="3" applyFont="1" applyFill="1" applyBorder="1" applyAlignment="1">
      <alignment horizontal="center"/>
    </xf>
    <xf numFmtId="0" fontId="10" fillId="6" borderId="3" xfId="3" applyFont="1" applyFill="1" applyBorder="1" applyAlignment="1">
      <alignment horizontal="center"/>
    </xf>
    <xf numFmtId="0" fontId="10" fillId="2" borderId="3" xfId="3" applyFont="1" applyFill="1" applyBorder="1" applyAlignment="1">
      <alignment horizontal="center"/>
    </xf>
    <xf numFmtId="0" fontId="10" fillId="7" borderId="3" xfId="3" applyFont="1" applyFill="1" applyBorder="1" applyAlignment="1">
      <alignment horizontal="center"/>
    </xf>
    <xf numFmtId="0" fontId="10" fillId="8" borderId="3" xfId="3" applyFont="1" applyFill="1" applyBorder="1" applyAlignment="1">
      <alignment horizontal="center"/>
    </xf>
    <xf numFmtId="0" fontId="10" fillId="9" borderId="3" xfId="3" applyFont="1" applyFill="1" applyBorder="1" applyAlignment="1">
      <alignment horizontal="center"/>
    </xf>
    <xf numFmtId="0" fontId="10" fillId="10" borderId="3" xfId="3" applyFont="1" applyFill="1" applyBorder="1" applyAlignment="1">
      <alignment horizontal="center"/>
    </xf>
    <xf numFmtId="0" fontId="10" fillId="11" borderId="3" xfId="3" applyFont="1" applyFill="1" applyBorder="1" applyAlignment="1">
      <alignment horizontal="center"/>
    </xf>
    <xf numFmtId="0" fontId="58" fillId="2" borderId="4" xfId="2" applyNumberFormat="1" applyFont="1" applyFill="1" applyBorder="1" applyAlignment="1" applyProtection="1">
      <alignment horizontal="center" vertical="center"/>
    </xf>
    <xf numFmtId="0" fontId="58" fillId="2" borderId="5" xfId="3" applyFont="1" applyFill="1" applyBorder="1" applyAlignment="1">
      <alignment horizontal="center" vertical="center"/>
    </xf>
    <xf numFmtId="0" fontId="58" fillId="2" borderId="6" xfId="0" applyFont="1" applyFill="1" applyBorder="1" applyAlignment="1">
      <alignment horizontal="center" vertical="center"/>
    </xf>
    <xf numFmtId="0" fontId="58" fillId="2" borderId="7" xfId="0" applyFont="1" applyFill="1" applyBorder="1" applyAlignment="1">
      <alignment horizontal="center" vertical="center"/>
    </xf>
    <xf numFmtId="0" fontId="12" fillId="0" borderId="0" xfId="0" applyFont="1" applyProtection="1">
      <protection locked="0"/>
    </xf>
    <xf numFmtId="0" fontId="13" fillId="0" borderId="0" xfId="3" applyFont="1" applyProtection="1">
      <protection locked="0"/>
    </xf>
    <xf numFmtId="0" fontId="5" fillId="0" borderId="0" xfId="3" applyProtection="1">
      <protection locked="0"/>
    </xf>
    <xf numFmtId="1" fontId="13" fillId="0" borderId="0" xfId="3" applyNumberFormat="1" applyFont="1" applyProtection="1">
      <protection locked="0"/>
    </xf>
    <xf numFmtId="0" fontId="0" fillId="0" borderId="0" xfId="0" applyProtection="1">
      <protection locked="0"/>
    </xf>
    <xf numFmtId="0" fontId="15" fillId="0" borderId="0" xfId="3" applyFont="1" applyProtection="1">
      <protection locked="0"/>
    </xf>
    <xf numFmtId="0" fontId="16" fillId="0" borderId="0" xfId="3" applyFont="1" applyAlignment="1" applyProtection="1">
      <alignment horizontal="right"/>
      <protection locked="0"/>
    </xf>
    <xf numFmtId="0" fontId="8" fillId="0" borderId="1" xfId="3" applyFont="1" applyBorder="1" applyProtection="1">
      <protection locked="0"/>
    </xf>
    <xf numFmtId="1" fontId="5" fillId="0" borderId="0" xfId="3" applyNumberFormat="1" applyProtection="1">
      <protection locked="0"/>
    </xf>
    <xf numFmtId="0" fontId="14" fillId="0" borderId="0" xfId="3" applyFont="1" applyAlignment="1" applyProtection="1">
      <alignment horizontal="center"/>
      <protection locked="0"/>
    </xf>
    <xf numFmtId="0" fontId="14" fillId="0" borderId="0" xfId="3" applyFont="1" applyAlignment="1" applyProtection="1">
      <alignment horizontal="right"/>
      <protection locked="0"/>
    </xf>
    <xf numFmtId="2" fontId="16" fillId="0" borderId="0" xfId="6" applyNumberFormat="1" applyFont="1" applyProtection="1">
      <protection locked="0"/>
    </xf>
    <xf numFmtId="2" fontId="13" fillId="0" borderId="0" xfId="3" applyNumberFormat="1" applyFont="1" applyProtection="1">
      <protection locked="0"/>
    </xf>
    <xf numFmtId="1" fontId="13" fillId="0" borderId="1" xfId="6" applyFont="1" applyBorder="1" applyProtection="1">
      <protection locked="0"/>
    </xf>
    <xf numFmtId="2" fontId="13" fillId="0" borderId="1" xfId="6" applyNumberFormat="1" applyFont="1" applyBorder="1" applyProtection="1">
      <protection locked="0"/>
    </xf>
    <xf numFmtId="165" fontId="13" fillId="0" borderId="1" xfId="6" applyNumberFormat="1" applyFont="1" applyBorder="1" applyProtection="1">
      <protection locked="0"/>
    </xf>
    <xf numFmtId="0" fontId="17" fillId="0" borderId="0" xfId="3" applyFont="1" applyProtection="1">
      <protection locked="0"/>
    </xf>
    <xf numFmtId="2" fontId="13" fillId="0" borderId="10" xfId="6" applyNumberFormat="1" applyFont="1" applyBorder="1" applyAlignment="1" applyProtection="1">
      <alignment horizontal="center"/>
      <protection locked="0"/>
    </xf>
    <xf numFmtId="1" fontId="16" fillId="0" borderId="0" xfId="6" applyFont="1" applyAlignment="1" applyProtection="1">
      <alignment horizontal="left"/>
      <protection locked="0"/>
    </xf>
    <xf numFmtId="0" fontId="25" fillId="0" borderId="0" xfId="3" applyFont="1" applyProtection="1">
      <protection locked="0"/>
    </xf>
    <xf numFmtId="0" fontId="16" fillId="0" borderId="11" xfId="3" applyFont="1" applyBorder="1" applyAlignment="1" applyProtection="1">
      <alignment horizontal="center"/>
      <protection locked="0"/>
    </xf>
    <xf numFmtId="165" fontId="13" fillId="0" borderId="0" xfId="6" applyNumberFormat="1" applyFont="1" applyProtection="1">
      <protection locked="0"/>
    </xf>
    <xf numFmtId="0" fontId="13" fillId="0" borderId="1" xfId="3" applyFont="1" applyBorder="1" applyProtection="1">
      <protection locked="0"/>
    </xf>
    <xf numFmtId="2" fontId="13" fillId="0" borderId="1" xfId="3" applyNumberFormat="1" applyFont="1" applyBorder="1" applyProtection="1">
      <protection locked="0"/>
    </xf>
    <xf numFmtId="1" fontId="8" fillId="0" borderId="1" xfId="6" applyFont="1" applyBorder="1" applyProtection="1">
      <protection locked="0"/>
    </xf>
    <xf numFmtId="0" fontId="25" fillId="0" borderId="1" xfId="3" applyFont="1" applyBorder="1" applyProtection="1">
      <protection locked="0"/>
    </xf>
    <xf numFmtId="2" fontId="14" fillId="2" borderId="0" xfId="3" applyNumberFormat="1" applyFont="1" applyFill="1" applyAlignment="1" applyProtection="1">
      <alignment horizontal="center"/>
      <protection locked="0"/>
    </xf>
    <xf numFmtId="0" fontId="18" fillId="0" borderId="0" xfId="3" applyFont="1" applyAlignment="1" applyProtection="1">
      <alignment horizontal="right"/>
      <protection locked="0"/>
    </xf>
    <xf numFmtId="0" fontId="8" fillId="0" borderId="0" xfId="3" applyFont="1" applyProtection="1">
      <protection locked="0"/>
    </xf>
    <xf numFmtId="1" fontId="8" fillId="0" borderId="0" xfId="3" applyNumberFormat="1" applyFont="1" applyProtection="1">
      <protection locked="0"/>
    </xf>
    <xf numFmtId="2" fontId="8" fillId="0" borderId="0" xfId="6" applyNumberFormat="1" applyFont="1" applyAlignment="1" applyProtection="1">
      <alignment horizontal="right"/>
      <protection locked="0"/>
    </xf>
    <xf numFmtId="1" fontId="8" fillId="0" borderId="0" xfId="6" applyFont="1" applyProtection="1">
      <protection locked="0"/>
    </xf>
    <xf numFmtId="2" fontId="8" fillId="0" borderId="0" xfId="6" applyNumberFormat="1" applyFont="1" applyProtection="1">
      <protection locked="0"/>
    </xf>
    <xf numFmtId="165" fontId="8" fillId="0" borderId="0" xfId="6" applyNumberFormat="1" applyFont="1" applyProtection="1">
      <protection locked="0"/>
    </xf>
    <xf numFmtId="2" fontId="8" fillId="0" borderId="0" xfId="3" applyNumberFormat="1" applyFont="1" applyAlignment="1" applyProtection="1">
      <alignment horizontal="right"/>
      <protection locked="0"/>
    </xf>
    <xf numFmtId="0" fontId="8" fillId="0" borderId="0" xfId="3" applyFont="1" applyAlignment="1" applyProtection="1">
      <alignment horizontal="right"/>
      <protection locked="0"/>
    </xf>
    <xf numFmtId="0" fontId="19" fillId="0" borderId="0" xfId="3" applyFont="1" applyProtection="1">
      <protection locked="0"/>
    </xf>
    <xf numFmtId="0" fontId="20" fillId="0" borderId="1" xfId="3" applyFont="1" applyBorder="1" applyAlignment="1" applyProtection="1">
      <alignment horizontal="left"/>
      <protection locked="0"/>
    </xf>
    <xf numFmtId="0" fontId="21" fillId="0" borderId="1" xfId="3" applyFont="1" applyBorder="1" applyAlignment="1" applyProtection="1">
      <alignment horizontal="right"/>
      <protection locked="0"/>
    </xf>
    <xf numFmtId="0" fontId="4" fillId="0" borderId="1" xfId="3" applyFont="1" applyBorder="1" applyProtection="1">
      <protection locked="0"/>
    </xf>
    <xf numFmtId="0" fontId="20" fillId="0" borderId="1" xfId="3" applyFont="1" applyBorder="1" applyAlignment="1" applyProtection="1">
      <alignment horizontal="right"/>
      <protection locked="0"/>
    </xf>
    <xf numFmtId="1" fontId="20" fillId="2" borderId="1" xfId="6" applyFont="1" applyFill="1" applyBorder="1" applyProtection="1">
      <protection locked="0"/>
    </xf>
    <xf numFmtId="2" fontId="20" fillId="2" borderId="1" xfId="6" applyNumberFormat="1" applyFont="1" applyFill="1" applyBorder="1" applyProtection="1">
      <protection locked="0"/>
    </xf>
    <xf numFmtId="2" fontId="20" fillId="2" borderId="1" xfId="3" applyNumberFormat="1" applyFont="1" applyFill="1" applyBorder="1" applyProtection="1">
      <protection locked="0"/>
    </xf>
    <xf numFmtId="0" fontId="22" fillId="2" borderId="1" xfId="3" applyFont="1" applyFill="1" applyBorder="1" applyProtection="1">
      <protection locked="0"/>
    </xf>
    <xf numFmtId="0" fontId="20" fillId="0" borderId="0" xfId="3" applyFont="1" applyAlignment="1" applyProtection="1">
      <alignment horizontal="left"/>
      <protection locked="0"/>
    </xf>
    <xf numFmtId="0" fontId="21" fillId="0" borderId="0" xfId="3" applyFont="1" applyAlignment="1" applyProtection="1">
      <alignment horizontal="right"/>
      <protection locked="0"/>
    </xf>
    <xf numFmtId="0" fontId="4" fillId="0" borderId="0" xfId="3" applyFont="1" applyAlignment="1" applyProtection="1">
      <alignment horizontal="right"/>
      <protection locked="0"/>
    </xf>
    <xf numFmtId="0" fontId="20" fillId="0" borderId="0" xfId="3" applyFont="1" applyAlignment="1" applyProtection="1">
      <alignment horizontal="right"/>
      <protection locked="0"/>
    </xf>
    <xf numFmtId="2" fontId="20" fillId="0" borderId="0" xfId="3" applyNumberFormat="1" applyFont="1" applyProtection="1">
      <protection locked="0"/>
    </xf>
    <xf numFmtId="2" fontId="20" fillId="0" borderId="0" xfId="6" applyNumberFormat="1" applyFont="1" applyProtection="1">
      <protection locked="0"/>
    </xf>
    <xf numFmtId="2" fontId="22" fillId="0" borderId="0" xfId="3" applyNumberFormat="1" applyFont="1" applyProtection="1">
      <protection locked="0"/>
    </xf>
    <xf numFmtId="0" fontId="20" fillId="12" borderId="0" xfId="3" applyFont="1" applyFill="1" applyAlignment="1" applyProtection="1">
      <alignment horizontal="left"/>
      <protection locked="0"/>
    </xf>
    <xf numFmtId="0" fontId="20" fillId="12" borderId="0" xfId="3" applyFont="1" applyFill="1" applyAlignment="1" applyProtection="1">
      <alignment horizontal="right"/>
      <protection locked="0"/>
    </xf>
    <xf numFmtId="0" fontId="16" fillId="0" borderId="0" xfId="3" applyFont="1" applyProtection="1">
      <protection locked="0"/>
    </xf>
    <xf numFmtId="2" fontId="16" fillId="0" borderId="0" xfId="3" applyNumberFormat="1" applyFont="1" applyProtection="1">
      <protection locked="0"/>
    </xf>
    <xf numFmtId="2" fontId="13" fillId="0" borderId="12" xfId="3" applyNumberFormat="1" applyFont="1" applyBorder="1" applyProtection="1">
      <protection locked="0"/>
    </xf>
    <xf numFmtId="0" fontId="16" fillId="12" borderId="0" xfId="3" applyFont="1" applyFill="1" applyAlignment="1" applyProtection="1">
      <alignment horizontal="left"/>
      <protection locked="0"/>
    </xf>
    <xf numFmtId="0" fontId="16" fillId="12" borderId="0" xfId="3" applyFont="1" applyFill="1" applyAlignment="1" applyProtection="1">
      <alignment horizontal="right"/>
      <protection locked="0"/>
    </xf>
    <xf numFmtId="2" fontId="13" fillId="2" borderId="0" xfId="3" applyNumberFormat="1" applyFont="1" applyFill="1" applyAlignment="1" applyProtection="1">
      <alignment horizontal="center"/>
      <protection locked="0"/>
    </xf>
    <xf numFmtId="2" fontId="13" fillId="13" borderId="12" xfId="6" applyNumberFormat="1" applyFont="1" applyFill="1" applyBorder="1" applyProtection="1">
      <protection locked="0"/>
    </xf>
    <xf numFmtId="2" fontId="13" fillId="0" borderId="12" xfId="6" applyNumberFormat="1" applyFont="1" applyBorder="1" applyProtection="1">
      <protection locked="0"/>
    </xf>
    <xf numFmtId="0" fontId="13" fillId="2" borderId="0" xfId="3" applyFont="1" applyFill="1" applyAlignment="1" applyProtection="1">
      <alignment horizontal="center"/>
      <protection locked="0"/>
    </xf>
    <xf numFmtId="1" fontId="24" fillId="0" borderId="0" xfId="6" applyFont="1" applyProtection="1">
      <protection locked="0"/>
    </xf>
    <xf numFmtId="1" fontId="20" fillId="0" borderId="0" xfId="6" applyFont="1" applyAlignment="1" applyProtection="1">
      <alignment horizontal="right"/>
      <protection locked="0"/>
    </xf>
    <xf numFmtId="2" fontId="13" fillId="7" borderId="12" xfId="3" applyNumberFormat="1" applyFont="1" applyFill="1" applyBorder="1" applyProtection="1">
      <protection locked="0"/>
    </xf>
    <xf numFmtId="2" fontId="25" fillId="0" borderId="12" xfId="3" applyNumberFormat="1" applyFont="1" applyBorder="1" applyProtection="1">
      <protection locked="0"/>
    </xf>
    <xf numFmtId="2" fontId="13" fillId="6" borderId="12" xfId="3" applyNumberFormat="1" applyFont="1" applyFill="1" applyBorder="1" applyProtection="1">
      <protection locked="0"/>
    </xf>
    <xf numFmtId="0" fontId="17" fillId="0" borderId="1" xfId="3" applyFont="1" applyBorder="1" applyProtection="1">
      <protection locked="0"/>
    </xf>
    <xf numFmtId="2" fontId="16" fillId="0" borderId="1" xfId="3" applyNumberFormat="1" applyFont="1" applyBorder="1" applyAlignment="1" applyProtection="1">
      <alignment horizontal="right"/>
      <protection locked="0"/>
    </xf>
    <xf numFmtId="0" fontId="8" fillId="0" borderId="13" xfId="0" applyFont="1" applyBorder="1" applyAlignment="1" applyProtection="1">
      <alignment horizontal="right"/>
      <protection locked="0"/>
    </xf>
    <xf numFmtId="0" fontId="4" fillId="0" borderId="13" xfId="0" applyFont="1" applyBorder="1" applyProtection="1">
      <protection locked="0"/>
    </xf>
    <xf numFmtId="0" fontId="20"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2" fillId="0" borderId="13" xfId="0" applyFont="1" applyBorder="1" applyProtection="1">
      <protection locked="0"/>
    </xf>
    <xf numFmtId="2" fontId="2" fillId="2" borderId="14" xfId="0" applyNumberFormat="1" applyFont="1" applyFill="1" applyBorder="1" applyAlignment="1" applyProtection="1">
      <alignment horizontal="right"/>
      <protection locked="0"/>
    </xf>
    <xf numFmtId="165" fontId="2" fillId="2" borderId="14" xfId="0" applyNumberFormat="1" applyFont="1" applyFill="1" applyBorder="1" applyProtection="1">
      <protection locked="0"/>
    </xf>
    <xf numFmtId="0" fontId="8" fillId="0" borderId="0" xfId="0" applyFont="1" applyAlignment="1" applyProtection="1">
      <alignment horizontal="right"/>
      <protection locked="0"/>
    </xf>
    <xf numFmtId="0" fontId="2" fillId="0" borderId="0" xfId="0" applyFont="1" applyAlignment="1" applyProtection="1">
      <alignment horizontal="center"/>
      <protection locked="0"/>
    </xf>
    <xf numFmtId="1" fontId="0" fillId="0" borderId="0" xfId="0" applyNumberFormat="1" applyProtection="1">
      <protection locked="0"/>
    </xf>
    <xf numFmtId="2" fontId="9" fillId="0" borderId="0" xfId="0" applyNumberFormat="1" applyFont="1" applyProtection="1">
      <protection locked="0"/>
    </xf>
    <xf numFmtId="165" fontId="0" fillId="0" borderId="0" xfId="0" applyNumberFormat="1" applyProtection="1">
      <protection locked="0"/>
    </xf>
    <xf numFmtId="0" fontId="13" fillId="0" borderId="0" xfId="0" applyFont="1" applyProtection="1">
      <protection locked="0"/>
    </xf>
    <xf numFmtId="0" fontId="8" fillId="0" borderId="1" xfId="0" applyFont="1" applyBorder="1" applyAlignment="1" applyProtection="1">
      <alignment horizontal="right"/>
      <protection locked="0"/>
    </xf>
    <xf numFmtId="0" fontId="28" fillId="0" borderId="1" xfId="0" applyFont="1" applyBorder="1" applyAlignment="1" applyProtection="1">
      <alignment horizontal="left"/>
      <protection locked="0"/>
    </xf>
    <xf numFmtId="1" fontId="27" fillId="0" borderId="1" xfId="6" applyFont="1" applyBorder="1" applyAlignment="1" applyProtection="1">
      <alignment horizontal="center"/>
      <protection locked="0"/>
    </xf>
    <xf numFmtId="0" fontId="13" fillId="0" borderId="1" xfId="0" applyFont="1" applyBorder="1" applyProtection="1">
      <protection locked="0"/>
    </xf>
    <xf numFmtId="0" fontId="0" fillId="0" borderId="1" xfId="0" applyBorder="1" applyProtection="1">
      <protection locked="0"/>
    </xf>
    <xf numFmtId="0" fontId="2" fillId="0" borderId="1" xfId="0" applyFont="1" applyBorder="1" applyAlignment="1" applyProtection="1">
      <alignment horizontal="center"/>
      <protection locked="0"/>
    </xf>
    <xf numFmtId="1" fontId="0" fillId="0" borderId="1" xfId="0" applyNumberFormat="1" applyBorder="1" applyProtection="1">
      <protection locked="0"/>
    </xf>
    <xf numFmtId="2" fontId="9" fillId="0" borderId="1" xfId="0" applyNumberFormat="1" applyFont="1" applyBorder="1" applyProtection="1">
      <protection locked="0"/>
    </xf>
    <xf numFmtId="165" fontId="0" fillId="0" borderId="1" xfId="0" applyNumberFormat="1" applyBorder="1" applyProtection="1">
      <protection locked="0"/>
    </xf>
    <xf numFmtId="0" fontId="24" fillId="0" borderId="0" xfId="0" applyFont="1" applyAlignment="1" applyProtection="1">
      <alignment horizontal="center"/>
      <protection locked="0"/>
    </xf>
    <xf numFmtId="0" fontId="29" fillId="0" borderId="0" xfId="0" applyFont="1" applyProtection="1">
      <protection locked="0"/>
    </xf>
    <xf numFmtId="0" fontId="24" fillId="0" borderId="0" xfId="0" applyFont="1" applyAlignment="1" applyProtection="1">
      <alignment horizontal="left"/>
      <protection locked="0"/>
    </xf>
    <xf numFmtId="0" fontId="30" fillId="0" borderId="0" xfId="0" applyFont="1" applyAlignment="1" applyProtection="1">
      <alignment horizontal="center"/>
      <protection locked="0"/>
    </xf>
    <xf numFmtId="0" fontId="24" fillId="0" borderId="1" xfId="0" applyFont="1" applyBorder="1" applyAlignment="1" applyProtection="1">
      <alignment horizontal="center"/>
      <protection locked="0"/>
    </xf>
    <xf numFmtId="0" fontId="29" fillId="0" borderId="1" xfId="0" applyFont="1" applyBorder="1" applyProtection="1">
      <protection locked="0"/>
    </xf>
    <xf numFmtId="0" fontId="24" fillId="0" borderId="15" xfId="0" applyFont="1" applyBorder="1" applyAlignment="1" applyProtection="1">
      <alignment horizontal="left"/>
      <protection locked="0"/>
    </xf>
    <xf numFmtId="0" fontId="31"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5"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15" borderId="0" xfId="0" applyFill="1"/>
    <xf numFmtId="1" fontId="16" fillId="0" borderId="0" xfId="6" applyFont="1" applyAlignment="1" applyProtection="1">
      <alignment vertical="top"/>
      <protection locked="0"/>
    </xf>
    <xf numFmtId="1" fontId="0" fillId="0" borderId="0" xfId="0" applyNumberFormat="1"/>
    <xf numFmtId="0" fontId="0" fillId="14" borderId="0" xfId="0" applyFill="1" applyAlignment="1" applyProtection="1">
      <alignment horizontal="center"/>
      <protection locked="0"/>
    </xf>
    <xf numFmtId="0" fontId="73" fillId="7" borderId="0" xfId="0" applyFont="1" applyFill="1" applyAlignment="1" applyProtection="1">
      <alignment horizontal="center"/>
      <protection locked="0"/>
    </xf>
    <xf numFmtId="0" fontId="33" fillId="0" borderId="13" xfId="2" applyNumberFormat="1" applyFont="1" applyBorder="1" applyAlignment="1" applyProtection="1">
      <alignment horizontal="centerContinuous"/>
      <protection locked="0"/>
    </xf>
    <xf numFmtId="0" fontId="8" fillId="0" borderId="0" xfId="7" applyProtection="1">
      <protection locked="0"/>
    </xf>
    <xf numFmtId="0" fontId="74" fillId="0" borderId="0" xfId="0" applyFont="1" applyProtection="1">
      <protection locked="0"/>
    </xf>
    <xf numFmtId="0" fontId="36" fillId="0" borderId="0" xfId="0" applyFont="1" applyProtection="1">
      <protection locked="0"/>
    </xf>
    <xf numFmtId="0" fontId="9" fillId="0" borderId="0" xfId="0" applyFont="1" applyAlignment="1" applyProtection="1">
      <alignment horizontal="centerContinuous"/>
      <protection locked="0"/>
    </xf>
    <xf numFmtId="0" fontId="0" fillId="0" borderId="0" xfId="0" applyAlignment="1" applyProtection="1">
      <alignment horizontal="left"/>
      <protection locked="0"/>
    </xf>
    <xf numFmtId="0" fontId="38" fillId="0" borderId="0" xfId="3" applyFont="1" applyAlignment="1" applyProtection="1">
      <alignment horizontal="centerContinuous"/>
      <protection locked="0"/>
    </xf>
    <xf numFmtId="0" fontId="37" fillId="0" borderId="0" xfId="0" applyFont="1" applyAlignment="1" applyProtection="1">
      <alignment horizontal="center"/>
      <protection locked="0"/>
    </xf>
    <xf numFmtId="0" fontId="0" fillId="0" borderId="0" xfId="0" applyAlignment="1" applyProtection="1">
      <alignment horizontal="right"/>
      <protection locked="0"/>
    </xf>
    <xf numFmtId="0" fontId="83" fillId="0" borderId="0" xfId="7" applyFont="1" applyAlignment="1" applyProtection="1">
      <alignment horizontal="left"/>
      <protection locked="0"/>
    </xf>
    <xf numFmtId="0" fontId="40"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8" fillId="0" borderId="0" xfId="7" applyAlignment="1" applyProtection="1">
      <alignment horizontal="left"/>
      <protection locked="0"/>
    </xf>
    <xf numFmtId="0" fontId="0" fillId="0" borderId="16" xfId="0" applyBorder="1" applyProtection="1">
      <protection locked="0"/>
    </xf>
    <xf numFmtId="0" fontId="29" fillId="0" borderId="0" xfId="7" applyFont="1" applyProtection="1">
      <protection locked="0"/>
    </xf>
    <xf numFmtId="0" fontId="42" fillId="0" borderId="0" xfId="7" applyFont="1" applyAlignment="1" applyProtection="1">
      <alignment horizontal="left"/>
      <protection locked="0"/>
    </xf>
    <xf numFmtId="0" fontId="64" fillId="0" borderId="0" xfId="7" applyFont="1" applyAlignment="1" applyProtection="1">
      <alignment horizontal="right"/>
      <protection locked="0"/>
    </xf>
    <xf numFmtId="2" fontId="59" fillId="0" borderId="0" xfId="1" applyNumberFormat="1" applyFont="1" applyAlignment="1" applyProtection="1">
      <alignment horizontal="right"/>
      <protection locked="0"/>
    </xf>
    <xf numFmtId="0" fontId="43" fillId="0" borderId="0" xfId="8" applyFont="1" applyProtection="1">
      <protection locked="0"/>
    </xf>
    <xf numFmtId="0" fontId="20" fillId="0" borderId="1" xfId="7" applyFont="1" applyBorder="1" applyProtection="1">
      <protection locked="0"/>
    </xf>
    <xf numFmtId="0" fontId="8" fillId="0" borderId="1" xfId="7" applyBorder="1" applyAlignment="1" applyProtection="1">
      <alignment horizontal="left"/>
      <protection locked="0"/>
    </xf>
    <xf numFmtId="0" fontId="8" fillId="0" borderId="1" xfId="7" applyBorder="1" applyProtection="1">
      <protection locked="0"/>
    </xf>
    <xf numFmtId="0" fontId="9" fillId="0" borderId="0" xfId="7" applyFont="1" applyProtection="1">
      <protection locked="0"/>
    </xf>
    <xf numFmtId="0" fontId="8" fillId="0" borderId="13" xfId="7" applyBorder="1" applyProtection="1">
      <protection locked="0"/>
    </xf>
    <xf numFmtId="0" fontId="20" fillId="0" borderId="0" xfId="7" applyFont="1" applyProtection="1">
      <protection locked="0"/>
    </xf>
    <xf numFmtId="0" fontId="2" fillId="0" borderId="0" xfId="7" applyFont="1" applyProtection="1">
      <protection locked="0"/>
    </xf>
    <xf numFmtId="0" fontId="0" fillId="0" borderId="17" xfId="0" applyBorder="1" applyAlignment="1" applyProtection="1">
      <alignment horizontal="left"/>
      <protection locked="0"/>
    </xf>
    <xf numFmtId="0" fontId="3" fillId="0" borderId="18" xfId="0" applyFont="1" applyBorder="1" applyProtection="1">
      <protection locked="0"/>
    </xf>
    <xf numFmtId="0" fontId="24" fillId="0" borderId="0" xfId="8" applyFont="1" applyAlignment="1" applyProtection="1">
      <alignment horizontal="right"/>
      <protection locked="0"/>
    </xf>
    <xf numFmtId="0" fontId="24" fillId="0" borderId="0" xfId="0" applyFont="1" applyAlignment="1" applyProtection="1">
      <alignment horizontal="right"/>
      <protection locked="0"/>
    </xf>
    <xf numFmtId="0" fontId="4" fillId="0" borderId="0" xfId="0" applyFont="1" applyAlignment="1" applyProtection="1">
      <alignment horizontal="right"/>
      <protection locked="0"/>
    </xf>
    <xf numFmtId="0" fontId="13" fillId="12" borderId="0" xfId="0" applyFont="1" applyFill="1" applyProtection="1">
      <protection locked="0"/>
    </xf>
    <xf numFmtId="0" fontId="0" fillId="12" borderId="0" xfId="0" applyFill="1" applyProtection="1">
      <protection locked="0"/>
    </xf>
    <xf numFmtId="0" fontId="3"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1" fillId="0" borderId="0" xfId="0" applyFont="1" applyAlignment="1" applyProtection="1">
      <alignment horizontal="centerContinuous"/>
      <protection locked="0"/>
    </xf>
    <xf numFmtId="0" fontId="0" fillId="0" borderId="3" xfId="0" applyBorder="1" applyProtection="1">
      <protection locked="0"/>
    </xf>
    <xf numFmtId="0" fontId="29" fillId="0" borderId="0" xfId="0" applyFont="1" applyAlignment="1" applyProtection="1">
      <alignment horizontal="centerContinuous"/>
      <protection locked="0"/>
    </xf>
    <xf numFmtId="0" fontId="65" fillId="0" borderId="0" xfId="0" applyFont="1" applyProtection="1">
      <protection locked="0"/>
    </xf>
    <xf numFmtId="0" fontId="66" fillId="0" borderId="0" xfId="0" applyFont="1" applyProtection="1">
      <protection locked="0"/>
    </xf>
    <xf numFmtId="0" fontId="45" fillId="0" borderId="17" xfId="8" applyFont="1" applyBorder="1" applyAlignment="1" applyProtection="1">
      <alignment horizontal="left"/>
      <protection locked="0"/>
    </xf>
    <xf numFmtId="0" fontId="45" fillId="0" borderId="0" xfId="8" applyFont="1" applyProtection="1">
      <protection locked="0"/>
    </xf>
    <xf numFmtId="0" fontId="84" fillId="0" borderId="0" xfId="0" applyFont="1" applyAlignment="1" applyProtection="1">
      <alignment horizontal="right"/>
      <protection locked="0"/>
    </xf>
    <xf numFmtId="0" fontId="68" fillId="0" borderId="22" xfId="8" applyFont="1" applyBorder="1" applyAlignment="1" applyProtection="1">
      <alignment horizontal="left"/>
      <protection locked="0"/>
    </xf>
    <xf numFmtId="0" fontId="67" fillId="0" borderId="22" xfId="8" applyFont="1" applyBorder="1" applyAlignment="1" applyProtection="1">
      <alignment horizontal="centerContinuous"/>
      <protection locked="0"/>
    </xf>
    <xf numFmtId="0" fontId="67" fillId="0" borderId="22" xfId="8" applyFont="1" applyBorder="1" applyProtection="1">
      <protection locked="0"/>
    </xf>
    <xf numFmtId="0" fontId="69" fillId="0" borderId="22" xfId="0" applyFont="1" applyBorder="1" applyProtection="1">
      <protection locked="0"/>
    </xf>
    <xf numFmtId="0" fontId="69" fillId="0" borderId="0" xfId="0" applyFont="1" applyProtection="1">
      <protection locked="0"/>
    </xf>
    <xf numFmtId="0" fontId="70" fillId="0" borderId="0" xfId="0" applyFont="1" applyAlignment="1" applyProtection="1">
      <alignment horizontal="right"/>
      <protection locked="0"/>
    </xf>
    <xf numFmtId="168" fontId="70" fillId="0" borderId="0" xfId="0" applyNumberFormat="1" applyFont="1" applyAlignment="1" applyProtection="1">
      <alignment horizontal="right"/>
      <protection locked="0"/>
    </xf>
    <xf numFmtId="0" fontId="68" fillId="0" borderId="0" xfId="8" applyFont="1" applyAlignment="1" applyProtection="1">
      <alignment horizontal="left"/>
      <protection locked="0"/>
    </xf>
    <xf numFmtId="0" fontId="67" fillId="0" borderId="0" xfId="8" applyFont="1" applyAlignment="1" applyProtection="1">
      <alignment horizontal="centerContinuous"/>
      <protection locked="0"/>
    </xf>
    <xf numFmtId="0" fontId="67" fillId="0" borderId="0" xfId="8" applyFont="1" applyProtection="1">
      <protection locked="0"/>
    </xf>
    <xf numFmtId="0" fontId="29" fillId="0" borderId="23" xfId="0" applyFont="1" applyBorder="1" applyAlignment="1" applyProtection="1">
      <alignment horizontal="center"/>
      <protection locked="0"/>
    </xf>
    <xf numFmtId="0" fontId="29" fillId="0" borderId="22" xfId="0" applyFont="1" applyBorder="1" applyAlignment="1" applyProtection="1">
      <alignment horizontal="center"/>
      <protection locked="0"/>
    </xf>
    <xf numFmtId="0" fontId="36"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4"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5" fillId="0" borderId="13" xfId="8" applyFont="1" applyBorder="1" applyAlignment="1" applyProtection="1">
      <alignment horizontal="centerContinuous"/>
      <protection locked="0"/>
    </xf>
    <xf numFmtId="0" fontId="45" fillId="0" borderId="13" xfId="8" applyFont="1" applyBorder="1" applyProtection="1">
      <protection locked="0"/>
    </xf>
    <xf numFmtId="0" fontId="45" fillId="0" borderId="0" xfId="8" applyFont="1" applyAlignment="1" applyProtection="1">
      <alignment horizontal="centerContinuous"/>
      <protection locked="0"/>
    </xf>
    <xf numFmtId="9" fontId="47" fillId="2" borderId="3" xfId="8" applyNumberFormat="1" applyFont="1" applyFill="1" applyBorder="1" applyAlignment="1" applyProtection="1">
      <alignment horizontal="centerContinuous"/>
      <protection locked="0"/>
    </xf>
    <xf numFmtId="9" fontId="47" fillId="0" borderId="0" xfId="8" applyNumberFormat="1" applyFont="1" applyAlignment="1" applyProtection="1">
      <alignment horizontal="centerContinuous"/>
      <protection locked="0"/>
    </xf>
    <xf numFmtId="0" fontId="47" fillId="2" borderId="3" xfId="8" applyFont="1" applyFill="1" applyBorder="1" applyAlignment="1" applyProtection="1">
      <alignment horizontal="centerContinuous"/>
      <protection locked="0"/>
    </xf>
    <xf numFmtId="15" fontId="47" fillId="2" borderId="3" xfId="8" applyNumberFormat="1" applyFont="1" applyFill="1" applyBorder="1" applyAlignment="1" applyProtection="1">
      <alignment horizontal="centerContinuous"/>
      <protection locked="0"/>
    </xf>
    <xf numFmtId="0" fontId="48" fillId="0" borderId="0" xfId="8" applyFont="1" applyProtection="1">
      <protection locked="0"/>
    </xf>
    <xf numFmtId="0" fontId="49" fillId="0" borderId="0" xfId="8" applyFont="1" applyProtection="1">
      <protection locked="0"/>
    </xf>
    <xf numFmtId="15" fontId="45" fillId="0" borderId="0" xfId="8" applyNumberFormat="1" applyFont="1" applyAlignment="1" applyProtection="1">
      <alignment horizontal="centerContinuous"/>
      <protection locked="0"/>
    </xf>
    <xf numFmtId="0" fontId="50" fillId="0" borderId="0" xfId="8" applyFont="1" applyAlignment="1" applyProtection="1">
      <alignment horizontal="left"/>
      <protection locked="0"/>
    </xf>
    <xf numFmtId="0" fontId="48" fillId="0" borderId="13" xfId="8" applyFont="1" applyBorder="1" applyProtection="1">
      <protection locked="0"/>
    </xf>
    <xf numFmtId="0" fontId="49" fillId="0" borderId="13" xfId="8" applyFont="1" applyBorder="1" applyProtection="1">
      <protection locked="0"/>
    </xf>
    <xf numFmtId="0" fontId="43" fillId="0" borderId="13" xfId="8" applyFont="1" applyBorder="1" applyProtection="1">
      <protection locked="0"/>
    </xf>
    <xf numFmtId="0" fontId="43" fillId="0" borderId="21" xfId="8" applyFont="1" applyBorder="1" applyProtection="1">
      <protection locked="0"/>
    </xf>
    <xf numFmtId="0" fontId="0" fillId="0" borderId="0" xfId="0" applyAlignment="1" applyProtection="1">
      <alignment vertical="center"/>
      <protection locked="0"/>
    </xf>
    <xf numFmtId="0" fontId="52" fillId="0" borderId="23" xfId="8" applyFont="1" applyBorder="1" applyAlignment="1" applyProtection="1">
      <alignment horizontal="left"/>
      <protection locked="0"/>
    </xf>
    <xf numFmtId="0" fontId="52"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5" fillId="0" borderId="22" xfId="8" applyNumberFormat="1" applyFont="1" applyBorder="1" applyAlignment="1" applyProtection="1">
      <alignment horizontal="centerContinuous"/>
      <protection locked="0"/>
    </xf>
    <xf numFmtId="0" fontId="45" fillId="0" borderId="22" xfId="8" applyFont="1" applyBorder="1" applyAlignment="1" applyProtection="1">
      <alignment horizontal="centerContinuous"/>
      <protection locked="0"/>
    </xf>
    <xf numFmtId="0" fontId="43" fillId="0" borderId="22" xfId="8" applyFont="1" applyBorder="1" applyAlignment="1" applyProtection="1">
      <alignment horizontal="centerContinuous"/>
      <protection locked="0"/>
    </xf>
    <xf numFmtId="0" fontId="49" fillId="0" borderId="22" xfId="8" applyFont="1" applyBorder="1" applyAlignment="1" applyProtection="1">
      <alignment horizontal="centerContinuous"/>
      <protection locked="0"/>
    </xf>
    <xf numFmtId="0" fontId="49" fillId="0" borderId="24" xfId="8" applyFont="1" applyBorder="1" applyAlignment="1" applyProtection="1">
      <alignment horizontal="centerContinuous"/>
      <protection locked="0"/>
    </xf>
    <xf numFmtId="0" fontId="24" fillId="0" borderId="20" xfId="8" applyFont="1" applyBorder="1" applyAlignment="1" applyProtection="1">
      <alignment horizontal="left"/>
      <protection locked="0"/>
    </xf>
    <xf numFmtId="0" fontId="24"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5" fillId="0" borderId="13" xfId="8" applyNumberFormat="1" applyFont="1" applyBorder="1" applyAlignment="1" applyProtection="1">
      <alignment horizontal="centerContinuous"/>
      <protection locked="0"/>
    </xf>
    <xf numFmtId="0" fontId="43" fillId="0" borderId="13" xfId="8" applyFont="1" applyBorder="1" applyAlignment="1" applyProtection="1">
      <alignment horizontal="centerContinuous"/>
      <protection locked="0"/>
    </xf>
    <xf numFmtId="0" fontId="43" fillId="0" borderId="21" xfId="8" applyFont="1" applyBorder="1" applyAlignment="1" applyProtection="1">
      <alignment horizontal="centerContinuous"/>
      <protection locked="0"/>
    </xf>
    <xf numFmtId="0" fontId="24" fillId="0" borderId="17" xfId="8" applyFont="1" applyBorder="1" applyAlignment="1" applyProtection="1">
      <alignment horizontal="left"/>
      <protection locked="0"/>
    </xf>
    <xf numFmtId="0" fontId="24" fillId="0" borderId="0" xfId="8" applyFont="1" applyAlignment="1" applyProtection="1">
      <alignment horizontal="centerContinuous"/>
      <protection locked="0"/>
    </xf>
    <xf numFmtId="0" fontId="52" fillId="0" borderId="0" xfId="8" applyFont="1" applyAlignment="1" applyProtection="1">
      <alignment horizontal="centerContinuous"/>
      <protection locked="0"/>
    </xf>
    <xf numFmtId="0" fontId="43" fillId="0" borderId="0" xfId="8" applyFont="1" applyAlignment="1" applyProtection="1">
      <alignment horizontal="centerContinuous"/>
      <protection locked="0"/>
    </xf>
    <xf numFmtId="0" fontId="43" fillId="0" borderId="19" xfId="8" applyFont="1" applyBorder="1" applyAlignment="1" applyProtection="1">
      <alignment horizontal="centerContinuous"/>
      <protection locked="0"/>
    </xf>
    <xf numFmtId="0" fontId="53" fillId="0" borderId="0" xfId="8" applyFont="1" applyAlignment="1" applyProtection="1">
      <alignment horizontal="right"/>
      <protection locked="0"/>
    </xf>
    <xf numFmtId="0" fontId="53" fillId="0" borderId="17" xfId="8" applyFont="1" applyBorder="1" applyAlignment="1" applyProtection="1">
      <alignment horizontal="left"/>
      <protection locked="0"/>
    </xf>
    <xf numFmtId="0" fontId="53" fillId="0" borderId="0" xfId="8" applyFont="1" applyAlignment="1" applyProtection="1">
      <alignment horizontal="left"/>
      <protection locked="0"/>
    </xf>
    <xf numFmtId="0" fontId="52" fillId="0" borderId="0" xfId="8" applyFont="1" applyAlignment="1" applyProtection="1">
      <alignment horizontal="left"/>
      <protection locked="0"/>
    </xf>
    <xf numFmtId="0" fontId="48" fillId="0" borderId="0" xfId="8" applyFont="1" applyAlignment="1" applyProtection="1">
      <alignment horizontal="left"/>
      <protection locked="0"/>
    </xf>
    <xf numFmtId="0" fontId="3"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6" fillId="0" borderId="17" xfId="0" applyFont="1" applyBorder="1" applyAlignment="1" applyProtection="1">
      <alignment horizontal="left"/>
      <protection locked="0"/>
    </xf>
    <xf numFmtId="0" fontId="46" fillId="0" borderId="0" xfId="0" applyFont="1" applyProtection="1">
      <protection locked="0"/>
    </xf>
    <xf numFmtId="0" fontId="5" fillId="0" borderId="19" xfId="0" applyFont="1" applyBorder="1" applyAlignment="1" applyProtection="1">
      <alignment horizontal="center"/>
      <protection locked="0"/>
    </xf>
    <xf numFmtId="0" fontId="0" fillId="0" borderId="11" xfId="0" applyBorder="1" applyProtection="1">
      <protection locked="0"/>
    </xf>
    <xf numFmtId="2" fontId="55" fillId="0" borderId="25" xfId="0" applyNumberFormat="1" applyFont="1" applyBorder="1" applyAlignment="1" applyProtection="1">
      <alignment horizontal="center"/>
      <protection locked="0"/>
    </xf>
    <xf numFmtId="0" fontId="13" fillId="0" borderId="13" xfId="0" applyFont="1" applyBorder="1" applyProtection="1">
      <protection locked="0"/>
    </xf>
    <xf numFmtId="0" fontId="2" fillId="0" borderId="13" xfId="0" applyFont="1" applyBorder="1" applyAlignment="1" applyProtection="1">
      <alignment horizontal="center"/>
      <protection locked="0"/>
    </xf>
    <xf numFmtId="0" fontId="5" fillId="0" borderId="13" xfId="3" applyBorder="1" applyProtection="1">
      <protection locked="0"/>
    </xf>
    <xf numFmtId="2" fontId="55" fillId="0" borderId="11" xfId="0" applyNumberFormat="1" applyFont="1" applyBorder="1" applyAlignment="1" applyProtection="1">
      <alignment horizontal="center"/>
      <protection locked="0"/>
    </xf>
    <xf numFmtId="0" fontId="0" fillId="0" borderId="26" xfId="0" applyBorder="1" applyProtection="1">
      <protection locked="0"/>
    </xf>
    <xf numFmtId="0" fontId="3" fillId="0" borderId="1" xfId="0" applyFont="1" applyBorder="1" applyProtection="1">
      <protection locked="0"/>
    </xf>
    <xf numFmtId="0" fontId="3" fillId="0" borderId="15" xfId="0" applyFont="1" applyBorder="1" applyProtection="1">
      <protection locked="0"/>
    </xf>
    <xf numFmtId="0" fontId="5" fillId="0" borderId="1" xfId="3" applyBorder="1" applyProtection="1">
      <protection locked="0"/>
    </xf>
    <xf numFmtId="0" fontId="5" fillId="0" borderId="27" xfId="3" applyBorder="1" applyProtection="1">
      <protection locked="0"/>
    </xf>
    <xf numFmtId="15" fontId="28" fillId="0" borderId="0" xfId="0" applyNumberFormat="1" applyFont="1" applyAlignment="1" applyProtection="1">
      <alignment horizontal="left"/>
      <protection locked="0"/>
    </xf>
    <xf numFmtId="0" fontId="8" fillId="2" borderId="14" xfId="7" applyFill="1" applyBorder="1" applyAlignment="1">
      <alignment horizontal="center"/>
    </xf>
    <xf numFmtId="0" fontId="13" fillId="2" borderId="14" xfId="7" applyFont="1" applyFill="1" applyBorder="1"/>
    <xf numFmtId="0" fontId="8" fillId="0" borderId="0" xfId="7" applyAlignment="1">
      <alignment horizontal="left"/>
    </xf>
    <xf numFmtId="0" fontId="8" fillId="0" borderId="0" xfId="7"/>
    <xf numFmtId="0" fontId="13" fillId="15" borderId="0" xfId="0" applyFont="1" applyFill="1" applyAlignment="1">
      <alignment horizontal="left"/>
    </xf>
    <xf numFmtId="0" fontId="13" fillId="15" borderId="0" xfId="0" applyFont="1" applyFill="1"/>
    <xf numFmtId="0" fontId="5" fillId="15" borderId="0" xfId="0" applyFont="1" applyFill="1"/>
    <xf numFmtId="166" fontId="13" fillId="0" borderId="0" xfId="0" applyNumberFormat="1" applyFont="1"/>
    <xf numFmtId="0" fontId="13" fillId="15" borderId="0" xfId="8" applyFont="1" applyFill="1" applyAlignment="1">
      <alignment horizontal="left"/>
    </xf>
    <xf numFmtId="0" fontId="9" fillId="15" borderId="0" xfId="0" applyFont="1" applyFill="1"/>
    <xf numFmtId="0" fontId="45" fillId="15" borderId="0" xfId="8" applyFont="1" applyFill="1"/>
    <xf numFmtId="1" fontId="54" fillId="2" borderId="3" xfId="6" applyFont="1" applyFill="1" applyBorder="1" applyAlignment="1">
      <alignment horizontal="center"/>
    </xf>
    <xf numFmtId="165" fontId="13" fillId="2" borderId="3" xfId="6" applyNumberFormat="1" applyFont="1" applyFill="1" applyBorder="1" applyAlignment="1">
      <alignment horizontal="center"/>
    </xf>
    <xf numFmtId="0" fontId="0" fillId="0" borderId="13" xfId="0" applyBorder="1"/>
    <xf numFmtId="0" fontId="33" fillId="0" borderId="0" xfId="3" applyFont="1" applyAlignment="1" applyProtection="1">
      <alignment horizontal="left"/>
      <protection locked="0"/>
    </xf>
    <xf numFmtId="0" fontId="11" fillId="15" borderId="18" xfId="0" applyFont="1" applyFill="1" applyBorder="1" applyAlignment="1">
      <alignment horizontal="center"/>
    </xf>
    <xf numFmtId="0" fontId="85"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20" fillId="0" borderId="0" xfId="1" applyFont="1" applyFill="1" applyBorder="1" applyProtection="1">
      <protection locked="0"/>
    </xf>
    <xf numFmtId="43" fontId="0" fillId="0" borderId="0" xfId="1" applyFont="1" applyProtection="1">
      <protection locked="0"/>
    </xf>
    <xf numFmtId="43" fontId="5" fillId="0" borderId="0" xfId="1" applyProtection="1">
      <protection locked="0"/>
    </xf>
    <xf numFmtId="43" fontId="13" fillId="17" borderId="9" xfId="1" applyFont="1" applyFill="1" applyBorder="1" applyProtection="1">
      <protection locked="0"/>
    </xf>
    <xf numFmtId="43" fontId="13" fillId="4" borderId="19" xfId="1" applyFont="1" applyFill="1" applyBorder="1" applyAlignment="1" applyProtection="1">
      <alignment horizontal="center"/>
      <protection locked="0"/>
    </xf>
    <xf numFmtId="39" fontId="20" fillId="0" borderId="3" xfId="1" applyNumberFormat="1" applyFont="1" applyFill="1" applyBorder="1" applyAlignment="1" applyProtection="1">
      <alignment horizontal="right"/>
      <protection locked="0"/>
    </xf>
    <xf numFmtId="2" fontId="55" fillId="0" borderId="19" xfId="0" applyNumberFormat="1" applyFont="1" applyBorder="1" applyAlignment="1" applyProtection="1">
      <alignment horizontal="center"/>
      <protection locked="0"/>
    </xf>
    <xf numFmtId="0" fontId="13" fillId="0" borderId="0" xfId="7" applyFont="1" applyAlignment="1" applyProtection="1">
      <alignment horizontal="right"/>
      <protection locked="0"/>
    </xf>
    <xf numFmtId="0" fontId="39" fillId="15" borderId="6" xfId="2" applyNumberFormat="1" applyFont="1" applyFill="1" applyBorder="1" applyAlignment="1" applyProtection="1">
      <alignment horizontal="center" vertical="center"/>
    </xf>
    <xf numFmtId="172" fontId="8" fillId="0" borderId="0" xfId="7" applyNumberFormat="1" applyProtection="1">
      <protection locked="0"/>
    </xf>
    <xf numFmtId="0" fontId="16" fillId="0" borderId="10" xfId="7" applyFont="1" applyBorder="1" applyAlignment="1" applyProtection="1">
      <alignment horizontal="center"/>
      <protection locked="0"/>
    </xf>
    <xf numFmtId="0" fontId="13" fillId="0" borderId="11" xfId="7" applyFont="1" applyBorder="1" applyAlignment="1" applyProtection="1">
      <alignment horizontal="center"/>
      <protection locked="0"/>
    </xf>
    <xf numFmtId="0" fontId="9" fillId="0" borderId="0" xfId="0" applyFont="1" applyAlignment="1" applyProtection="1">
      <alignment horizontal="center"/>
      <protection locked="0"/>
    </xf>
    <xf numFmtId="0" fontId="13"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0" fillId="0" borderId="17" xfId="0" applyNumberFormat="1" applyFont="1" applyBorder="1" applyAlignment="1" applyProtection="1">
      <alignment horizontal="center"/>
      <protection locked="0"/>
    </xf>
    <xf numFmtId="0" fontId="91" fillId="15" borderId="14" xfId="0" applyFont="1" applyFill="1" applyBorder="1"/>
    <xf numFmtId="0" fontId="91" fillId="15" borderId="16" xfId="0" applyFont="1" applyFill="1" applyBorder="1"/>
    <xf numFmtId="0" fontId="92" fillId="15" borderId="14" xfId="0" applyFont="1" applyFill="1" applyBorder="1"/>
    <xf numFmtId="0" fontId="0" fillId="0" borderId="0" xfId="0" applyAlignment="1">
      <alignment horizontal="center"/>
    </xf>
    <xf numFmtId="0" fontId="95" fillId="0" borderId="10" xfId="0" applyFont="1" applyBorder="1" applyAlignment="1">
      <alignment horizontal="center"/>
    </xf>
    <xf numFmtId="0" fontId="95" fillId="0" borderId="11" xfId="0" applyFont="1" applyBorder="1" applyAlignment="1">
      <alignment horizontal="center"/>
    </xf>
    <xf numFmtId="10" fontId="93" fillId="12" borderId="17" xfId="0" applyNumberFormat="1" applyFont="1" applyFill="1" applyBorder="1" applyAlignment="1" applyProtection="1">
      <alignment horizontal="center"/>
      <protection locked="0"/>
    </xf>
    <xf numFmtId="2" fontId="88" fillId="12" borderId="10" xfId="0" applyNumberFormat="1" applyFont="1" applyFill="1" applyBorder="1" applyAlignment="1" applyProtection="1">
      <alignment horizontal="center"/>
      <protection locked="0"/>
    </xf>
    <xf numFmtId="0" fontId="92" fillId="15" borderId="22" xfId="0" applyFont="1" applyFill="1" applyBorder="1"/>
    <xf numFmtId="0" fontId="91" fillId="15" borderId="22" xfId="0" applyFont="1" applyFill="1" applyBorder="1"/>
    <xf numFmtId="0" fontId="91" fillId="15" borderId="24" xfId="0" applyFont="1" applyFill="1" applyBorder="1"/>
    <xf numFmtId="0" fontId="92" fillId="14" borderId="14" xfId="0" applyFont="1" applyFill="1" applyBorder="1"/>
    <xf numFmtId="0" fontId="89" fillId="14" borderId="14" xfId="0" applyFont="1" applyFill="1" applyBorder="1"/>
    <xf numFmtId="0" fontId="94" fillId="15" borderId="10" xfId="7" applyFont="1" applyFill="1" applyBorder="1" applyAlignment="1" applyProtection="1">
      <alignment horizontal="center"/>
      <protection locked="0"/>
    </xf>
    <xf numFmtId="0" fontId="96" fillId="15" borderId="25" xfId="7" applyFont="1" applyFill="1" applyBorder="1" applyAlignment="1" applyProtection="1">
      <alignment horizontal="center"/>
      <protection locked="0"/>
    </xf>
    <xf numFmtId="0" fontId="41" fillId="0" borderId="0" xfId="7" applyFont="1" applyAlignment="1" applyProtection="1">
      <alignment vertical="top"/>
      <protection locked="0"/>
    </xf>
    <xf numFmtId="10" fontId="93" fillId="12" borderId="25" xfId="0" applyNumberFormat="1" applyFont="1" applyFill="1" applyBorder="1" applyAlignment="1" applyProtection="1">
      <alignment horizontal="center"/>
      <protection locked="0"/>
    </xf>
    <xf numFmtId="171" fontId="0" fillId="0" borderId="0" xfId="0" applyNumberFormat="1"/>
    <xf numFmtId="1" fontId="17" fillId="0" borderId="0" xfId="6" applyFont="1" applyProtection="1">
      <protection locked="0"/>
    </xf>
    <xf numFmtId="0" fontId="23" fillId="12" borderId="0" xfId="3" applyFont="1" applyFill="1" applyProtection="1">
      <protection locked="0"/>
    </xf>
    <xf numFmtId="0" fontId="26" fillId="12" borderId="0" xfId="3" applyFont="1" applyFill="1" applyProtection="1">
      <protection locked="0"/>
    </xf>
    <xf numFmtId="0" fontId="77" fillId="0" borderId="0" xfId="0" applyFont="1" applyProtection="1">
      <protection locked="0"/>
    </xf>
    <xf numFmtId="0" fontId="5" fillId="0" borderId="0" xfId="7" applyFont="1" applyAlignment="1">
      <alignment horizontal="centerContinuous" vertical="center"/>
    </xf>
    <xf numFmtId="0" fontId="80" fillId="0" borderId="0" xfId="2" applyNumberFormat="1" applyFont="1" applyFill="1" applyBorder="1" applyAlignment="1" applyProtection="1">
      <alignment horizontal="center"/>
    </xf>
    <xf numFmtId="2" fontId="14" fillId="15" borderId="0" xfId="4" applyNumberFormat="1" applyFont="1" applyFill="1" applyAlignment="1">
      <alignment horizontal="center"/>
    </xf>
    <xf numFmtId="1" fontId="14" fillId="15" borderId="0" xfId="4" applyFont="1" applyFill="1" applyAlignment="1">
      <alignment horizontal="center"/>
    </xf>
    <xf numFmtId="49" fontId="14" fillId="15" borderId="0" xfId="4" applyNumberFormat="1" applyFont="1" applyFill="1" applyAlignment="1">
      <alignment horizontal="center"/>
    </xf>
    <xf numFmtId="17" fontId="14" fillId="15" borderId="0" xfId="4" applyNumberFormat="1" applyFont="1" applyFill="1" applyAlignment="1">
      <alignment horizontal="center"/>
    </xf>
    <xf numFmtId="169" fontId="14" fillId="15" borderId="0" xfId="4" applyNumberFormat="1" applyFont="1" applyFill="1" applyAlignment="1">
      <alignment horizontal="center"/>
    </xf>
    <xf numFmtId="0" fontId="87" fillId="2" borderId="24" xfId="7" applyFont="1" applyFill="1" applyBorder="1" applyAlignment="1">
      <alignment horizontal="centerContinuous"/>
    </xf>
    <xf numFmtId="0" fontId="35" fillId="3" borderId="24" xfId="3" applyFont="1" applyFill="1" applyBorder="1" applyAlignment="1">
      <alignment horizontal="left"/>
    </xf>
    <xf numFmtId="0" fontId="35" fillId="4" borderId="19" xfId="3" applyFont="1" applyFill="1" applyBorder="1" applyAlignment="1">
      <alignment horizontal="left"/>
    </xf>
    <xf numFmtId="0" fontId="35" fillId="5" borderId="19" xfId="3" applyFont="1" applyFill="1" applyBorder="1" applyAlignment="1">
      <alignment horizontal="left"/>
    </xf>
    <xf numFmtId="0" fontId="35" fillId="6" borderId="19" xfId="3" applyFont="1" applyFill="1" applyBorder="1" applyAlignment="1">
      <alignment horizontal="left"/>
    </xf>
    <xf numFmtId="0" fontId="35" fillId="2" borderId="19" xfId="3" applyFont="1" applyFill="1" applyBorder="1" applyAlignment="1">
      <alignment horizontal="left"/>
    </xf>
    <xf numFmtId="0" fontId="35" fillId="7" borderId="19" xfId="3" applyFont="1" applyFill="1" applyBorder="1" applyAlignment="1">
      <alignment horizontal="left"/>
    </xf>
    <xf numFmtId="0" fontId="35" fillId="8" borderId="19" xfId="3" applyFont="1" applyFill="1" applyBorder="1" applyAlignment="1">
      <alignment horizontal="left"/>
    </xf>
    <xf numFmtId="0" fontId="35" fillId="9" borderId="19" xfId="3" applyFont="1" applyFill="1" applyBorder="1" applyAlignment="1">
      <alignment horizontal="left"/>
    </xf>
    <xf numFmtId="0" fontId="35" fillId="10" borderId="19" xfId="3" applyFont="1" applyFill="1" applyBorder="1" applyAlignment="1">
      <alignment horizontal="left"/>
    </xf>
    <xf numFmtId="0" fontId="35" fillId="11" borderId="19" xfId="3" applyFont="1" applyFill="1" applyBorder="1" applyAlignment="1">
      <alignment horizontal="left"/>
    </xf>
    <xf numFmtId="38" fontId="11" fillId="2" borderId="18" xfId="0" applyNumberFormat="1" applyFont="1" applyFill="1" applyBorder="1" applyAlignment="1">
      <alignment horizontal="center"/>
    </xf>
    <xf numFmtId="0" fontId="101" fillId="2" borderId="3" xfId="0" applyFont="1" applyFill="1" applyBorder="1" applyAlignment="1">
      <alignment horizontal="center"/>
    </xf>
    <xf numFmtId="1" fontId="27" fillId="0" borderId="13" xfId="6" applyFont="1" applyBorder="1" applyAlignment="1" applyProtection="1">
      <alignment horizontal="left"/>
      <protection locked="0"/>
    </xf>
    <xf numFmtId="0" fontId="0" fillId="2" borderId="0" xfId="0" applyFill="1"/>
    <xf numFmtId="43" fontId="13" fillId="0" borderId="0" xfId="1" applyFont="1" applyFill="1" applyBorder="1" applyAlignment="1" applyProtection="1">
      <alignment horizontal="right"/>
      <protection locked="0"/>
    </xf>
    <xf numFmtId="0" fontId="104" fillId="0" borderId="0" xfId="3" applyFont="1" applyAlignment="1">
      <alignment horizontal="center" vertical="center"/>
    </xf>
    <xf numFmtId="2" fontId="105" fillId="0" borderId="0" xfId="0" applyNumberFormat="1" applyFont="1" applyProtection="1">
      <protection locked="0"/>
    </xf>
    <xf numFmtId="2" fontId="11" fillId="2" borderId="3" xfId="0" applyNumberFormat="1" applyFont="1" applyFill="1" applyBorder="1" applyAlignment="1">
      <alignment horizontal="center"/>
    </xf>
    <xf numFmtId="40" fontId="11" fillId="2" borderId="18" xfId="0" applyNumberFormat="1" applyFont="1" applyFill="1" applyBorder="1" applyAlignment="1">
      <alignment horizontal="center"/>
    </xf>
    <xf numFmtId="40" fontId="10" fillId="2" borderId="2" xfId="3" applyNumberFormat="1" applyFont="1" applyFill="1" applyBorder="1" applyAlignment="1">
      <alignment horizontal="center"/>
    </xf>
    <xf numFmtId="0" fontId="24" fillId="0" borderId="30" xfId="0" applyFont="1" applyBorder="1" applyAlignment="1" applyProtection="1">
      <alignment horizontal="center"/>
      <protection locked="0"/>
    </xf>
    <xf numFmtId="0" fontId="24" fillId="0" borderId="26" xfId="0" applyFont="1" applyBorder="1" applyAlignment="1" applyProtection="1">
      <alignment horizontal="center"/>
      <protection locked="0"/>
    </xf>
    <xf numFmtId="0" fontId="65" fillId="0" borderId="0" xfId="0" applyFont="1" applyAlignment="1" applyProtection="1">
      <alignment horizontal="center"/>
      <protection locked="0"/>
    </xf>
    <xf numFmtId="0" fontId="65" fillId="0" borderId="21" xfId="0" applyFont="1" applyBorder="1" applyAlignment="1" applyProtection="1">
      <alignment horizontal="center"/>
      <protection locked="0"/>
    </xf>
    <xf numFmtId="0" fontId="107" fillId="0" borderId="19" xfId="0" applyFont="1" applyBorder="1" applyAlignment="1" applyProtection="1">
      <alignment horizontal="center"/>
      <protection locked="0"/>
    </xf>
    <xf numFmtId="0" fontId="0" fillId="14" borderId="16" xfId="0" applyFill="1" applyBorder="1"/>
    <xf numFmtId="2" fontId="9" fillId="15" borderId="31" xfId="0" applyNumberFormat="1" applyFont="1" applyFill="1" applyBorder="1"/>
    <xf numFmtId="2" fontId="9" fillId="15" borderId="19" xfId="0" applyNumberFormat="1" applyFont="1" applyFill="1" applyBorder="1"/>
    <xf numFmtId="2" fontId="9" fillId="15" borderId="0" xfId="0" applyNumberFormat="1" applyFont="1" applyFill="1"/>
    <xf numFmtId="2" fontId="5" fillId="17" borderId="15" xfId="0" applyNumberFormat="1" applyFont="1" applyFill="1" applyBorder="1" applyAlignment="1">
      <alignment horizontal="right"/>
    </xf>
    <xf numFmtId="2" fontId="5" fillId="17" borderId="9" xfId="0" applyNumberFormat="1" applyFont="1" applyFill="1" applyBorder="1" applyAlignment="1">
      <alignment horizontal="right"/>
    </xf>
    <xf numFmtId="0" fontId="0" fillId="15" borderId="32" xfId="0" applyFill="1" applyBorder="1" applyAlignment="1">
      <alignment horizontal="left"/>
    </xf>
    <xf numFmtId="0" fontId="2" fillId="15" borderId="0" xfId="0" applyFont="1" applyFill="1" applyAlignment="1">
      <alignment horizontal="center"/>
    </xf>
    <xf numFmtId="0" fontId="14" fillId="0" borderId="0" xfId="3" applyFont="1" applyAlignment="1">
      <alignment horizontal="left"/>
    </xf>
    <xf numFmtId="0" fontId="9" fillId="0" borderId="0" xfId="7" applyFont="1"/>
    <xf numFmtId="0" fontId="20" fillId="0" borderId="0" xfId="7" applyFont="1"/>
    <xf numFmtId="49" fontId="77" fillId="0" borderId="0" xfId="2" applyNumberFormat="1" applyFont="1" applyFill="1" applyBorder="1" applyAlignment="1" applyProtection="1">
      <alignment horizontal="right"/>
      <protection locked="0"/>
    </xf>
    <xf numFmtId="49" fontId="109" fillId="0" borderId="0" xfId="2" applyNumberFormat="1" applyFont="1" applyFill="1" applyBorder="1" applyAlignment="1" applyProtection="1">
      <alignment horizontal="right" vertical="center"/>
    </xf>
    <xf numFmtId="0" fontId="110" fillId="0" borderId="0" xfId="0" applyFont="1" applyAlignment="1">
      <alignment horizontal="right"/>
    </xf>
    <xf numFmtId="0" fontId="92" fillId="2" borderId="3" xfId="7" applyFont="1" applyFill="1" applyBorder="1" applyAlignment="1">
      <alignment horizontal="center"/>
    </xf>
    <xf numFmtId="43" fontId="0" fillId="0" borderId="0" xfId="1" applyFont="1" applyAlignment="1" applyProtection="1">
      <alignment horizontal="right"/>
    </xf>
    <xf numFmtId="0" fontId="106" fillId="15" borderId="11" xfId="3" applyFont="1" applyFill="1" applyBorder="1" applyAlignment="1" applyProtection="1">
      <alignment horizontal="left" vertical="center"/>
      <protection locked="0"/>
    </xf>
    <xf numFmtId="0" fontId="114" fillId="15" borderId="6" xfId="3" applyFont="1" applyFill="1" applyBorder="1" applyAlignment="1">
      <alignment horizontal="center" vertical="center"/>
    </xf>
    <xf numFmtId="0" fontId="115" fillId="15" borderId="3" xfId="2" applyNumberFormat="1" applyFont="1" applyFill="1" applyBorder="1" applyAlignment="1" applyProtection="1">
      <alignment horizontal="center" vertical="center"/>
    </xf>
    <xf numFmtId="0" fontId="29" fillId="0" borderId="0" xfId="7" applyFont="1" applyAlignment="1" applyProtection="1">
      <alignment horizontal="left"/>
      <protection locked="0"/>
    </xf>
    <xf numFmtId="0" fontId="98" fillId="0" borderId="0" xfId="7" applyFont="1" applyAlignment="1">
      <alignment vertical="center"/>
    </xf>
    <xf numFmtId="0" fontId="111" fillId="2" borderId="18" xfId="7" applyFont="1" applyFill="1" applyBorder="1" applyAlignment="1">
      <alignment horizontal="right"/>
    </xf>
    <xf numFmtId="0" fontId="97" fillId="12" borderId="10" xfId="0" applyFont="1" applyFill="1" applyBorder="1" applyAlignment="1" applyProtection="1">
      <alignment horizontal="center"/>
      <protection locked="0"/>
    </xf>
    <xf numFmtId="0" fontId="82" fillId="2" borderId="16" xfId="3" applyFont="1" applyFill="1" applyBorder="1" applyAlignment="1">
      <alignment horizontal="left"/>
    </xf>
    <xf numFmtId="0" fontId="97" fillId="12" borderId="25" xfId="0" applyFont="1" applyFill="1" applyBorder="1" applyAlignment="1" applyProtection="1">
      <alignment horizontal="center"/>
      <protection locked="0"/>
    </xf>
    <xf numFmtId="0" fontId="97" fillId="12" borderId="11" xfId="0" applyFont="1" applyFill="1" applyBorder="1" applyAlignment="1" applyProtection="1">
      <alignment horizontal="center"/>
      <protection locked="0"/>
    </xf>
    <xf numFmtId="0" fontId="72" fillId="0" borderId="0" xfId="3" applyFont="1" applyAlignment="1">
      <alignment horizontal="right"/>
    </xf>
    <xf numFmtId="0" fontId="90" fillId="14" borderId="14" xfId="0" applyFont="1" applyFill="1" applyBorder="1"/>
    <xf numFmtId="0" fontId="90" fillId="14" borderId="16" xfId="0" applyFont="1" applyFill="1" applyBorder="1"/>
    <xf numFmtId="2" fontId="91" fillId="2" borderId="10" xfId="3" applyNumberFormat="1" applyFont="1" applyFill="1" applyBorder="1" applyAlignment="1">
      <alignment horizontal="center"/>
    </xf>
    <xf numFmtId="2" fontId="91" fillId="2" borderId="25" xfId="3" applyNumberFormat="1" applyFont="1" applyFill="1" applyBorder="1" applyAlignment="1">
      <alignment horizontal="center"/>
    </xf>
    <xf numFmtId="2" fontId="91" fillId="2" borderId="11" xfId="3" applyNumberFormat="1" applyFont="1" applyFill="1" applyBorder="1" applyAlignment="1">
      <alignment horizontal="center"/>
    </xf>
    <xf numFmtId="2" fontId="14" fillId="12" borderId="0" xfId="3" applyNumberFormat="1" applyFont="1" applyFill="1" applyAlignment="1">
      <alignment horizontal="center"/>
    </xf>
    <xf numFmtId="0" fontId="71" fillId="12" borderId="3" xfId="3" applyFont="1" applyFill="1" applyBorder="1" applyAlignment="1" applyProtection="1">
      <alignment horizontal="center"/>
      <protection locked="0"/>
    </xf>
    <xf numFmtId="43" fontId="13" fillId="16" borderId="19" xfId="1" applyFont="1" applyFill="1" applyBorder="1" applyAlignment="1" applyProtection="1">
      <alignment horizontal="center"/>
      <protection locked="0"/>
    </xf>
    <xf numFmtId="0" fontId="118" fillId="0" borderId="19" xfId="0" applyFont="1" applyBorder="1" applyAlignment="1" applyProtection="1">
      <alignment horizontal="center"/>
      <protection locked="0"/>
    </xf>
    <xf numFmtId="0" fontId="118" fillId="0" borderId="25" xfId="0" applyFont="1" applyBorder="1" applyAlignment="1" applyProtection="1">
      <alignment horizontal="center"/>
      <protection locked="0"/>
    </xf>
    <xf numFmtId="0" fontId="118" fillId="0" borderId="0" xfId="0" applyFont="1" applyAlignment="1" applyProtection="1">
      <alignment horizontal="center"/>
      <protection locked="0"/>
    </xf>
    <xf numFmtId="0" fontId="14" fillId="0" borderId="0" xfId="0" applyFont="1" applyProtection="1">
      <protection locked="0"/>
    </xf>
    <xf numFmtId="0" fontId="119" fillId="0" borderId="0" xfId="0" applyFont="1" applyAlignment="1" applyProtection="1">
      <alignment horizontal="center"/>
      <protection locked="0"/>
    </xf>
    <xf numFmtId="0" fontId="120" fillId="0" borderId="0" xfId="0" applyFont="1" applyAlignment="1" applyProtection="1">
      <alignment horizontal="center"/>
      <protection locked="0"/>
    </xf>
    <xf numFmtId="0" fontId="92" fillId="15" borderId="5" xfId="7" applyFont="1" applyFill="1" applyBorder="1" applyAlignment="1">
      <alignment horizontal="centerContinuous" vertical="center"/>
    </xf>
    <xf numFmtId="0" fontId="10" fillId="15" borderId="3" xfId="3" applyFont="1" applyFill="1" applyBorder="1" applyAlignment="1">
      <alignment horizontal="center"/>
    </xf>
    <xf numFmtId="0" fontId="36" fillId="15" borderId="4" xfId="0" applyFont="1" applyFill="1" applyBorder="1"/>
    <xf numFmtId="0" fontId="44" fillId="15" borderId="29" xfId="7" applyFont="1" applyFill="1" applyBorder="1" applyAlignment="1">
      <alignment horizontal="left" vertical="center"/>
    </xf>
    <xf numFmtId="0" fontId="0" fillId="15" borderId="29" xfId="0" applyFill="1" applyBorder="1"/>
    <xf numFmtId="0" fontId="99" fillId="15" borderId="29" xfId="7" applyFont="1" applyFill="1" applyBorder="1" applyAlignment="1">
      <alignment horizontal="center"/>
    </xf>
    <xf numFmtId="0" fontId="5" fillId="15" borderId="29" xfId="7" applyFont="1" applyFill="1" applyBorder="1" applyAlignment="1">
      <alignment horizontal="centerContinuous" vertical="center"/>
    </xf>
    <xf numFmtId="0" fontId="5" fillId="15" borderId="33" xfId="7" applyFont="1" applyFill="1" applyBorder="1" applyAlignment="1">
      <alignment horizontal="centerContinuous" vertical="center"/>
    </xf>
    <xf numFmtId="10" fontId="93" fillId="12" borderId="11" xfId="0" applyNumberFormat="1" applyFont="1" applyFill="1" applyBorder="1" applyAlignment="1" applyProtection="1">
      <alignment horizontal="center"/>
      <protection locked="0"/>
    </xf>
    <xf numFmtId="0" fontId="123" fillId="0" borderId="0" xfId="3" applyFont="1" applyAlignment="1" applyProtection="1">
      <alignment horizontal="left"/>
      <protection locked="0"/>
    </xf>
    <xf numFmtId="39" fontId="13" fillId="15" borderId="3" xfId="1" applyNumberFormat="1" applyFont="1" applyFill="1" applyBorder="1" applyAlignment="1" applyProtection="1">
      <alignment horizontal="right"/>
    </xf>
    <xf numFmtId="43" fontId="16" fillId="15" borderId="17" xfId="1" applyFont="1" applyFill="1" applyBorder="1" applyAlignment="1" applyProtection="1">
      <alignment horizontal="center"/>
    </xf>
    <xf numFmtId="43" fontId="16" fillId="15" borderId="0" xfId="1" applyFont="1" applyFill="1" applyBorder="1" applyAlignment="1" applyProtection="1">
      <alignment horizontal="center"/>
    </xf>
    <xf numFmtId="43" fontId="13" fillId="15" borderId="0" xfId="1" applyFont="1" applyFill="1" applyBorder="1" applyAlignment="1" applyProtection="1">
      <alignment horizontal="center"/>
    </xf>
    <xf numFmtId="43" fontId="13" fillId="0" borderId="0" xfId="1" applyFont="1" applyBorder="1" applyProtection="1"/>
    <xf numFmtId="173" fontId="16" fillId="15" borderId="0" xfId="1" applyNumberFormat="1" applyFont="1" applyFill="1" applyBorder="1" applyAlignment="1" applyProtection="1">
      <alignment horizontal="center"/>
    </xf>
    <xf numFmtId="0" fontId="124" fillId="0" borderId="0" xfId="0" applyFont="1" applyAlignment="1" applyProtection="1">
      <alignment horizontal="right"/>
      <protection locked="0"/>
    </xf>
    <xf numFmtId="10" fontId="13" fillId="15" borderId="3" xfId="0" applyNumberFormat="1" applyFont="1" applyFill="1" applyBorder="1" applyAlignment="1">
      <alignment horizontal="right" vertical="center"/>
    </xf>
    <xf numFmtId="39" fontId="16" fillId="15" borderId="3" xfId="1" applyNumberFormat="1" applyFont="1" applyFill="1" applyBorder="1" applyAlignment="1" applyProtection="1">
      <alignment horizontal="right"/>
    </xf>
    <xf numFmtId="0" fontId="125" fillId="0" borderId="0" xfId="0" applyFont="1" applyAlignment="1" applyProtection="1">
      <alignment horizontal="right" vertical="top"/>
      <protection locked="0"/>
    </xf>
    <xf numFmtId="10" fontId="126" fillId="15" borderId="18" xfId="7" applyNumberFormat="1" applyFont="1" applyFill="1" applyBorder="1" applyAlignment="1">
      <alignment horizontal="center"/>
    </xf>
    <xf numFmtId="10" fontId="126" fillId="15" borderId="23" xfId="7" applyNumberFormat="1" applyFont="1" applyFill="1" applyBorder="1" applyAlignment="1">
      <alignment horizontal="center"/>
    </xf>
    <xf numFmtId="10" fontId="127" fillId="14" borderId="18" xfId="7" applyNumberFormat="1" applyFont="1" applyFill="1" applyBorder="1" applyAlignment="1">
      <alignment horizontal="center"/>
    </xf>
    <xf numFmtId="2" fontId="127" fillId="14" borderId="18" xfId="7" applyNumberFormat="1" applyFont="1" applyFill="1" applyBorder="1" applyAlignment="1">
      <alignment horizontal="center"/>
    </xf>
    <xf numFmtId="0" fontId="77" fillId="0" borderId="1" xfId="0" applyFont="1" applyBorder="1" applyProtection="1">
      <protection locked="0"/>
    </xf>
    <xf numFmtId="0" fontId="30" fillId="0" borderId="0" xfId="3" applyFont="1" applyAlignment="1" applyProtection="1">
      <alignment horizontal="right"/>
      <protection locked="0"/>
    </xf>
    <xf numFmtId="0" fontId="5" fillId="0" borderId="0" xfId="3" applyAlignment="1" applyProtection="1">
      <alignment horizontal="left"/>
      <protection locked="0"/>
    </xf>
    <xf numFmtId="0" fontId="81" fillId="15" borderId="0" xfId="3" applyFont="1" applyFill="1" applyAlignment="1" applyProtection="1">
      <alignment horizontal="left"/>
      <protection locked="0"/>
    </xf>
    <xf numFmtId="0" fontId="29" fillId="0" borderId="0" xfId="3" applyFont="1" applyProtection="1">
      <protection locked="0"/>
    </xf>
    <xf numFmtId="0" fontId="86" fillId="0" borderId="0" xfId="3" applyFont="1" applyAlignment="1" applyProtection="1">
      <alignment horizontal="right"/>
      <protection locked="0"/>
    </xf>
    <xf numFmtId="0" fontId="29" fillId="0" borderId="0" xfId="3" applyFont="1" applyAlignment="1" applyProtection="1">
      <alignment horizontal="left"/>
      <protection locked="0"/>
    </xf>
    <xf numFmtId="0" fontId="29" fillId="0" borderId="0" xfId="7" applyFont="1" applyAlignment="1" applyProtection="1">
      <alignment horizontal="left" vertical="center"/>
      <protection locked="0"/>
    </xf>
    <xf numFmtId="14" fontId="128" fillId="0" borderId="0" xfId="7" applyNumberFormat="1" applyFont="1" applyAlignment="1" applyProtection="1">
      <alignment horizontal="right"/>
      <protection locked="0"/>
    </xf>
    <xf numFmtId="14" fontId="59" fillId="0" borderId="0" xfId="7" applyNumberFormat="1" applyFont="1" applyAlignment="1" applyProtection="1">
      <alignment horizontal="center"/>
      <protection locked="0"/>
    </xf>
    <xf numFmtId="174" fontId="64" fillId="0" borderId="0" xfId="7" applyNumberFormat="1" applyFont="1" applyAlignment="1" applyProtection="1">
      <alignment horizontal="right"/>
      <protection locked="0"/>
    </xf>
    <xf numFmtId="175" fontId="64" fillId="0" borderId="0" xfId="7" applyNumberFormat="1" applyFont="1" applyAlignment="1" applyProtection="1">
      <alignment horizontal="left"/>
      <protection locked="0"/>
    </xf>
    <xf numFmtId="170" fontId="14" fillId="0" borderId="0" xfId="3" applyNumberFormat="1" applyFont="1" applyProtection="1">
      <protection locked="0"/>
    </xf>
    <xf numFmtId="170" fontId="81" fillId="15" borderId="19" xfId="0" applyNumberFormat="1" applyFont="1" applyFill="1" applyBorder="1" applyAlignment="1" applyProtection="1">
      <alignment horizontal="center"/>
      <protection locked="0"/>
    </xf>
    <xf numFmtId="167" fontId="13" fillId="0" borderId="11" xfId="7" applyNumberFormat="1" applyFont="1" applyBorder="1" applyAlignment="1" applyProtection="1">
      <alignment horizontal="center"/>
      <protection locked="0"/>
    </xf>
    <xf numFmtId="39" fontId="130" fillId="0" borderId="16" xfId="1" applyNumberFormat="1" applyFont="1" applyFill="1" applyBorder="1" applyAlignment="1" applyProtection="1">
      <alignment horizontal="right"/>
    </xf>
    <xf numFmtId="39" fontId="130" fillId="0" borderId="18" xfId="1" applyNumberFormat="1" applyFont="1" applyFill="1" applyBorder="1" applyAlignment="1" applyProtection="1">
      <alignment horizontal="right"/>
    </xf>
    <xf numFmtId="0" fontId="131" fillId="0" borderId="14" xfId="7" applyFont="1" applyBorder="1" applyAlignment="1">
      <alignment horizontal="center"/>
    </xf>
    <xf numFmtId="40" fontId="23" fillId="2" borderId="14" xfId="7" applyNumberFormat="1" applyFont="1" applyFill="1" applyBorder="1" applyAlignment="1">
      <alignment horizontal="right"/>
    </xf>
    <xf numFmtId="40" fontId="23" fillId="2" borderId="16" xfId="7" applyNumberFormat="1" applyFont="1" applyFill="1" applyBorder="1" applyAlignment="1">
      <alignment horizontal="right"/>
    </xf>
    <xf numFmtId="14" fontId="59" fillId="0" borderId="0" xfId="7" applyNumberFormat="1" applyFont="1" applyAlignment="1" applyProtection="1">
      <alignment horizontal="right"/>
      <protection locked="0"/>
    </xf>
    <xf numFmtId="0" fontId="128" fillId="0" borderId="0" xfId="0" applyFont="1"/>
    <xf numFmtId="39" fontId="59" fillId="0" borderId="0" xfId="1" applyNumberFormat="1" applyFont="1" applyFill="1" applyBorder="1" applyAlignment="1" applyProtection="1">
      <alignment horizontal="right"/>
      <protection locked="0"/>
    </xf>
    <xf numFmtId="43" fontId="59" fillId="0" borderId="0" xfId="1" applyFont="1" applyFill="1" applyBorder="1" applyAlignment="1" applyProtection="1">
      <alignment horizontal="right"/>
      <protection locked="0"/>
    </xf>
    <xf numFmtId="43" fontId="59" fillId="0" borderId="0" xfId="1" applyFont="1" applyBorder="1" applyAlignment="1" applyProtection="1">
      <alignment horizontal="right"/>
      <protection locked="0"/>
    </xf>
    <xf numFmtId="4" fontId="5" fillId="15" borderId="0" xfId="1" applyNumberFormat="1" applyFont="1" applyFill="1" applyBorder="1" applyAlignment="1" applyProtection="1">
      <alignment horizontal="centerContinuous"/>
      <protection locked="0"/>
    </xf>
    <xf numFmtId="176" fontId="16" fillId="15" borderId="3" xfId="1" applyNumberFormat="1" applyFont="1" applyFill="1" applyBorder="1" applyAlignment="1" applyProtection="1">
      <alignment horizontal="right"/>
    </xf>
    <xf numFmtId="167" fontId="129" fillId="15" borderId="3" xfId="7" applyNumberFormat="1" applyFont="1" applyFill="1" applyBorder="1" applyAlignment="1">
      <alignment horizontal="center"/>
    </xf>
    <xf numFmtId="0" fontId="114" fillId="15" borderId="25" xfId="0" applyFont="1" applyFill="1" applyBorder="1" applyAlignment="1">
      <alignment horizontal="center" vertical="center"/>
    </xf>
    <xf numFmtId="0" fontId="114" fillId="15" borderId="19" xfId="0" applyFont="1" applyFill="1" applyBorder="1" applyAlignment="1">
      <alignment horizontal="center" vertical="center"/>
    </xf>
    <xf numFmtId="0" fontId="114" fillId="15" borderId="6" xfId="0" applyFont="1" applyFill="1" applyBorder="1" applyAlignment="1">
      <alignment horizontal="right" vertical="center"/>
    </xf>
    <xf numFmtId="0" fontId="35" fillId="11" borderId="11" xfId="3" applyFont="1" applyFill="1" applyBorder="1" applyAlignment="1">
      <alignment horizontal="left"/>
    </xf>
    <xf numFmtId="0" fontId="111" fillId="2" borderId="23" xfId="7" applyFont="1" applyFill="1" applyBorder="1" applyAlignment="1">
      <alignment horizontal="center"/>
    </xf>
    <xf numFmtId="2" fontId="35" fillId="2" borderId="17" xfId="7" applyNumberFormat="1" applyFont="1" applyFill="1" applyBorder="1" applyAlignment="1">
      <alignment horizontal="center"/>
    </xf>
    <xf numFmtId="0" fontId="82" fillId="2" borderId="21" xfId="3" applyFont="1" applyFill="1" applyBorder="1" applyAlignment="1">
      <alignment horizontal="left"/>
    </xf>
    <xf numFmtId="0" fontId="14" fillId="0" borderId="40" xfId="0" applyFont="1" applyBorder="1" applyAlignment="1" applyProtection="1">
      <alignment horizontal="center"/>
      <protection locked="0"/>
    </xf>
    <xf numFmtId="4" fontId="20" fillId="12" borderId="41" xfId="0" applyNumberFormat="1" applyFont="1" applyFill="1" applyBorder="1" applyAlignment="1" applyProtection="1">
      <alignment horizontal="center"/>
      <protection locked="0"/>
    </xf>
    <xf numFmtId="0" fontId="10" fillId="2" borderId="23" xfId="3" applyFont="1" applyFill="1" applyBorder="1" applyAlignment="1">
      <alignment horizontal="center"/>
    </xf>
    <xf numFmtId="0" fontId="0" fillId="0" borderId="3" xfId="0" applyBorder="1" applyAlignment="1" applyProtection="1">
      <alignment horizontal="center"/>
      <protection locked="0"/>
    </xf>
    <xf numFmtId="0" fontId="75" fillId="14" borderId="3" xfId="0" applyFont="1" applyFill="1" applyBorder="1" applyAlignment="1" applyProtection="1">
      <alignment horizontal="center"/>
      <protection locked="0"/>
    </xf>
    <xf numFmtId="0" fontId="75" fillId="12" borderId="3" xfId="0" applyFont="1" applyFill="1" applyBorder="1" applyAlignment="1" applyProtection="1">
      <alignment horizontal="center"/>
      <protection locked="0"/>
    </xf>
    <xf numFmtId="0" fontId="75" fillId="0" borderId="3" xfId="0" applyFont="1" applyBorder="1" applyAlignment="1" applyProtection="1">
      <alignment horizontal="center"/>
      <protection locked="0"/>
    </xf>
    <xf numFmtId="0" fontId="9" fillId="17" borderId="3" xfId="0" applyFont="1" applyFill="1" applyBorder="1" applyProtection="1">
      <protection locked="0"/>
    </xf>
    <xf numFmtId="0" fontId="24" fillId="0" borderId="0" xfId="0" applyFont="1"/>
    <xf numFmtId="0" fontId="133" fillId="0" borderId="0" xfId="0" applyFont="1"/>
    <xf numFmtId="38" fontId="134" fillId="15" borderId="18" xfId="0" applyNumberFormat="1" applyFont="1" applyFill="1" applyBorder="1" applyAlignment="1">
      <alignment horizontal="center"/>
    </xf>
    <xf numFmtId="38" fontId="33"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5" fillId="0" borderId="0" xfId="7" applyFont="1" applyProtection="1">
      <protection locked="0"/>
    </xf>
    <xf numFmtId="0" fontId="136" fillId="0" borderId="0" xfId="0" applyFont="1" applyProtection="1">
      <protection locked="0"/>
    </xf>
    <xf numFmtId="0" fontId="137" fillId="0" borderId="0" xfId="0" applyFont="1" applyProtection="1">
      <protection locked="0"/>
    </xf>
    <xf numFmtId="0" fontId="52" fillId="0" borderId="0" xfId="0" applyFont="1" applyProtection="1">
      <protection locked="0"/>
    </xf>
    <xf numFmtId="0" fontId="113" fillId="0" borderId="0" xfId="0" applyFont="1" applyAlignment="1">
      <alignment vertical="center"/>
    </xf>
    <xf numFmtId="2" fontId="14" fillId="12" borderId="0" xfId="3" applyNumberFormat="1" applyFont="1" applyFill="1" applyAlignment="1">
      <alignment horizontal="center" vertical="top"/>
    </xf>
    <xf numFmtId="2" fontId="33" fillId="2" borderId="0" xfId="3" applyNumberFormat="1" applyFont="1" applyFill="1" applyAlignment="1" applyProtection="1">
      <alignment horizontal="center" vertical="top"/>
      <protection locked="0"/>
    </xf>
    <xf numFmtId="0" fontId="0" fillId="2" borderId="0" xfId="0" applyFill="1" applyProtection="1">
      <protection locked="0"/>
    </xf>
    <xf numFmtId="0" fontId="51"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4" fillId="15" borderId="6" xfId="0" applyNumberFormat="1" applyFont="1" applyFill="1" applyBorder="1" applyAlignment="1">
      <alignment horizontal="center" vertical="center"/>
    </xf>
    <xf numFmtId="49" fontId="142" fillId="15" borderId="20" xfId="0" applyNumberFormat="1" applyFont="1" applyFill="1" applyBorder="1" applyAlignment="1">
      <alignment horizontal="left"/>
    </xf>
    <xf numFmtId="40" fontId="13" fillId="0" borderId="3" xfId="1" applyNumberFormat="1" applyFont="1" applyFill="1" applyBorder="1" applyAlignment="1" applyProtection="1">
      <alignment horizontal="right"/>
      <protection locked="0"/>
    </xf>
    <xf numFmtId="177" fontId="13" fillId="0" borderId="3" xfId="1" applyNumberFormat="1" applyFont="1" applyFill="1" applyBorder="1" applyAlignment="1" applyProtection="1">
      <alignment horizontal="right"/>
      <protection locked="0"/>
    </xf>
    <xf numFmtId="178" fontId="13" fillId="0" borderId="3" xfId="1" applyNumberFormat="1" applyFont="1" applyFill="1" applyBorder="1" applyAlignment="1" applyProtection="1">
      <alignment horizontal="right"/>
      <protection locked="0"/>
    </xf>
    <xf numFmtId="179" fontId="13" fillId="0" borderId="3" xfId="1" applyNumberFormat="1" applyFont="1" applyFill="1" applyBorder="1" applyAlignment="1" applyProtection="1">
      <alignment horizontal="right"/>
      <protection locked="0"/>
    </xf>
    <xf numFmtId="4" fontId="8" fillId="13" borderId="0" xfId="6" applyNumberFormat="1" applyFont="1" applyFill="1" applyAlignment="1" applyProtection="1">
      <alignment horizontal="right"/>
      <protection locked="0"/>
    </xf>
    <xf numFmtId="4" fontId="8" fillId="4" borderId="0" xfId="3" applyNumberFormat="1" applyFont="1" applyFill="1" applyAlignment="1" applyProtection="1">
      <alignment horizontal="right"/>
      <protection locked="0"/>
    </xf>
    <xf numFmtId="4" fontId="8" fillId="5" borderId="0" xfId="3" applyNumberFormat="1" applyFont="1" applyFill="1" applyAlignment="1" applyProtection="1">
      <alignment horizontal="right"/>
      <protection locked="0"/>
    </xf>
    <xf numFmtId="4" fontId="8" fillId="6" borderId="0" xfId="3" applyNumberFormat="1" applyFont="1" applyFill="1" applyAlignment="1" applyProtection="1">
      <alignment horizontal="right"/>
      <protection locked="0"/>
    </xf>
    <xf numFmtId="4" fontId="8" fillId="2" borderId="0" xfId="3" applyNumberFormat="1" applyFont="1" applyFill="1" applyAlignment="1" applyProtection="1">
      <alignment horizontal="right"/>
      <protection locked="0"/>
    </xf>
    <xf numFmtId="4" fontId="8" fillId="7" borderId="0" xfId="3" applyNumberFormat="1" applyFont="1" applyFill="1" applyAlignment="1" applyProtection="1">
      <alignment horizontal="right"/>
      <protection locked="0"/>
    </xf>
    <xf numFmtId="4" fontId="13" fillId="8" borderId="0" xfId="3" applyNumberFormat="1" applyFont="1" applyFill="1" applyProtection="1">
      <protection locked="0"/>
    </xf>
    <xf numFmtId="4" fontId="20" fillId="2" borderId="1" xfId="3" applyNumberFormat="1" applyFont="1" applyFill="1" applyBorder="1" applyAlignment="1" applyProtection="1">
      <alignment horizontal="right"/>
      <protection locked="0"/>
    </xf>
    <xf numFmtId="4" fontId="13" fillId="13" borderId="12" xfId="6" applyNumberFormat="1" applyFont="1" applyFill="1" applyBorder="1" applyAlignment="1" applyProtection="1">
      <alignment horizontal="right"/>
      <protection locked="0"/>
    </xf>
    <xf numFmtId="4" fontId="13" fillId="7" borderId="12" xfId="3" applyNumberFormat="1" applyFont="1" applyFill="1" applyBorder="1" applyAlignment="1" applyProtection="1">
      <alignment horizontal="right"/>
      <protection locked="0"/>
    </xf>
    <xf numFmtId="4" fontId="13" fillId="6" borderId="12" xfId="3" applyNumberFormat="1" applyFont="1" applyFill="1" applyBorder="1" applyProtection="1">
      <protection locked="0"/>
    </xf>
    <xf numFmtId="4" fontId="13" fillId="7" borderId="0" xfId="3" applyNumberFormat="1" applyFont="1" applyFill="1" applyProtection="1">
      <protection locked="0"/>
    </xf>
    <xf numFmtId="0" fontId="143" fillId="15" borderId="19" xfId="0" applyFont="1" applyFill="1" applyBorder="1" applyAlignment="1">
      <alignment horizontal="left"/>
    </xf>
    <xf numFmtId="0" fontId="144" fillId="0" borderId="0" xfId="0" applyFont="1" applyAlignment="1" applyProtection="1">
      <alignment horizontal="left"/>
      <protection locked="0"/>
    </xf>
    <xf numFmtId="2" fontId="14" fillId="3" borderId="3" xfId="3" applyNumberFormat="1" applyFont="1" applyFill="1" applyBorder="1" applyAlignment="1" applyProtection="1">
      <alignment horizontal="center"/>
      <protection locked="0"/>
    </xf>
    <xf numFmtId="165" fontId="14" fillId="12" borderId="2" xfId="3" applyNumberFormat="1" applyFont="1" applyFill="1" applyBorder="1" applyAlignment="1" applyProtection="1">
      <alignment horizontal="center"/>
      <protection locked="0"/>
    </xf>
    <xf numFmtId="0" fontId="12" fillId="0" borderId="0" xfId="0" applyFont="1"/>
    <xf numFmtId="0" fontId="7" fillId="0" borderId="0" xfId="7" applyFont="1" applyAlignment="1">
      <alignment horizontal="right"/>
    </xf>
    <xf numFmtId="2" fontId="6" fillId="0" borderId="0" xfId="7" applyNumberFormat="1" applyFont="1"/>
    <xf numFmtId="0" fontId="10" fillId="0" borderId="0" xfId="7" applyFont="1" applyAlignment="1">
      <alignment horizontal="left"/>
    </xf>
    <xf numFmtId="0" fontId="6" fillId="0" borderId="0" xfId="7" applyFont="1" applyAlignment="1">
      <alignment horizontal="centerContinuous" vertical="center"/>
    </xf>
    <xf numFmtId="0" fontId="100" fillId="0" borderId="0" xfId="0" applyFont="1" applyAlignment="1">
      <alignment horizontal="right"/>
    </xf>
    <xf numFmtId="1" fontId="6" fillId="0" borderId="0" xfId="6" applyFont="1" applyAlignment="1">
      <alignment horizontal="center"/>
    </xf>
    <xf numFmtId="0" fontId="6" fillId="0" borderId="0" xfId="7" applyFont="1" applyAlignment="1">
      <alignment horizontal="centerContinuous"/>
    </xf>
    <xf numFmtId="0" fontId="6" fillId="0" borderId="0" xfId="7" applyFont="1"/>
    <xf numFmtId="0" fontId="7" fillId="0" borderId="0" xfId="3" applyFont="1" applyAlignment="1">
      <alignment horizontal="right"/>
    </xf>
    <xf numFmtId="1" fontId="6" fillId="0" borderId="0" xfId="6" applyFont="1"/>
    <xf numFmtId="0" fontId="56" fillId="0" borderId="0" xfId="0" applyFont="1"/>
    <xf numFmtId="0" fontId="10" fillId="0" borderId="0" xfId="2" applyNumberFormat="1" applyFont="1" applyBorder="1" applyAlignment="1" applyProtection="1"/>
    <xf numFmtId="14" fontId="10" fillId="0" borderId="0" xfId="7" applyNumberFormat="1" applyFont="1" applyAlignment="1">
      <alignment horizontal="left"/>
    </xf>
    <xf numFmtId="0" fontId="12" fillId="0" borderId="0" xfId="3" applyFont="1"/>
    <xf numFmtId="0" fontId="12" fillId="0" borderId="0" xfId="0" applyFont="1" applyAlignment="1">
      <alignment horizontal="centerContinuous"/>
    </xf>
    <xf numFmtId="0" fontId="7" fillId="0" borderId="0" xfId="2" applyNumberFormat="1" applyFont="1" applyBorder="1" applyAlignment="1" applyProtection="1">
      <alignment horizontal="centerContinuous"/>
    </xf>
    <xf numFmtId="0" fontId="56" fillId="2" borderId="29" xfId="0" applyFont="1" applyFill="1" applyBorder="1"/>
    <xf numFmtId="0" fontId="12" fillId="2" borderId="29" xfId="0" applyFont="1" applyFill="1" applyBorder="1"/>
    <xf numFmtId="2" fontId="6" fillId="2" borderId="29" xfId="7" applyNumberFormat="1" applyFont="1" applyFill="1" applyBorder="1"/>
    <xf numFmtId="0" fontId="12" fillId="2" borderId="29" xfId="7" applyFont="1" applyFill="1" applyBorder="1" applyAlignment="1">
      <alignment horizontal="centerContinuous" vertical="center"/>
    </xf>
    <xf numFmtId="0" fontId="6" fillId="2" borderId="29" xfId="7" applyFont="1" applyFill="1" applyBorder="1" applyAlignment="1">
      <alignment horizontal="centerContinuous"/>
    </xf>
    <xf numFmtId="0" fontId="57" fillId="2" borderId="29" xfId="2" applyNumberFormat="1" applyFont="1" applyFill="1" applyBorder="1" applyAlignment="1" applyProtection="1">
      <alignment horizontal="center"/>
    </xf>
    <xf numFmtId="0" fontId="61" fillId="2" borderId="29" xfId="2" applyNumberFormat="1" applyFont="1" applyFill="1" applyBorder="1" applyAlignment="1" applyProtection="1">
      <alignment horizontal="centerContinuous"/>
    </xf>
    <xf numFmtId="0" fontId="132" fillId="0" borderId="0" xfId="0" applyFont="1" applyAlignment="1">
      <alignment horizontal="center"/>
    </xf>
    <xf numFmtId="0" fontId="75" fillId="2" borderId="3" xfId="0" applyFont="1" applyFill="1" applyBorder="1" applyAlignment="1" applyProtection="1">
      <alignment horizontal="center"/>
      <protection locked="0"/>
    </xf>
    <xf numFmtId="0" fontId="76" fillId="0" borderId="3" xfId="0" applyFont="1" applyBorder="1" applyAlignment="1" applyProtection="1">
      <alignment horizontal="center"/>
      <protection locked="0"/>
    </xf>
    <xf numFmtId="4" fontId="13" fillId="9" borderId="0" xfId="3" applyNumberFormat="1" applyFont="1" applyFill="1" applyProtection="1">
      <protection locked="0"/>
    </xf>
    <xf numFmtId="4" fontId="13" fillId="10" borderId="0" xfId="3" applyNumberFormat="1" applyFont="1" applyFill="1" applyProtection="1">
      <protection locked="0"/>
    </xf>
    <xf numFmtId="4" fontId="13" fillId="11" borderId="0" xfId="3" applyNumberFormat="1" applyFont="1" applyFill="1" applyProtection="1">
      <protection locked="0"/>
    </xf>
    <xf numFmtId="49" fontId="142" fillId="15" borderId="20" xfId="0" applyNumberFormat="1" applyFont="1" applyFill="1" applyBorder="1" applyAlignment="1" applyProtection="1">
      <alignment horizontal="left"/>
      <protection locked="0"/>
    </xf>
    <xf numFmtId="0" fontId="14" fillId="0" borderId="1" xfId="3" applyFont="1" applyBorder="1" applyAlignment="1">
      <alignment horizontal="center"/>
    </xf>
    <xf numFmtId="43" fontId="23" fillId="0" borderId="42" xfId="3" applyNumberFormat="1" applyFont="1" applyBorder="1"/>
    <xf numFmtId="43" fontId="16" fillId="0" borderId="1" xfId="1" applyFont="1" applyFill="1" applyBorder="1"/>
    <xf numFmtId="43" fontId="16" fillId="2" borderId="15" xfId="1" applyFont="1" applyFill="1" applyBorder="1"/>
    <xf numFmtId="167" fontId="147" fillId="0" borderId="3" xfId="7" applyNumberFormat="1" applyFont="1" applyBorder="1" applyAlignment="1">
      <alignment horizontal="right"/>
    </xf>
    <xf numFmtId="0" fontId="9" fillId="0" borderId="0" xfId="5" applyFont="1" applyAlignment="1">
      <alignment horizontal="center"/>
    </xf>
    <xf numFmtId="0" fontId="9" fillId="0" borderId="0" xfId="5" applyFont="1" applyAlignment="1" applyProtection="1">
      <alignment horizontal="center"/>
      <protection locked="0"/>
    </xf>
    <xf numFmtId="0" fontId="16" fillId="0" borderId="0" xfId="3" applyFont="1" applyAlignment="1">
      <alignment horizontal="center"/>
    </xf>
    <xf numFmtId="0" fontId="16" fillId="0" borderId="0" xfId="3" applyFont="1" applyAlignment="1">
      <alignment horizontal="left"/>
    </xf>
    <xf numFmtId="1" fontId="20" fillId="2" borderId="1" xfId="6" applyFont="1" applyFill="1" applyBorder="1" applyAlignment="1" applyProtection="1">
      <alignment horizontal="center"/>
      <protection locked="0"/>
    </xf>
    <xf numFmtId="1" fontId="16" fillId="0" borderId="0" xfId="6" applyFont="1" applyAlignment="1" applyProtection="1">
      <alignment horizontal="center" vertical="top"/>
      <protection locked="0"/>
    </xf>
    <xf numFmtId="0" fontId="16" fillId="0" borderId="43" xfId="3" applyFont="1" applyBorder="1" applyAlignment="1">
      <alignment horizontal="center"/>
    </xf>
    <xf numFmtId="0" fontId="13" fillId="0" borderId="0" xfId="3" applyFont="1" applyAlignment="1">
      <alignment horizontal="left"/>
    </xf>
    <xf numFmtId="0" fontId="14" fillId="0" borderId="23" xfId="3" applyFont="1" applyBorder="1" applyAlignment="1">
      <alignment horizontal="right"/>
    </xf>
    <xf numFmtId="0" fontId="14" fillId="0" borderId="22" xfId="3" applyFont="1" applyBorder="1" applyAlignment="1">
      <alignment horizontal="right"/>
    </xf>
    <xf numFmtId="0" fontId="16" fillId="0" borderId="44" xfId="3" applyFont="1" applyBorder="1" applyAlignment="1">
      <alignment horizontal="center"/>
    </xf>
    <xf numFmtId="1" fontId="8" fillId="0" borderId="0" xfId="10" applyFont="1" applyProtection="1">
      <protection locked="0"/>
    </xf>
    <xf numFmtId="1" fontId="16" fillId="0" borderId="0" xfId="10" applyFont="1" applyProtection="1">
      <protection locked="0"/>
    </xf>
    <xf numFmtId="2" fontId="8" fillId="0" borderId="0" xfId="10" applyNumberFormat="1" applyFont="1" applyProtection="1">
      <protection locked="0"/>
    </xf>
    <xf numFmtId="2" fontId="8" fillId="16" borderId="0" xfId="10" applyNumberFormat="1" applyFont="1" applyFill="1"/>
    <xf numFmtId="0" fontId="8" fillId="0" borderId="0" xfId="3" applyFont="1"/>
    <xf numFmtId="0" fontId="14" fillId="0" borderId="0" xfId="3" applyFont="1" applyAlignment="1">
      <alignment horizontal="center"/>
    </xf>
    <xf numFmtId="0" fontId="8" fillId="0" borderId="24" xfId="3" applyFont="1" applyBorder="1" applyAlignment="1">
      <alignment horizontal="right"/>
    </xf>
    <xf numFmtId="1" fontId="16" fillId="0" borderId="3" xfId="10" applyFont="1" applyBorder="1" applyAlignment="1" applyProtection="1">
      <alignment horizontal="center"/>
      <protection locked="0"/>
    </xf>
    <xf numFmtId="0" fontId="2" fillId="0" borderId="3" xfId="0" applyFont="1" applyBorder="1" applyAlignment="1">
      <alignment horizontal="center"/>
    </xf>
    <xf numFmtId="1" fontId="8" fillId="0" borderId="0" xfId="10" applyFont="1" applyAlignment="1" applyProtection="1">
      <alignment horizontal="center"/>
      <protection locked="0"/>
    </xf>
    <xf numFmtId="1" fontId="15" fillId="0" borderId="0" xfId="10" applyFont="1" applyAlignment="1" applyProtection="1">
      <alignment horizontal="left"/>
      <protection locked="0"/>
    </xf>
    <xf numFmtId="4" fontId="16" fillId="3" borderId="18" xfId="3" applyNumberFormat="1" applyFont="1" applyFill="1" applyBorder="1" applyAlignment="1">
      <alignment horizontal="right"/>
    </xf>
    <xf numFmtId="4" fontId="16" fillId="3" borderId="16" xfId="3" applyNumberFormat="1" applyFont="1" applyFill="1" applyBorder="1" applyAlignment="1">
      <alignment horizontal="right"/>
    </xf>
    <xf numFmtId="1" fontId="16" fillId="0" borderId="0" xfId="10" applyFont="1" applyAlignment="1" applyProtection="1">
      <alignment vertical="top"/>
      <protection locked="0"/>
    </xf>
    <xf numFmtId="2" fontId="16" fillId="0" borderId="0" xfId="10" applyNumberFormat="1" applyFont="1" applyProtection="1">
      <protection locked="0"/>
    </xf>
    <xf numFmtId="1" fontId="16" fillId="0" borderId="0" xfId="10" applyFont="1"/>
    <xf numFmtId="2" fontId="8" fillId="3" borderId="3" xfId="3" applyNumberFormat="1" applyFont="1" applyFill="1" applyBorder="1" applyAlignment="1">
      <alignment horizontal="center"/>
    </xf>
    <xf numFmtId="0" fontId="8" fillId="15" borderId="0" xfId="3" applyFont="1" applyFill="1"/>
    <xf numFmtId="4" fontId="14" fillId="3" borderId="3" xfId="3" applyNumberFormat="1" applyFont="1" applyFill="1" applyBorder="1" applyAlignment="1">
      <alignment horizontal="center"/>
    </xf>
    <xf numFmtId="2" fontId="16" fillId="3" borderId="3" xfId="3" applyNumberFormat="1" applyFont="1" applyFill="1" applyBorder="1" applyAlignment="1">
      <alignment horizontal="center"/>
    </xf>
    <xf numFmtId="2" fontId="8" fillId="0" borderId="20" xfId="3" applyNumberFormat="1" applyFont="1" applyBorder="1" applyAlignment="1">
      <alignment horizontal="right"/>
    </xf>
    <xf numFmtId="2" fontId="8" fillId="0" borderId="13" xfId="3" applyNumberFormat="1" applyFont="1" applyBorder="1" applyAlignment="1">
      <alignment horizontal="right"/>
    </xf>
    <xf numFmtId="2" fontId="8" fillId="2" borderId="21" xfId="3" applyNumberFormat="1" applyFont="1" applyFill="1" applyBorder="1" applyAlignment="1">
      <alignment horizontal="right"/>
    </xf>
    <xf numFmtId="165" fontId="16" fillId="0" borderId="0" xfId="10" applyNumberFormat="1" applyFont="1" applyProtection="1">
      <protection locked="0"/>
    </xf>
    <xf numFmtId="2" fontId="8" fillId="13" borderId="0" xfId="10" applyNumberFormat="1" applyFont="1" applyFill="1"/>
    <xf numFmtId="1" fontId="8" fillId="0" borderId="8" xfId="10" applyFont="1" applyBorder="1" applyAlignment="1" applyProtection="1">
      <alignment horizontal="right"/>
      <protection locked="0"/>
    </xf>
    <xf numFmtId="2" fontId="8" fillId="0" borderId="9" xfId="10" applyNumberFormat="1" applyFont="1" applyBorder="1" applyAlignment="1" applyProtection="1">
      <alignment horizontal="left"/>
      <protection locked="0"/>
    </xf>
    <xf numFmtId="1" fontId="8" fillId="0" borderId="1" xfId="10" applyFont="1" applyBorder="1" applyProtection="1">
      <protection locked="0"/>
    </xf>
    <xf numFmtId="1" fontId="16" fillId="0" borderId="1" xfId="10" applyFont="1" applyBorder="1" applyProtection="1">
      <protection locked="0"/>
    </xf>
    <xf numFmtId="2" fontId="8" fillId="0" borderId="1" xfId="10" applyNumberFormat="1" applyFont="1" applyBorder="1" applyProtection="1">
      <protection locked="0"/>
    </xf>
    <xf numFmtId="1" fontId="8" fillId="0" borderId="1" xfId="10" applyFont="1" applyBorder="1"/>
    <xf numFmtId="165" fontId="8" fillId="0" borderId="1" xfId="10" applyNumberFormat="1" applyFont="1" applyBorder="1" applyProtection="1">
      <protection locked="0"/>
    </xf>
    <xf numFmtId="2" fontId="8" fillId="13" borderId="15" xfId="10" applyNumberFormat="1" applyFont="1" applyFill="1" applyBorder="1"/>
    <xf numFmtId="0" fontId="8" fillId="0" borderId="1" xfId="3" applyFont="1" applyBorder="1"/>
    <xf numFmtId="0" fontId="8" fillId="0" borderId="0" xfId="3" applyFont="1" applyAlignment="1" applyProtection="1">
      <alignment horizontal="left"/>
      <protection locked="0"/>
    </xf>
    <xf numFmtId="0" fontId="2" fillId="0" borderId="0" xfId="3" applyFont="1" applyAlignment="1" applyProtection="1">
      <alignment horizontal="right"/>
      <protection locked="0"/>
    </xf>
    <xf numFmtId="0" fontId="5" fillId="0" borderId="0" xfId="11" applyProtection="1">
      <protection locked="0"/>
    </xf>
    <xf numFmtId="0" fontId="5" fillId="0" borderId="13" xfId="11" applyBorder="1" applyProtection="1">
      <protection locked="0"/>
    </xf>
    <xf numFmtId="0" fontId="8" fillId="0" borderId="13" xfId="3" applyFont="1" applyBorder="1" applyProtection="1">
      <protection locked="0"/>
    </xf>
    <xf numFmtId="0" fontId="2" fillId="0" borderId="0" xfId="11" applyFont="1" applyAlignment="1" applyProtection="1">
      <alignment horizontal="right"/>
      <protection locked="0"/>
    </xf>
    <xf numFmtId="15" fontId="5" fillId="0" borderId="0" xfId="11" applyNumberFormat="1" applyProtection="1">
      <protection locked="0"/>
    </xf>
    <xf numFmtId="0" fontId="30" fillId="0" borderId="0" xfId="7" applyFont="1" applyAlignment="1" applyProtection="1">
      <alignment horizontal="right"/>
      <protection locked="0"/>
    </xf>
    <xf numFmtId="0" fontId="30" fillId="0" borderId="0" xfId="11" applyFont="1" applyAlignment="1" applyProtection="1">
      <alignment horizontal="right"/>
      <protection locked="0"/>
    </xf>
    <xf numFmtId="0" fontId="16" fillId="0" borderId="13" xfId="7" applyFont="1" applyBorder="1" applyAlignment="1" applyProtection="1">
      <alignment horizontal="left"/>
      <protection locked="0"/>
    </xf>
    <xf numFmtId="0" fontId="16" fillId="0" borderId="0" xfId="7" applyFont="1" applyAlignment="1" applyProtection="1">
      <alignment horizontal="left"/>
      <protection locked="0"/>
    </xf>
    <xf numFmtId="0" fontId="5" fillId="0" borderId="0" xfId="11"/>
    <xf numFmtId="0" fontId="2" fillId="0" borderId="0" xfId="3" applyFont="1" applyAlignment="1" applyProtection="1">
      <alignment horizontal="left"/>
      <protection locked="0"/>
    </xf>
    <xf numFmtId="0" fontId="2" fillId="0" borderId="0" xfId="3" applyFont="1" applyProtection="1">
      <protection locked="0"/>
    </xf>
    <xf numFmtId="0" fontId="5" fillId="0" borderId="0" xfId="3" applyAlignment="1" applyProtection="1">
      <alignment horizontal="center"/>
      <protection locked="0"/>
    </xf>
    <xf numFmtId="0" fontId="5" fillId="0" borderId="22" xfId="3" applyBorder="1" applyProtection="1">
      <protection locked="0"/>
    </xf>
    <xf numFmtId="0" fontId="5" fillId="0" borderId="34" xfId="3" applyBorder="1" applyProtection="1">
      <protection locked="0"/>
    </xf>
    <xf numFmtId="0" fontId="5" fillId="0" borderId="35" xfId="3" applyBorder="1" applyProtection="1">
      <protection locked="0"/>
    </xf>
    <xf numFmtId="0" fontId="5" fillId="0" borderId="36" xfId="3" applyBorder="1" applyProtection="1">
      <protection locked="0"/>
    </xf>
    <xf numFmtId="0" fontId="5" fillId="0" borderId="37" xfId="3" applyBorder="1" applyProtection="1">
      <protection locked="0"/>
    </xf>
    <xf numFmtId="0" fontId="5" fillId="0" borderId="38" xfId="3" applyBorder="1" applyProtection="1">
      <protection locked="0"/>
    </xf>
    <xf numFmtId="0" fontId="5" fillId="0" borderId="39" xfId="3" applyBorder="1" applyProtection="1">
      <protection locked="0"/>
    </xf>
    <xf numFmtId="0" fontId="63" fillId="0" borderId="0" xfId="3" applyFont="1" applyProtection="1">
      <protection locked="0"/>
    </xf>
    <xf numFmtId="0" fontId="5" fillId="0" borderId="0" xfId="0" applyFont="1"/>
    <xf numFmtId="0" fontId="5" fillId="0" borderId="0" xfId="0" applyFont="1" applyAlignment="1">
      <alignment vertical="top"/>
    </xf>
    <xf numFmtId="0" fontId="2" fillId="0" borderId="0" xfId="0" applyFont="1" applyAlignment="1">
      <alignment horizontal="center" vertical="top"/>
    </xf>
    <xf numFmtId="0" fontId="5" fillId="0" borderId="0" xfId="0" applyFont="1" applyProtection="1">
      <protection locked="0"/>
    </xf>
    <xf numFmtId="180" fontId="79" fillId="12" borderId="3" xfId="0" applyNumberFormat="1" applyFont="1" applyFill="1" applyBorder="1" applyAlignment="1" applyProtection="1">
      <alignment horizontal="center"/>
      <protection locked="0"/>
    </xf>
    <xf numFmtId="0" fontId="29" fillId="0" borderId="0" xfId="3" applyFont="1" applyAlignment="1" applyProtection="1">
      <alignment horizontal="right"/>
      <protection locked="0"/>
    </xf>
    <xf numFmtId="0" fontId="74" fillId="0" borderId="0" xfId="0" applyFont="1"/>
    <xf numFmtId="0" fontId="2" fillId="0" borderId="0" xfId="0" applyFont="1"/>
    <xf numFmtId="2" fontId="8" fillId="0" borderId="0" xfId="3" applyNumberFormat="1" applyFont="1" applyProtection="1">
      <protection locked="0"/>
    </xf>
    <xf numFmtId="165" fontId="153" fillId="0" borderId="0" xfId="14" applyNumberFormat="1" applyFont="1" applyAlignment="1">
      <alignment horizontal="center" wrapText="1"/>
    </xf>
    <xf numFmtId="0" fontId="154" fillId="0" borderId="0" xfId="14" applyFont="1" applyAlignment="1">
      <alignment wrapText="1"/>
    </xf>
    <xf numFmtId="0" fontId="153" fillId="0" borderId="0" xfId="14" applyFont="1" applyAlignment="1">
      <alignment horizontal="center" wrapText="1"/>
    </xf>
    <xf numFmtId="181" fontId="153" fillId="0" borderId="0" xfId="14" applyNumberFormat="1" applyFont="1" applyAlignment="1">
      <alignment horizontal="right" wrapText="1"/>
    </xf>
    <xf numFmtId="182" fontId="155" fillId="0" borderId="0" xfId="14" applyNumberFormat="1" applyFont="1" applyAlignment="1">
      <alignment horizontal="right" wrapText="1"/>
    </xf>
    <xf numFmtId="0" fontId="152" fillId="0" borderId="0" xfId="14" applyFont="1" applyAlignment="1">
      <alignment horizontal="center" wrapText="1"/>
    </xf>
    <xf numFmtId="0" fontId="1" fillId="0" borderId="0" xfId="14" applyAlignment="1">
      <alignment wrapText="1"/>
    </xf>
    <xf numFmtId="0" fontId="1" fillId="0" borderId="0" xfId="14"/>
    <xf numFmtId="0" fontId="153" fillId="0" borderId="0" xfId="14" applyFont="1" applyAlignment="1">
      <alignment wrapText="1"/>
    </xf>
    <xf numFmtId="182" fontId="156" fillId="0" borderId="0" xfId="14" applyNumberFormat="1" applyFont="1" applyAlignment="1">
      <alignment horizontal="right" wrapText="1"/>
    </xf>
    <xf numFmtId="0" fontId="155" fillId="0" borderId="0" xfId="14" applyFont="1" applyAlignment="1">
      <alignment wrapText="1"/>
    </xf>
    <xf numFmtId="165" fontId="156" fillId="0" borderId="14" xfId="14" applyNumberFormat="1" applyFont="1" applyBorder="1" applyAlignment="1">
      <alignment horizontal="center" wrapText="1"/>
    </xf>
    <xf numFmtId="0" fontId="156" fillId="0" borderId="14" xfId="14" applyFont="1" applyBorder="1" applyAlignment="1">
      <alignment wrapText="1"/>
    </xf>
    <xf numFmtId="0" fontId="156" fillId="0" borderId="14" xfId="14" applyFont="1" applyBorder="1" applyAlignment="1">
      <alignment horizontal="center" wrapText="1"/>
    </xf>
    <xf numFmtId="181" fontId="156" fillId="0" borderId="14" xfId="14" applyNumberFormat="1" applyFont="1" applyBorder="1" applyAlignment="1">
      <alignment horizontal="right" wrapText="1"/>
    </xf>
    <xf numFmtId="182" fontId="156" fillId="0" borderId="14" xfId="14" applyNumberFormat="1" applyFont="1" applyBorder="1" applyAlignment="1">
      <alignment horizontal="right" wrapText="1"/>
    </xf>
    <xf numFmtId="0" fontId="152" fillId="0" borderId="14" xfId="14" applyFont="1" applyBorder="1" applyAlignment="1">
      <alignment horizontal="center" wrapText="1"/>
    </xf>
    <xf numFmtId="0" fontId="1" fillId="0" borderId="14" xfId="14" applyBorder="1" applyAlignment="1">
      <alignment wrapText="1"/>
    </xf>
    <xf numFmtId="0" fontId="1" fillId="0" borderId="14" xfId="14" applyBorder="1"/>
    <xf numFmtId="165" fontId="153" fillId="0" borderId="14" xfId="14" applyNumberFormat="1" applyFont="1" applyBorder="1" applyAlignment="1">
      <alignment horizontal="center" wrapText="1"/>
    </xf>
    <xf numFmtId="0" fontId="153" fillId="0" borderId="14" xfId="14" applyFont="1" applyBorder="1" applyAlignment="1">
      <alignment horizontal="center" wrapText="1"/>
    </xf>
    <xf numFmtId="181" fontId="153" fillId="0" borderId="14" xfId="14" applyNumberFormat="1" applyFont="1" applyBorder="1" applyAlignment="1">
      <alignment horizontal="right" wrapText="1"/>
    </xf>
    <xf numFmtId="0" fontId="156" fillId="0" borderId="0" xfId="14" applyFont="1" applyAlignment="1">
      <alignment wrapText="1"/>
    </xf>
    <xf numFmtId="182" fontId="156" fillId="0" borderId="13" xfId="14" applyNumberFormat="1" applyFont="1" applyBorder="1" applyAlignment="1">
      <alignment horizontal="right" wrapText="1"/>
    </xf>
    <xf numFmtId="165" fontId="153" fillId="0" borderId="22" xfId="14" applyNumberFormat="1" applyFont="1" applyBorder="1" applyAlignment="1">
      <alignment horizontal="center" wrapText="1"/>
    </xf>
    <xf numFmtId="0" fontId="155" fillId="0" borderId="22" xfId="14" applyFont="1" applyBorder="1" applyAlignment="1">
      <alignment wrapText="1"/>
    </xf>
    <xf numFmtId="0" fontId="153" fillId="0" borderId="22" xfId="14" applyFont="1" applyBorder="1" applyAlignment="1">
      <alignment horizontal="center" wrapText="1"/>
    </xf>
    <xf numFmtId="181" fontId="153" fillId="0" borderId="22" xfId="14" applyNumberFormat="1" applyFont="1" applyBorder="1" applyAlignment="1">
      <alignment horizontal="right" wrapText="1"/>
    </xf>
    <xf numFmtId="0" fontId="152" fillId="0" borderId="22" xfId="14" applyFont="1" applyBorder="1" applyAlignment="1">
      <alignment horizontal="center" wrapText="1"/>
    </xf>
    <xf numFmtId="0" fontId="1" fillId="0" borderId="22" xfId="14" applyBorder="1" applyAlignment="1">
      <alignment wrapText="1"/>
    </xf>
    <xf numFmtId="0" fontId="1" fillId="0" borderId="22" xfId="14" applyBorder="1"/>
    <xf numFmtId="0" fontId="157" fillId="0" borderId="0" xfId="14" applyFont="1" applyAlignment="1">
      <alignment wrapText="1"/>
    </xf>
    <xf numFmtId="0" fontId="158" fillId="0" borderId="14" xfId="14" applyFont="1" applyBorder="1" applyAlignment="1">
      <alignment wrapText="1"/>
    </xf>
    <xf numFmtId="182" fontId="156" fillId="0" borderId="22" xfId="14" applyNumberFormat="1" applyFont="1" applyBorder="1" applyAlignment="1">
      <alignment horizontal="right" wrapText="1"/>
    </xf>
    <xf numFmtId="181" fontId="156" fillId="0" borderId="0" xfId="14" applyNumberFormat="1" applyFont="1" applyAlignment="1">
      <alignment horizontal="right" wrapText="1"/>
    </xf>
    <xf numFmtId="165" fontId="153" fillId="18" borderId="0" xfId="14" applyNumberFormat="1" applyFont="1" applyFill="1" applyAlignment="1">
      <alignment horizontal="center" wrapText="1"/>
    </xf>
    <xf numFmtId="0" fontId="153" fillId="18" borderId="0" xfId="14" applyFont="1" applyFill="1" applyAlignment="1">
      <alignment wrapText="1"/>
    </xf>
    <xf numFmtId="0" fontId="153" fillId="18" borderId="0" xfId="14" applyFont="1" applyFill="1" applyAlignment="1">
      <alignment horizontal="center" wrapText="1"/>
    </xf>
    <xf numFmtId="181" fontId="153" fillId="18" borderId="0" xfId="14" applyNumberFormat="1" applyFont="1" applyFill="1" applyAlignment="1">
      <alignment horizontal="right" wrapText="1"/>
    </xf>
    <xf numFmtId="182" fontId="156" fillId="18" borderId="0" xfId="14" applyNumberFormat="1" applyFont="1" applyFill="1" applyAlignment="1">
      <alignment horizontal="right" wrapText="1"/>
    </xf>
    <xf numFmtId="0" fontId="160" fillId="0" borderId="0" xfId="14" applyFont="1" applyAlignment="1">
      <alignment wrapText="1"/>
    </xf>
    <xf numFmtId="0" fontId="155" fillId="0" borderId="22" xfId="14" applyFont="1" applyBorder="1"/>
    <xf numFmtId="3" fontId="153" fillId="0" borderId="0" xfId="14" applyNumberFormat="1" applyFont="1" applyAlignment="1">
      <alignment horizontal="center" wrapText="1"/>
    </xf>
    <xf numFmtId="0" fontId="161" fillId="0" borderId="0" xfId="14" applyFont="1" applyAlignment="1">
      <alignment wrapText="1"/>
    </xf>
    <xf numFmtId="0" fontId="162" fillId="0" borderId="0" xfId="14" applyFont="1" applyAlignment="1">
      <alignment wrapText="1"/>
    </xf>
    <xf numFmtId="0" fontId="163" fillId="0" borderId="0" xfId="14" applyFont="1" applyAlignment="1">
      <alignment wrapText="1"/>
    </xf>
    <xf numFmtId="0" fontId="152" fillId="0" borderId="0" xfId="14" applyFont="1" applyAlignment="1">
      <alignment horizontal="center" vertical="center" wrapText="1"/>
    </xf>
    <xf numFmtId="0" fontId="1" fillId="0" borderId="0" xfId="14" applyAlignment="1">
      <alignment vertical="center" wrapText="1"/>
    </xf>
    <xf numFmtId="0" fontId="155" fillId="0" borderId="14" xfId="14" applyFont="1" applyBorder="1" applyAlignment="1">
      <alignment wrapText="1"/>
    </xf>
    <xf numFmtId="9" fontId="153" fillId="0" borderId="0" xfId="15" applyFont="1" applyAlignment="1">
      <alignment horizontal="center" wrapText="1"/>
    </xf>
    <xf numFmtId="9" fontId="155" fillId="0" borderId="0" xfId="15" applyFont="1" applyAlignment="1">
      <alignment wrapText="1"/>
    </xf>
    <xf numFmtId="9" fontId="153" fillId="0" borderId="0" xfId="15" applyFont="1" applyAlignment="1">
      <alignment horizontal="right" wrapText="1"/>
    </xf>
    <xf numFmtId="9" fontId="156" fillId="0" borderId="0" xfId="15" applyFont="1" applyAlignment="1">
      <alignment horizontal="right" wrapText="1"/>
    </xf>
    <xf numFmtId="9" fontId="152" fillId="0" borderId="0" xfId="15" applyFont="1" applyAlignment="1">
      <alignment horizontal="center" wrapText="1"/>
    </xf>
    <xf numFmtId="9" fontId="0" fillId="0" borderId="0" xfId="15" applyFont="1" applyAlignment="1">
      <alignment wrapText="1"/>
    </xf>
    <xf numFmtId="9" fontId="0" fillId="0" borderId="0" xfId="15" applyFont="1"/>
    <xf numFmtId="9" fontId="156" fillId="0" borderId="14" xfId="15" applyFont="1" applyBorder="1" applyAlignment="1">
      <alignment horizontal="center" wrapText="1"/>
    </xf>
    <xf numFmtId="9" fontId="156" fillId="0" borderId="14" xfId="15" applyFont="1" applyBorder="1" applyAlignment="1">
      <alignment wrapText="1"/>
    </xf>
    <xf numFmtId="9" fontId="156" fillId="0" borderId="14" xfId="15" applyFont="1" applyBorder="1" applyAlignment="1">
      <alignment horizontal="right" wrapText="1"/>
    </xf>
    <xf numFmtId="165" fontId="164" fillId="0" borderId="0" xfId="14" applyNumberFormat="1" applyFont="1" applyAlignment="1">
      <alignment horizontal="left"/>
    </xf>
    <xf numFmtId="165" fontId="156" fillId="18" borderId="0" xfId="14" applyNumberFormat="1" applyFont="1" applyFill="1" applyAlignment="1">
      <alignment horizontal="center" wrapText="1"/>
    </xf>
    <xf numFmtId="0" fontId="156" fillId="18" borderId="0" xfId="14" applyFont="1" applyFill="1"/>
    <xf numFmtId="181" fontId="156" fillId="18" borderId="0" xfId="16" applyNumberFormat="1" applyFont="1" applyFill="1" applyAlignment="1">
      <alignment horizontal="right"/>
    </xf>
    <xf numFmtId="165" fontId="156" fillId="0" borderId="0" xfId="14" applyNumberFormat="1" applyFont="1" applyAlignment="1">
      <alignment horizontal="center" wrapText="1"/>
    </xf>
    <xf numFmtId="0" fontId="156" fillId="0" borderId="0" xfId="14" applyFont="1"/>
    <xf numFmtId="181" fontId="156" fillId="0" borderId="0" xfId="16" applyNumberFormat="1" applyFont="1"/>
    <xf numFmtId="181" fontId="156" fillId="18" borderId="0" xfId="16" applyNumberFormat="1" applyFont="1" applyFill="1"/>
    <xf numFmtId="181" fontId="165" fillId="0" borderId="14" xfId="16" applyNumberFormat="1" applyFont="1" applyBorder="1" applyAlignment="1">
      <alignment horizontal="right" wrapText="1"/>
    </xf>
    <xf numFmtId="0" fontId="152" fillId="0" borderId="0" xfId="14" applyFont="1" applyAlignment="1">
      <alignment horizontal="center"/>
    </xf>
    <xf numFmtId="1" fontId="15" fillId="0" borderId="0" xfId="10" applyFont="1" applyAlignment="1" applyProtection="1">
      <alignment horizontal="centerContinuous" wrapText="1"/>
      <protection locked="0"/>
    </xf>
    <xf numFmtId="0" fontId="8" fillId="0" borderId="0" xfId="3" applyFont="1" applyAlignment="1">
      <alignment horizontal="centerContinuous" wrapText="1"/>
    </xf>
    <xf numFmtId="1" fontId="16" fillId="0" borderId="0" xfId="10" applyFont="1" applyAlignment="1" applyProtection="1">
      <alignment horizontal="centerContinuous" wrapText="1"/>
      <protection locked="0"/>
    </xf>
    <xf numFmtId="0" fontId="5" fillId="0" borderId="0" xfId="3" applyAlignment="1">
      <alignment horizontal="centerContinuous" wrapText="1"/>
    </xf>
    <xf numFmtId="2" fontId="16" fillId="0" borderId="0" xfId="10" applyNumberFormat="1" applyFont="1" applyAlignment="1" applyProtection="1">
      <alignment horizontal="centerContinuous" wrapText="1"/>
      <protection locked="0"/>
    </xf>
    <xf numFmtId="0" fontId="8" fillId="0" borderId="0" xfId="3" applyFont="1" applyAlignment="1" applyProtection="1">
      <alignment horizontal="centerContinuous" wrapText="1"/>
      <protection locked="0"/>
    </xf>
    <xf numFmtId="1" fontId="15" fillId="0" borderId="0" xfId="10" applyFont="1" applyAlignment="1" applyProtection="1">
      <alignment horizontal="centerContinuous" vertical="top" wrapText="1"/>
      <protection locked="0"/>
    </xf>
    <xf numFmtId="0" fontId="8" fillId="19" borderId="0" xfId="3" applyFont="1" applyFill="1" applyProtection="1">
      <protection locked="0"/>
    </xf>
    <xf numFmtId="0" fontId="5" fillId="19" borderId="0" xfId="3" applyFill="1"/>
    <xf numFmtId="1" fontId="8" fillId="19" borderId="0" xfId="3" applyNumberFormat="1" applyFont="1" applyFill="1" applyProtection="1">
      <protection locked="0"/>
    </xf>
    <xf numFmtId="0" fontId="15" fillId="19" borderId="0" xfId="3" applyFont="1" applyFill="1" applyProtection="1">
      <protection locked="0"/>
    </xf>
    <xf numFmtId="0" fontId="16" fillId="19" borderId="0" xfId="3" applyFont="1" applyFill="1" applyAlignment="1" applyProtection="1">
      <alignment horizontal="right"/>
      <protection locked="0"/>
    </xf>
    <xf numFmtId="0" fontId="8" fillId="19" borderId="1" xfId="3" applyFont="1" applyFill="1" applyBorder="1"/>
    <xf numFmtId="1" fontId="5" fillId="19" borderId="0" xfId="3" applyNumberFormat="1" applyFill="1"/>
    <xf numFmtId="0" fontId="5" fillId="19" borderId="0" xfId="3" applyFill="1" applyProtection="1">
      <protection locked="0"/>
    </xf>
    <xf numFmtId="0" fontId="8" fillId="19" borderId="1" xfId="3" applyFont="1" applyFill="1" applyBorder="1" applyProtection="1">
      <protection locked="0"/>
    </xf>
    <xf numFmtId="1" fontId="5" fillId="19" borderId="0" xfId="3" applyNumberFormat="1" applyFill="1" applyProtection="1">
      <protection locked="0"/>
    </xf>
    <xf numFmtId="0" fontId="156" fillId="19" borderId="14" xfId="14" applyFont="1" applyFill="1" applyBorder="1" applyAlignment="1">
      <alignment horizontal="center" wrapText="1"/>
    </xf>
    <xf numFmtId="2" fontId="156" fillId="18" borderId="0" xfId="16" applyNumberFormat="1" applyFont="1" applyFill="1"/>
    <xf numFmtId="2" fontId="153" fillId="18" borderId="0" xfId="14" applyNumberFormat="1" applyFont="1" applyFill="1" applyAlignment="1">
      <alignment horizontal="center" wrapText="1"/>
    </xf>
    <xf numFmtId="2" fontId="153" fillId="0" borderId="0" xfId="14" applyNumberFormat="1" applyFont="1" applyAlignment="1">
      <alignment horizontal="center" wrapText="1"/>
    </xf>
    <xf numFmtId="2" fontId="165" fillId="0" borderId="14" xfId="16" applyNumberFormat="1" applyFont="1" applyBorder="1" applyAlignment="1">
      <alignment horizontal="right" wrapText="1"/>
    </xf>
    <xf numFmtId="2" fontId="153" fillId="18" borderId="0" xfId="14" applyNumberFormat="1" applyFont="1" applyFill="1" applyAlignment="1">
      <alignment horizontal="right" wrapText="1"/>
    </xf>
    <xf numFmtId="2" fontId="153" fillId="0" borderId="0" xfId="14" applyNumberFormat="1" applyFont="1" applyAlignment="1">
      <alignment horizontal="right" wrapText="1"/>
    </xf>
    <xf numFmtId="2" fontId="153" fillId="0" borderId="14" xfId="14" applyNumberFormat="1" applyFont="1" applyBorder="1" applyAlignment="1">
      <alignment horizontal="center" wrapText="1"/>
    </xf>
    <xf numFmtId="2" fontId="156" fillId="19" borderId="14" xfId="14" applyNumberFormat="1" applyFont="1" applyFill="1" applyBorder="1" applyAlignment="1">
      <alignment horizontal="center" wrapText="1"/>
    </xf>
    <xf numFmtId="0" fontId="166" fillId="0" borderId="0" xfId="0" applyFont="1"/>
    <xf numFmtId="0" fontId="166" fillId="15" borderId="0" xfId="0" applyFont="1" applyFill="1"/>
    <xf numFmtId="0" fontId="166" fillId="15" borderId="0" xfId="0" applyFont="1" applyFill="1" applyAlignment="1">
      <alignment horizontal="center"/>
    </xf>
    <xf numFmtId="0" fontId="167" fillId="15" borderId="0" xfId="0" applyFont="1" applyFill="1" applyAlignment="1">
      <alignment horizontal="center"/>
    </xf>
    <xf numFmtId="169" fontId="166" fillId="0" borderId="0" xfId="0" applyNumberFormat="1" applyFont="1"/>
    <xf numFmtId="2" fontId="166" fillId="0" borderId="0" xfId="0" applyNumberFormat="1" applyFont="1"/>
    <xf numFmtId="2" fontId="166" fillId="3" borderId="0" xfId="0" applyNumberFormat="1" applyFont="1" applyFill="1"/>
    <xf numFmtId="2" fontId="166" fillId="16" borderId="0" xfId="0" applyNumberFormat="1" applyFont="1" applyFill="1"/>
    <xf numFmtId="40" fontId="8" fillId="0" borderId="3" xfId="1" applyNumberFormat="1" applyFont="1" applyFill="1" applyBorder="1" applyAlignment="1" applyProtection="1">
      <alignment horizontal="right"/>
      <protection locked="0"/>
    </xf>
    <xf numFmtId="43" fontId="8" fillId="0" borderId="0" xfId="1" applyFont="1" applyFill="1" applyBorder="1" applyAlignment="1" applyProtection="1">
      <alignment horizontal="right"/>
      <protection locked="0"/>
    </xf>
    <xf numFmtId="4" fontId="16" fillId="4" borderId="18" xfId="3" applyNumberFormat="1" applyFont="1" applyFill="1" applyBorder="1" applyAlignment="1">
      <alignment horizontal="right"/>
    </xf>
    <xf numFmtId="4" fontId="16" fillId="4" borderId="16" xfId="3" applyNumberFormat="1" applyFont="1" applyFill="1" applyBorder="1" applyAlignment="1">
      <alignment horizontal="right"/>
    </xf>
    <xf numFmtId="2" fontId="14" fillId="4" borderId="3" xfId="3" applyNumberFormat="1" applyFont="1" applyFill="1" applyBorder="1" applyAlignment="1" applyProtection="1">
      <alignment horizontal="center"/>
      <protection locked="0"/>
    </xf>
    <xf numFmtId="4" fontId="14" fillId="4" borderId="3" xfId="3" applyNumberFormat="1" applyFont="1" applyFill="1" applyBorder="1" applyAlignment="1">
      <alignment horizontal="center"/>
    </xf>
    <xf numFmtId="2" fontId="16" fillId="4" borderId="3" xfId="3" applyNumberFormat="1" applyFont="1" applyFill="1" applyBorder="1" applyAlignment="1">
      <alignment horizontal="center"/>
    </xf>
    <xf numFmtId="2" fontId="8" fillId="4" borderId="3" xfId="3" applyNumberFormat="1" applyFont="1" applyFill="1" applyBorder="1" applyAlignment="1">
      <alignment horizontal="center"/>
    </xf>
    <xf numFmtId="1" fontId="168" fillId="0" borderId="0" xfId="10" applyFont="1" applyProtection="1">
      <protection locked="0"/>
    </xf>
    <xf numFmtId="1" fontId="0" fillId="20" borderId="0" xfId="0" applyNumberFormat="1" applyFill="1"/>
    <xf numFmtId="0" fontId="166" fillId="20" borderId="0" xfId="0" applyFont="1" applyFill="1"/>
    <xf numFmtId="0" fontId="24" fillId="0" borderId="0" xfId="0" applyFont="1" applyAlignment="1">
      <alignment horizontal="center" vertical="top"/>
    </xf>
    <xf numFmtId="0" fontId="5" fillId="0" borderId="0" xfId="0" applyFont="1" applyAlignment="1">
      <alignment horizontal="left" vertical="top" wrapText="1"/>
    </xf>
    <xf numFmtId="2" fontId="169" fillId="0" borderId="22" xfId="14" applyNumberFormat="1" applyFont="1" applyBorder="1" applyAlignment="1">
      <alignment horizontal="center" wrapText="1"/>
    </xf>
    <xf numFmtId="170" fontId="169" fillId="0" borderId="22" xfId="14" applyNumberFormat="1" applyFont="1" applyBorder="1" applyAlignment="1">
      <alignment horizontal="center" wrapText="1"/>
    </xf>
    <xf numFmtId="0" fontId="170" fillId="0" borderId="0" xfId="0" applyFont="1" applyAlignment="1">
      <alignment horizontal="left" vertical="top" wrapText="1"/>
    </xf>
    <xf numFmtId="0" fontId="14" fillId="0" borderId="0" xfId="3" applyFont="1" applyAlignment="1" applyProtection="1">
      <alignment horizontal="left" vertical="top" wrapText="1"/>
      <protection locked="0"/>
    </xf>
    <xf numFmtId="0" fontId="117" fillId="0" borderId="0" xfId="0" applyFont="1" applyAlignment="1">
      <alignment horizontal="center"/>
    </xf>
    <xf numFmtId="0" fontId="108" fillId="7" borderId="0" xfId="7" applyFont="1" applyFill="1" applyAlignment="1">
      <alignment horizontal="center" vertical="top" wrapText="1"/>
    </xf>
    <xf numFmtId="0" fontId="138" fillId="0" borderId="0" xfId="0" applyFont="1" applyAlignment="1">
      <alignment horizontal="center"/>
    </xf>
    <xf numFmtId="0" fontId="14" fillId="0" borderId="17" xfId="0" applyFont="1" applyBorder="1" applyAlignment="1" applyProtection="1">
      <alignment horizontal="center"/>
      <protection locked="0"/>
    </xf>
    <xf numFmtId="0" fontId="14" fillId="0" borderId="0" xfId="0" applyFont="1" applyAlignment="1" applyProtection="1">
      <alignment horizontal="center"/>
      <protection locked="0"/>
    </xf>
    <xf numFmtId="0" fontId="44" fillId="0" borderId="23" xfId="8" applyFont="1" applyBorder="1" applyAlignment="1" applyProtection="1">
      <alignment horizontal="center"/>
      <protection locked="0"/>
    </xf>
    <xf numFmtId="0" fontId="44" fillId="0" borderId="22" xfId="8" applyFont="1" applyBorder="1" applyAlignment="1" applyProtection="1">
      <alignment horizontal="center"/>
      <protection locked="0"/>
    </xf>
    <xf numFmtId="0" fontId="44" fillId="0" borderId="24" xfId="8" applyFont="1" applyBorder="1" applyAlignment="1" applyProtection="1">
      <alignment horizontal="center"/>
      <protection locked="0"/>
    </xf>
    <xf numFmtId="0" fontId="24" fillId="0" borderId="20" xfId="8" applyFont="1" applyBorder="1" applyAlignment="1" applyProtection="1">
      <alignment horizontal="center" vertical="center"/>
      <protection locked="0"/>
    </xf>
    <xf numFmtId="0" fontId="24" fillId="0" borderId="13" xfId="8" applyFont="1" applyBorder="1" applyAlignment="1" applyProtection="1">
      <alignment horizontal="center" vertical="center"/>
      <protection locked="0"/>
    </xf>
    <xf numFmtId="0" fontId="24" fillId="0" borderId="0" xfId="8" applyFont="1" applyAlignment="1" applyProtection="1">
      <alignment horizontal="center" vertical="center"/>
      <protection locked="0"/>
    </xf>
    <xf numFmtId="0" fontId="24" fillId="0" borderId="19" xfId="8" applyFont="1" applyBorder="1" applyAlignment="1" applyProtection="1">
      <alignment horizontal="center" vertical="center"/>
      <protection locked="0"/>
    </xf>
    <xf numFmtId="0" fontId="33" fillId="0" borderId="0" xfId="3" applyFont="1" applyAlignment="1" applyProtection="1">
      <alignment horizontal="left"/>
      <protection locked="0"/>
    </xf>
    <xf numFmtId="0" fontId="52" fillId="0" borderId="0" xfId="8" applyFont="1" applyAlignment="1" applyProtection="1">
      <alignment horizontal="left"/>
      <protection locked="0"/>
    </xf>
    <xf numFmtId="0" fontId="113" fillId="0" borderId="14" xfId="0" applyFont="1" applyBorder="1" applyAlignment="1">
      <alignment horizontal="center" vertical="center"/>
    </xf>
    <xf numFmtId="0" fontId="112" fillId="0" borderId="0" xfId="0" applyFont="1" applyAlignment="1">
      <alignment horizontal="left" vertical="center"/>
    </xf>
    <xf numFmtId="0" fontId="121" fillId="0" borderId="0" xfId="3" applyFont="1" applyAlignment="1">
      <alignment horizontal="center"/>
    </xf>
    <xf numFmtId="0" fontId="122" fillId="0" borderId="0" xfId="3" applyFont="1" applyAlignment="1">
      <alignment horizontal="center"/>
    </xf>
    <xf numFmtId="0" fontId="153" fillId="0" borderId="0" xfId="14" applyFont="1" applyAlignment="1">
      <alignment horizontal="center" wrapText="1"/>
    </xf>
    <xf numFmtId="0" fontId="152" fillId="0" borderId="0" xfId="14" applyFont="1" applyAlignment="1">
      <alignment horizontal="left" vertical="top" wrapText="1"/>
    </xf>
    <xf numFmtId="181" fontId="153" fillId="18" borderId="0" xfId="14" applyNumberFormat="1" applyFont="1" applyFill="1" applyAlignment="1">
      <alignment horizontal="center" wrapText="1"/>
    </xf>
  </cellXfs>
  <cellStyles count="17">
    <cellStyle name="Comma" xfId="1" builtinId="3"/>
    <cellStyle name="Currency 2" xfId="16" xr:uid="{84F7E149-3071-4A07-982A-85C00628DD09}"/>
    <cellStyle name="Currency_Estimate" xfId="2" xr:uid="{00000000-0005-0000-0000-000001000000}"/>
    <cellStyle name="Normal" xfId="0" builtinId="0"/>
    <cellStyle name="Normal 2" xfId="9" xr:uid="{00000000-0005-0000-0000-000003000000}"/>
    <cellStyle name="Normal 2 2" xfId="13" xr:uid="{50405628-35B8-4D81-A94E-F7F4CD22CA14}"/>
    <cellStyle name="Normal 3" xfId="11" xr:uid="{00000000-0005-0000-0000-000004000000}"/>
    <cellStyle name="Normal 4" xfId="12" xr:uid="{FE9EF64F-B5DF-49CF-A32C-2028DDD6ECAF}"/>
    <cellStyle name="Normal 5" xfId="14" xr:uid="{D945AA72-3BF8-4E13-9F21-D95625F2DD3C}"/>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 name="Percent 2" xfId="15" xr:uid="{433C31F5-0266-46DD-B0DE-6CCAB33C7CF7}"/>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2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47625</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2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523875</xdr:colOff>
          <xdr:row>2</xdr:row>
          <xdr:rowOff>219075</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2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133350</xdr:colOff>
          <xdr:row>3</xdr:row>
          <xdr:rowOff>133350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2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85725</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2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333375</xdr:colOff>
          <xdr:row>5</xdr:row>
          <xdr:rowOff>57150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2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276225</xdr:colOff>
          <xdr:row>6</xdr:row>
          <xdr:rowOff>28575</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2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247650</xdr:colOff>
          <xdr:row>7</xdr:row>
          <xdr:rowOff>9525</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2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504825</xdr:colOff>
          <xdr:row>7</xdr:row>
          <xdr:rowOff>161925</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2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66675</xdr:colOff>
          <xdr:row>8</xdr:row>
          <xdr:rowOff>142875</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2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123825</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2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561975</xdr:colOff>
          <xdr:row>9</xdr:row>
          <xdr:rowOff>123825</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2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43815</xdr:colOff>
      <xdr:row>23</xdr:row>
      <xdr:rowOff>15240</xdr:rowOff>
    </xdr:from>
    <xdr:to>
      <xdr:col>19</xdr:col>
      <xdr:colOff>510540</xdr:colOff>
      <xdr:row>49</xdr:row>
      <xdr:rowOff>114300</xdr:rowOff>
    </xdr:to>
    <xdr:sp macro="" textlink="">
      <xdr:nvSpPr>
        <xdr:cNvPr id="2" name="Text 4">
          <a:extLst>
            <a:ext uri="{FF2B5EF4-FFF2-40B4-BE49-F238E27FC236}">
              <a16:creationId xmlns:a16="http://schemas.microsoft.com/office/drawing/2014/main" id="{00000000-0008-0000-0100-000002000000}"/>
            </a:ext>
          </a:extLst>
        </xdr:cNvPr>
        <xdr:cNvSpPr txBox="1">
          <a:spLocks noChangeArrowheads="1"/>
        </xdr:cNvSpPr>
      </xdr:nvSpPr>
      <xdr:spPr bwMode="auto">
        <a:xfrm>
          <a:off x="43815" y="4168140"/>
          <a:ext cx="6189345" cy="4457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indent="0" rtl="0"/>
          <a:r>
            <a:rPr lang="en-GB" sz="1000" b="1" i="0" u="sng" strike="noStrike" baseline="0">
              <a:solidFill>
                <a:srgbClr val="000000"/>
              </a:solidFill>
              <a:latin typeface="Arial"/>
              <a:ea typeface="+mn-ea"/>
              <a:cs typeface="Arial"/>
            </a:rPr>
            <a:t>CONDITIONS:</a:t>
          </a:r>
        </a:p>
        <a:p>
          <a:pPr rtl="0"/>
          <a:r>
            <a:rPr lang="en-GB" sz="1000" b="0" i="0" u="none" strike="noStrike" baseline="0">
              <a:solidFill>
                <a:srgbClr val="000000"/>
              </a:solidFill>
              <a:latin typeface="Arial"/>
              <a:ea typeface="+mn-ea"/>
              <a:cs typeface="Arial"/>
            </a:rPr>
            <a:t>1) Quote is valid for 30 days from above date.</a:t>
          </a:r>
        </a:p>
        <a:p>
          <a:pPr rtl="0"/>
          <a:r>
            <a:rPr lang="en-GB" sz="1000" b="0" i="0" u="none" strike="noStrike" baseline="0">
              <a:solidFill>
                <a:srgbClr val="000000"/>
              </a:solidFill>
              <a:latin typeface="Arial"/>
              <a:ea typeface="+mn-ea"/>
              <a:cs typeface="Arial"/>
            </a:rPr>
            <a:t>3) We have assumed that we will be allowed to work unhindered between 7.00 to 15.30 on weekdays</a:t>
          </a:r>
          <a:r>
            <a:rPr lang="en-GB" sz="1100" b="0" i="0" baseline="0">
              <a:effectLst/>
              <a:latin typeface="+mn-lt"/>
              <a:ea typeface="+mn-ea"/>
              <a:cs typeface="+mn-cs"/>
            </a:rPr>
            <a:t>.</a:t>
          </a:r>
        </a:p>
        <a:p>
          <a:pPr rtl="0"/>
          <a:endParaRPr lang="en-GB" sz="1000">
            <a:effectLst/>
          </a:endParaRPr>
        </a:p>
        <a:p>
          <a:pPr rtl="0"/>
          <a:r>
            <a:rPr lang="en-GB" sz="1000" b="1" i="0" u="sng" strike="noStrike" baseline="0">
              <a:solidFill>
                <a:srgbClr val="000000"/>
              </a:solidFill>
              <a:latin typeface="Arial"/>
              <a:ea typeface="+mn-ea"/>
              <a:cs typeface="Arial"/>
            </a:rPr>
            <a:t>EXCLUSIONS:</a:t>
          </a:r>
        </a:p>
        <a:p>
          <a:pPr marL="0" indent="0" algn="l" rtl="0">
            <a:defRPr sz="1000"/>
          </a:pPr>
          <a:r>
            <a:rPr lang="en-GB" sz="1000" b="0" i="0" u="none" strike="noStrike" baseline="0">
              <a:solidFill>
                <a:srgbClr val="000000"/>
              </a:solidFill>
              <a:latin typeface="Arial"/>
              <a:ea typeface="+mn-ea"/>
              <a:cs typeface="Arial"/>
            </a:rPr>
            <a:t>1) Any builders' work except conduit chases in walls / as per contract.</a:t>
          </a:r>
        </a:p>
        <a:p>
          <a:pPr marL="0" indent="0" algn="l" rtl="0">
            <a:defRPr sz="1000"/>
          </a:pPr>
          <a:r>
            <a:rPr lang="en-GB" sz="1000" b="0" i="0" u="none" strike="noStrike" baseline="0">
              <a:solidFill>
                <a:srgbClr val="000000"/>
              </a:solidFill>
              <a:latin typeface="Arial"/>
              <a:ea typeface="+mn-ea"/>
              <a:cs typeface="Arial"/>
            </a:rPr>
            <a:t>2) Work outside our normal working hours.</a:t>
          </a:r>
        </a:p>
        <a:p>
          <a:pPr marL="0" indent="0" algn="l" rtl="0">
            <a:defRPr sz="1000"/>
          </a:pPr>
          <a:r>
            <a:rPr lang="en-GB" sz="1000" b="0" i="0" u="none" strike="noStrike" baseline="0">
              <a:solidFill>
                <a:srgbClr val="000000"/>
              </a:solidFill>
              <a:latin typeface="Arial"/>
              <a:ea typeface="+mn-ea"/>
              <a:cs typeface="Arial"/>
            </a:rPr>
            <a:t>3) Security of the works after normal working hours.</a:t>
          </a:r>
        </a:p>
        <a:p>
          <a:pPr marL="0" indent="0" algn="l" rtl="0">
            <a:defRPr sz="1000"/>
          </a:pPr>
          <a:r>
            <a:rPr lang="en-GB" sz="1000" b="0" i="0" u="none" strike="noStrike" baseline="0">
              <a:solidFill>
                <a:srgbClr val="000000"/>
              </a:solidFill>
              <a:latin typeface="Arial"/>
              <a:ea typeface="+mn-ea"/>
              <a:cs typeface="Arial"/>
            </a:rPr>
            <a:t>4) Cutting of holes in gypsum partitions or false ceilings to accommodate electrical devices.</a:t>
          </a:r>
        </a:p>
        <a:p>
          <a:pPr marL="0" indent="0" algn="l" rtl="0">
            <a:defRPr sz="1000"/>
          </a:pPr>
          <a:r>
            <a:rPr lang="en-GB" sz="1000" b="0" i="0" u="none" strike="noStrike" baseline="0">
              <a:solidFill>
                <a:srgbClr val="000000"/>
              </a:solidFill>
              <a:latin typeface="Arial"/>
              <a:ea typeface="+mn-ea"/>
              <a:cs typeface="Arial"/>
            </a:rPr>
            <a:t>5) Dismantling of any existing installation / false ceiling / furnishings unless included in attached BOQ.</a:t>
          </a:r>
        </a:p>
        <a:p>
          <a:pPr marL="0" indent="0" algn="l" rtl="0">
            <a:defRPr sz="1000"/>
          </a:pPr>
          <a:r>
            <a:rPr lang="en-GB" sz="1000" b="0" i="0" u="none" strike="noStrike" baseline="0">
              <a:solidFill>
                <a:srgbClr val="000000"/>
              </a:solidFill>
              <a:latin typeface="Arial"/>
              <a:ea typeface="+mn-ea"/>
              <a:cs typeface="Arial"/>
            </a:rPr>
            <a:t>6) Anything not mentioned in our Bill of Quantities.</a:t>
          </a: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76201</xdr:rowOff>
    </xdr:from>
    <xdr:to>
      <xdr:col>19</xdr:col>
      <xdr:colOff>518160</xdr:colOff>
      <xdr:row>16</xdr:row>
      <xdr:rowOff>15241</xdr:rowOff>
    </xdr:to>
    <xdr:sp macro="" textlink="">
      <xdr:nvSpPr>
        <xdr:cNvPr id="3" name="Text 6">
          <a:extLst>
            <a:ext uri="{FF2B5EF4-FFF2-40B4-BE49-F238E27FC236}">
              <a16:creationId xmlns:a16="http://schemas.microsoft.com/office/drawing/2014/main" id="{00000000-0008-0000-0100-000003000000}"/>
            </a:ext>
          </a:extLst>
        </xdr:cNvPr>
        <xdr:cNvSpPr txBox="1">
          <a:spLocks noChangeArrowheads="1"/>
        </xdr:cNvSpPr>
      </xdr:nvSpPr>
      <xdr:spPr bwMode="auto">
        <a:xfrm>
          <a:off x="28575" y="2042161"/>
          <a:ext cx="6212205" cy="94488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Arial"/>
              <a:cs typeface="Arial"/>
            </a:rPr>
            <a:t>DESCRIPTION OF WORKS / SPECIFICATIONS:</a:t>
          </a:r>
          <a:endParaRPr lang="en-GB" sz="1000" b="0" i="0" u="none" strike="noStrike" baseline="0">
            <a:solidFill>
              <a:srgbClr val="000000"/>
            </a:solidFill>
            <a:latin typeface="Arial"/>
            <a:cs typeface="Arial"/>
          </a:endParaRPr>
        </a:p>
        <a:p>
          <a:pPr rtl="0"/>
          <a:r>
            <a:rPr lang="en-GB" sz="1000" b="0" i="0" u="none" strike="noStrike" baseline="0">
              <a:solidFill>
                <a:srgbClr val="000000"/>
              </a:solidFill>
              <a:latin typeface="Arial"/>
              <a:cs typeface="Arial"/>
            </a:rPr>
            <a:t>1) As per the attached BOQ.</a:t>
          </a:r>
          <a:endParaRPr lang="en-GB" sz="1000" b="0" i="0" u="none" strike="noStrike" baseline="0">
            <a:solidFill>
              <a:srgbClr val="000000"/>
            </a:solidFill>
            <a:latin typeface="Arial"/>
            <a:ea typeface="+mn-ea"/>
            <a:cs typeface="Arial"/>
          </a:endParaRPr>
        </a:p>
        <a:p>
          <a:pPr rtl="0"/>
          <a:r>
            <a:rPr lang="en-GB" sz="1000" b="0" i="0" u="none" strike="noStrike" baseline="0">
              <a:solidFill>
                <a:srgbClr val="000000"/>
              </a:solidFill>
              <a:latin typeface="Arial"/>
              <a:ea typeface="+mn-ea"/>
              <a:cs typeface="Arial"/>
            </a:rPr>
            <a:t>2) Technical literature for the items offered is attached.</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17"/>
  <sheetViews>
    <sheetView workbookViewId="0">
      <selection activeCell="C15" sqref="C15"/>
    </sheetView>
  </sheetViews>
  <sheetFormatPr defaultRowHeight="13.2"/>
  <cols>
    <col min="1" max="1" width="7.77734375" style="462" customWidth="1"/>
    <col min="2" max="2" width="14.109375" customWidth="1"/>
    <col min="3" max="3" width="48.44140625" customWidth="1"/>
    <col min="4" max="4" width="9.5546875" customWidth="1"/>
    <col min="6" max="6" width="10.109375" customWidth="1"/>
    <col min="9" max="9" width="7.6640625" customWidth="1"/>
  </cols>
  <sheetData>
    <row r="1" spans="1:3" ht="17.399999999999999">
      <c r="A1" s="463" t="s">
        <v>241</v>
      </c>
      <c r="C1" s="281"/>
    </row>
    <row r="2" spans="1:3">
      <c r="A2" s="614"/>
      <c r="B2" s="607"/>
    </row>
    <row r="3" spans="1:3" ht="26.4">
      <c r="A3" s="609">
        <v>1</v>
      </c>
      <c r="B3" s="608" t="s">
        <v>447</v>
      </c>
      <c r="C3" s="731" t="s">
        <v>449</v>
      </c>
    </row>
    <row r="4" spans="1:3">
      <c r="A4" s="609"/>
      <c r="B4" s="607"/>
    </row>
    <row r="5" spans="1:3" ht="39.6">
      <c r="A5" s="609">
        <v>2</v>
      </c>
      <c r="B5" s="608" t="s">
        <v>448</v>
      </c>
      <c r="C5" s="731" t="s">
        <v>456</v>
      </c>
    </row>
    <row r="6" spans="1:3">
      <c r="A6" s="730"/>
    </row>
    <row r="7" spans="1:3" ht="26.4">
      <c r="A7" s="609">
        <v>3</v>
      </c>
      <c r="B7" s="608" t="s">
        <v>450</v>
      </c>
      <c r="C7" s="734" t="s">
        <v>459</v>
      </c>
    </row>
    <row r="8" spans="1:3">
      <c r="A8" s="730"/>
      <c r="B8" s="607"/>
    </row>
    <row r="9" spans="1:3" ht="66">
      <c r="A9" s="609">
        <v>4</v>
      </c>
      <c r="B9" s="608" t="s">
        <v>451</v>
      </c>
      <c r="C9" s="731" t="s">
        <v>457</v>
      </c>
    </row>
    <row r="10" spans="1:3">
      <c r="A10" s="730"/>
      <c r="B10" s="607"/>
    </row>
    <row r="11" spans="1:3" ht="39.6">
      <c r="A11" s="609">
        <v>5</v>
      </c>
      <c r="B11" s="731" t="s">
        <v>463</v>
      </c>
      <c r="C11" s="731" t="s">
        <v>465</v>
      </c>
    </row>
    <row r="12" spans="1:3">
      <c r="A12" s="730"/>
      <c r="B12" s="607"/>
    </row>
    <row r="13" spans="1:3" ht="26.4">
      <c r="A13" s="609">
        <v>6</v>
      </c>
      <c r="B13" s="608" t="s">
        <v>452</v>
      </c>
      <c r="C13" s="731" t="s">
        <v>464</v>
      </c>
    </row>
    <row r="14" spans="1:3">
      <c r="A14" s="730"/>
    </row>
    <row r="15" spans="1:3">
      <c r="A15" s="730"/>
    </row>
    <row r="16" spans="1:3">
      <c r="A16" s="730"/>
    </row>
    <row r="17" spans="1:1">
      <c r="A17" s="730"/>
    </row>
  </sheetData>
  <phoneticPr fontId="34"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69"/>
  <sheetViews>
    <sheetView topLeftCell="A54" workbookViewId="0">
      <selection activeCell="D76" sqref="D76"/>
    </sheetView>
  </sheetViews>
  <sheetFormatPr defaultColWidth="9.109375" defaultRowHeight="13.8"/>
  <cols>
    <col min="1" max="1" width="5.88671875" style="34" customWidth="1"/>
    <col min="2" max="2" width="6.44140625" style="34" customWidth="1"/>
    <col min="3" max="3" width="3.88671875" style="34" hidden="1" customWidth="1"/>
    <col min="4" max="4" width="20.88671875" style="34" customWidth="1"/>
    <col min="5" max="5" width="13.44140625" style="34" customWidth="1"/>
    <col min="6" max="6" width="13.6640625" style="34" customWidth="1"/>
    <col min="7" max="7" width="9.6640625" style="34" hidden="1" customWidth="1"/>
    <col min="8" max="8" width="7.6640625" style="34" hidden="1" customWidth="1"/>
    <col min="9" max="11" width="8.6640625" style="34" hidden="1" customWidth="1"/>
    <col min="12" max="12" width="6.6640625" style="34" hidden="1" customWidth="1"/>
    <col min="13" max="16" width="8.6640625" style="34" hidden="1" customWidth="1"/>
    <col min="17" max="17" width="9.88671875" style="34" customWidth="1"/>
    <col min="18" max="18" width="10" style="34" customWidth="1"/>
    <col min="19" max="19" width="8.6640625" style="34" customWidth="1"/>
    <col min="20" max="20" width="9.33203125" style="34" customWidth="1"/>
    <col min="21" max="21" width="6.33203125" style="34" customWidth="1"/>
    <col min="22" max="22" width="4.6640625" style="320" customWidth="1"/>
    <col min="23" max="23" width="5" style="320" bestFit="1" customWidth="1"/>
    <col min="24" max="24" width="4.88671875" style="320" bestFit="1" customWidth="1"/>
    <col min="25" max="25" width="4.33203125" style="320" bestFit="1" customWidth="1"/>
    <col min="26" max="26" width="5.33203125" style="320" customWidth="1"/>
    <col min="27" max="27" width="4" style="320" customWidth="1"/>
    <col min="28" max="28" width="4.109375" style="320" customWidth="1"/>
    <col min="29" max="32" width="9.109375" style="34" hidden="1" customWidth="1"/>
    <col min="33" max="33" width="12.88671875" style="34" hidden="1" customWidth="1"/>
    <col min="34" max="34" width="10.6640625" style="34" hidden="1" customWidth="1"/>
    <col min="35" max="35" width="11.44140625" style="34" hidden="1" customWidth="1"/>
    <col min="36" max="36" width="9.109375" style="34" hidden="1" customWidth="1"/>
    <col min="37" max="37" width="13.6640625" style="34" hidden="1" customWidth="1"/>
    <col min="38" max="38" width="9.109375" style="34" customWidth="1"/>
    <col min="39" max="40" width="12" style="34" customWidth="1"/>
    <col min="41" max="41" width="11.109375" style="34" customWidth="1"/>
    <col min="42" max="42" width="9.109375" style="34" customWidth="1"/>
    <col min="43" max="16384" width="9.109375" style="34"/>
  </cols>
  <sheetData>
    <row r="1" spans="1:42" s="30" customFormat="1" ht="15.6">
      <c r="A1" s="527"/>
      <c r="B1" s="504" t="s">
        <v>0</v>
      </c>
      <c r="C1" s="505">
        <f>ML_Sum!$C1</f>
        <v>1</v>
      </c>
      <c r="D1" s="506" t="str">
        <f>ML_Sum!$D1</f>
        <v>SUNCREST HOTELS plc</v>
      </c>
      <c r="E1" s="507"/>
      <c r="F1" s="508">
        <f>ML_Sum!$F1</f>
        <v>0</v>
      </c>
      <c r="G1" s="544"/>
      <c r="H1"/>
      <c r="I1" s="275">
        <v>1</v>
      </c>
      <c r="J1" s="276">
        <f>ML_Sum!$J1</f>
        <v>1</v>
      </c>
      <c r="K1" s="276">
        <f>ML_Sum!$K1</f>
        <v>1</v>
      </c>
      <c r="L1" s="276">
        <f>ML_Sum!$L1</f>
        <v>1</v>
      </c>
      <c r="M1" s="276">
        <f>ML_Sum!$M1</f>
        <v>1</v>
      </c>
      <c r="N1" s="276">
        <f>ML_Sum!$N1</f>
        <v>1</v>
      </c>
      <c r="O1" s="276">
        <f>ML_Sum!$O1</f>
        <v>1</v>
      </c>
      <c r="P1"/>
      <c r="Q1" s="340" t="str">
        <f>ML_Sum!$Q1</f>
        <v>€</v>
      </c>
      <c r="R1" s="279" t="s">
        <v>1</v>
      </c>
      <c r="S1" s="339" t="str">
        <f>ML_Sum!$S1</f>
        <v>R</v>
      </c>
      <c r="T1" s="456">
        <f>ML_Sum!$T1</f>
        <v>1</v>
      </c>
      <c r="U1" s="457" t="str">
        <f>ML_Sum!W1</f>
        <v>BOQ</v>
      </c>
      <c r="V1" s="458" t="s">
        <v>187</v>
      </c>
      <c r="W1" s="528" t="s">
        <v>177</v>
      </c>
      <c r="X1" s="459" t="s">
        <v>178</v>
      </c>
      <c r="Y1" s="529" t="s">
        <v>179</v>
      </c>
      <c r="Z1" s="460" t="s">
        <v>175</v>
      </c>
      <c r="AA1" s="460" t="s">
        <v>180</v>
      </c>
      <c r="AB1" s="528" t="s">
        <v>181</v>
      </c>
      <c r="AG1" s="541"/>
      <c r="AH1" s="541"/>
      <c r="AI1" s="541"/>
      <c r="AJ1" s="541"/>
      <c r="AK1" s="542"/>
    </row>
    <row r="2" spans="1:42" s="30" customFormat="1">
      <c r="A2" s="503"/>
      <c r="B2" s="504" t="s">
        <v>2</v>
      </c>
      <c r="C2" s="505">
        <f>ML_Sum!$C2</f>
        <v>1</v>
      </c>
      <c r="D2" s="506" t="str">
        <f>ML_Sum!$D2</f>
        <v>Sunny Cost and Lido Redevelopment</v>
      </c>
      <c r="E2" s="510"/>
      <c r="F2" s="508" t="str">
        <f>ML_Sum!$F2</f>
        <v>Electrical</v>
      </c>
      <c r="G2" s="509"/>
      <c r="H2"/>
      <c r="I2" s="275">
        <v>2</v>
      </c>
      <c r="J2" s="276">
        <f>ML_Sum!$J2</f>
        <v>1</v>
      </c>
      <c r="K2" s="276">
        <f>ML_Sum!$K2</f>
        <v>1</v>
      </c>
      <c r="L2" s="276">
        <f>ML_Sum!$L2</f>
        <v>1</v>
      </c>
      <c r="M2" s="276">
        <f>ML_Sum!$M2</f>
        <v>1</v>
      </c>
      <c r="N2" s="276">
        <f>ML_Sum!$N2</f>
        <v>1</v>
      </c>
      <c r="O2" s="276">
        <f>ML_Sum!$O2</f>
        <v>1</v>
      </c>
      <c r="P2"/>
      <c r="Q2" s="346">
        <f>ML_Sum!$Q2</f>
        <v>0</v>
      </c>
      <c r="R2" s="16" t="s">
        <v>3</v>
      </c>
      <c r="S2" s="347">
        <f>ML_Sum!$S2</f>
        <v>1.3</v>
      </c>
      <c r="T2" s="348">
        <f>ML_Sum!$T2</f>
        <v>35.698</v>
      </c>
      <c r="V2" s="320"/>
      <c r="W2" s="320"/>
      <c r="X2" s="320"/>
      <c r="Y2" s="320"/>
      <c r="Z2" s="320"/>
      <c r="AA2" s="320"/>
      <c r="AB2" s="320"/>
    </row>
    <row r="3" spans="1:42" s="30" customFormat="1">
      <c r="A3" s="511"/>
      <c r="B3" s="512" t="s">
        <v>4</v>
      </c>
      <c r="C3" s="505">
        <f>ML_Sum!$C3</f>
        <v>1</v>
      </c>
      <c r="D3" s="506" t="str">
        <f>ML_Sum!$D3</f>
        <v>Sample Room - Electrical for Mechanical</v>
      </c>
      <c r="E3" s="511"/>
      <c r="F3" s="508" t="str">
        <f>ML_Sum!$F3</f>
        <v>Controls Section (Guy)</v>
      </c>
      <c r="G3" s="513"/>
      <c r="H3"/>
      <c r="I3" s="275">
        <v>3</v>
      </c>
      <c r="J3" s="276">
        <f>ML_Sum!$J3</f>
        <v>1</v>
      </c>
      <c r="K3" s="276">
        <f>ML_Sum!$K3</f>
        <v>1</v>
      </c>
      <c r="L3" s="276">
        <f>ML_Sum!$L3</f>
        <v>1</v>
      </c>
      <c r="M3" s="276">
        <f>ML_Sum!$M3</f>
        <v>1</v>
      </c>
      <c r="N3" s="276">
        <f>ML_Sum!$N3</f>
        <v>1</v>
      </c>
      <c r="O3" s="276">
        <f>ML_Sum!$O3</f>
        <v>1</v>
      </c>
      <c r="P3"/>
      <c r="Q3" s="346">
        <f>ML_Sum!$Q3</f>
        <v>0</v>
      </c>
      <c r="R3" s="17" t="s">
        <v>5</v>
      </c>
      <c r="S3" s="347">
        <f>ML_Sum!$S3</f>
        <v>1.3</v>
      </c>
      <c r="T3" s="348">
        <f>ML_Sum!$T3</f>
        <v>35.698</v>
      </c>
      <c r="V3" s="320"/>
      <c r="W3" s="320"/>
      <c r="X3" s="320"/>
      <c r="Y3" s="320"/>
      <c r="Z3" s="320"/>
      <c r="AA3" s="320"/>
      <c r="AB3" s="320"/>
    </row>
    <row r="4" spans="1:42" s="30" customFormat="1">
      <c r="A4" s="514"/>
      <c r="B4" s="504" t="s">
        <v>6</v>
      </c>
      <c r="C4" s="505">
        <f>ML_Sum!$C4</f>
        <v>1</v>
      </c>
      <c r="D4" s="506" t="str">
        <f>ML_Sum!$D4</f>
        <v>ELM25-0699</v>
      </c>
      <c r="E4" s="511"/>
      <c r="F4" s="508">
        <f>ML_Sum!$F4</f>
        <v>0</v>
      </c>
      <c r="G4" s="513"/>
      <c r="H4"/>
      <c r="I4" s="275">
        <v>4</v>
      </c>
      <c r="J4" s="276">
        <f>ML_Sum!$J4</f>
        <v>1</v>
      </c>
      <c r="K4" s="276">
        <f>ML_Sum!$K4</f>
        <v>1</v>
      </c>
      <c r="L4" s="276">
        <f>ML_Sum!$L4</f>
        <v>1</v>
      </c>
      <c r="M4" s="276">
        <f>ML_Sum!$M4</f>
        <v>1</v>
      </c>
      <c r="N4" s="276">
        <f>ML_Sum!$N4</f>
        <v>1</v>
      </c>
      <c r="O4" s="276">
        <f>ML_Sum!$O4</f>
        <v>1</v>
      </c>
      <c r="P4"/>
      <c r="Q4" s="346">
        <f>ML_Sum!$Q4</f>
        <v>0</v>
      </c>
      <c r="R4" s="18" t="s">
        <v>8</v>
      </c>
      <c r="S4" s="347">
        <f>ML_Sum!$S4</f>
        <v>0</v>
      </c>
      <c r="T4" s="348">
        <f>ML_Sum!$T4</f>
        <v>0</v>
      </c>
      <c r="V4" s="320"/>
      <c r="W4" s="320"/>
      <c r="X4" s="320"/>
      <c r="Y4" s="320"/>
      <c r="Z4" s="320"/>
      <c r="AA4" s="320"/>
      <c r="AB4" s="320"/>
    </row>
    <row r="5" spans="1:42" s="30" customFormat="1">
      <c r="A5" s="514"/>
      <c r="B5" s="504" t="s">
        <v>189</v>
      </c>
      <c r="C5" s="505">
        <f>ML_Sum!$C5</f>
        <v>1</v>
      </c>
      <c r="D5" s="506" t="str">
        <f>ML_Sum!$D5</f>
        <v>Sample Room</v>
      </c>
      <c r="E5" s="511"/>
      <c r="F5" s="508">
        <f>ML_Sum!$F5</f>
        <v>0</v>
      </c>
      <c r="G5" s="515"/>
      <c r="H5"/>
      <c r="I5" s="275">
        <v>5</v>
      </c>
      <c r="J5" s="276">
        <f>ML_Sum!$J5</f>
        <v>1</v>
      </c>
      <c r="K5" s="276">
        <f>ML_Sum!$K5</f>
        <v>1</v>
      </c>
      <c r="L5" s="276">
        <f>ML_Sum!$L5</f>
        <v>1</v>
      </c>
      <c r="M5" s="276">
        <f>ML_Sum!$M5</f>
        <v>1</v>
      </c>
      <c r="N5" s="276">
        <f>ML_Sum!$N5</f>
        <v>1</v>
      </c>
      <c r="O5" s="276">
        <f>ML_Sum!$O5</f>
        <v>1</v>
      </c>
      <c r="P5"/>
      <c r="Q5" s="346">
        <f>ML_Sum!$Q5</f>
        <v>0</v>
      </c>
      <c r="R5" s="19" t="s">
        <v>10</v>
      </c>
      <c r="S5" s="347">
        <f>ML_Sum!$S5</f>
        <v>0</v>
      </c>
      <c r="T5" s="348">
        <f>ML_Sum!$T5</f>
        <v>0</v>
      </c>
      <c r="V5" s="320"/>
      <c r="W5" s="320"/>
      <c r="X5" s="320"/>
      <c r="Y5" s="320"/>
      <c r="Z5" s="320"/>
      <c r="AA5" s="320"/>
      <c r="AB5" s="320"/>
    </row>
    <row r="6" spans="1:42" s="30" customFormat="1">
      <c r="A6"/>
      <c r="B6" s="512" t="s">
        <v>9</v>
      </c>
      <c r="C6" s="505">
        <f>ML_Sum!$C6</f>
        <v>1</v>
      </c>
      <c r="D6" s="506" t="str">
        <f>ML_Sum!$D6</f>
        <v>VAT EXCL.</v>
      </c>
      <c r="E6"/>
      <c r="F6" s="508">
        <f>ML_Sum!$F6</f>
        <v>0</v>
      </c>
      <c r="G6" s="515"/>
      <c r="H6"/>
      <c r="I6" s="275">
        <v>6</v>
      </c>
      <c r="J6" s="276">
        <f>ML_Sum!$J6</f>
        <v>1</v>
      </c>
      <c r="K6" s="276">
        <f>ML_Sum!$K6</f>
        <v>1</v>
      </c>
      <c r="L6" s="276">
        <f>ML_Sum!$L6</f>
        <v>1</v>
      </c>
      <c r="M6" s="276">
        <f>ML_Sum!$M6</f>
        <v>1</v>
      </c>
      <c r="N6" s="276">
        <f>ML_Sum!$N6</f>
        <v>1</v>
      </c>
      <c r="O6" s="276">
        <f>ML_Sum!$O6</f>
        <v>1</v>
      </c>
      <c r="P6"/>
      <c r="Q6" s="346">
        <f>ML_Sum!$Q6</f>
        <v>0</v>
      </c>
      <c r="R6" s="20" t="s">
        <v>11</v>
      </c>
      <c r="S6" s="347">
        <f>ML_Sum!$S6</f>
        <v>0</v>
      </c>
      <c r="T6" s="348">
        <f>ML_Sum!$T6</f>
        <v>0</v>
      </c>
      <c r="V6" s="320"/>
      <c r="W6" s="320"/>
      <c r="X6" s="320"/>
      <c r="Y6" s="320"/>
      <c r="Z6" s="320"/>
      <c r="AA6" s="320"/>
      <c r="AB6" s="320"/>
    </row>
    <row r="7" spans="1:42" s="30" customFormat="1">
      <c r="A7" s="503"/>
      <c r="B7" s="512" t="s">
        <v>12</v>
      </c>
      <c r="C7" s="505">
        <f>ML_Sum!$C7</f>
        <v>1</v>
      </c>
      <c r="D7" s="516">
        <v>39364</v>
      </c>
      <c r="E7" s="517"/>
      <c r="F7" s="508">
        <f>ML_Sum!$F7</f>
        <v>0</v>
      </c>
      <c r="G7" s="518"/>
      <c r="H7"/>
      <c r="I7" s="275">
        <v>7</v>
      </c>
      <c r="J7" s="276">
        <f>ML_Sum!$J7</f>
        <v>1</v>
      </c>
      <c r="K7" s="276">
        <f>ML_Sum!$K7</f>
        <v>1</v>
      </c>
      <c r="L7" s="276">
        <f>ML_Sum!$L7</f>
        <v>1</v>
      </c>
      <c r="M7" s="276">
        <f>ML_Sum!$M7</f>
        <v>1</v>
      </c>
      <c r="N7" s="276">
        <f>ML_Sum!$N7</f>
        <v>1</v>
      </c>
      <c r="O7" s="276">
        <f>ML_Sum!$O7</f>
        <v>0</v>
      </c>
      <c r="P7"/>
      <c r="Q7" s="346">
        <f>ML_Sum!$Q7</f>
        <v>0</v>
      </c>
      <c r="R7" s="21" t="s">
        <v>13</v>
      </c>
      <c r="S7" s="347">
        <f>ML_Sum!$S7</f>
        <v>0</v>
      </c>
      <c r="T7" s="348">
        <f>ML_Sum!$T7</f>
        <v>0</v>
      </c>
      <c r="V7" s="320"/>
      <c r="W7" s="320"/>
      <c r="X7" s="320"/>
      <c r="Y7" s="320"/>
      <c r="Z7" s="320"/>
      <c r="AA7" s="320"/>
      <c r="AB7" s="320"/>
    </row>
    <row r="8" spans="1:42" s="30" customFormat="1">
      <c r="A8" s="514"/>
      <c r="B8" s="512" t="s">
        <v>14</v>
      </c>
      <c r="C8" s="505">
        <f>ML_Sum!$C8</f>
        <v>1</v>
      </c>
      <c r="D8" s="506" t="str">
        <f>ML_Sum!$D8</f>
        <v>R.Farrugia</v>
      </c>
      <c r="E8" s="511"/>
      <c r="F8" s="508">
        <f>ML_Sum!$F8</f>
        <v>0</v>
      </c>
      <c r="G8" s="519"/>
      <c r="H8"/>
      <c r="I8" s="275">
        <v>8</v>
      </c>
      <c r="J8" s="276">
        <f>ML_Sum!$J8</f>
        <v>1</v>
      </c>
      <c r="K8" s="276">
        <f>ML_Sum!$K8</f>
        <v>1</v>
      </c>
      <c r="L8" s="276">
        <f>ML_Sum!$L8</f>
        <v>1</v>
      </c>
      <c r="M8" s="276">
        <f>ML_Sum!$M8</f>
        <v>1</v>
      </c>
      <c r="N8" s="276">
        <f>ML_Sum!$N8</f>
        <v>1</v>
      </c>
      <c r="O8" s="276">
        <f>ML_Sum!$O8</f>
        <v>0</v>
      </c>
      <c r="P8"/>
      <c r="Q8" s="346">
        <f>ML_Sum!$Q8</f>
        <v>0</v>
      </c>
      <c r="R8" s="22" t="s">
        <v>15</v>
      </c>
      <c r="S8" s="347">
        <f>ML_Sum!$S8</f>
        <v>0</v>
      </c>
      <c r="T8" s="348">
        <f>ML_Sum!$T8</f>
        <v>0</v>
      </c>
      <c r="V8" s="320"/>
      <c r="W8" s="320"/>
      <c r="X8" s="320"/>
      <c r="Y8" s="320"/>
      <c r="Z8" s="320"/>
      <c r="AA8" s="320"/>
      <c r="AB8" s="320"/>
    </row>
    <row r="9" spans="1:42" s="30" customFormat="1">
      <c r="A9" s="514"/>
      <c r="B9" s="512" t="s">
        <v>263</v>
      </c>
      <c r="C9" s="505">
        <f>ML_Sum!$C9</f>
        <v>1</v>
      </c>
      <c r="D9" s="506">
        <f>ML_Sum!$D9</f>
        <v>27.46</v>
      </c>
      <c r="E9" s="511"/>
      <c r="F9" s="508">
        <f>ML_Sum!$F9</f>
        <v>0</v>
      </c>
      <c r="G9" s="519"/>
      <c r="H9"/>
      <c r="I9" s="275">
        <v>9</v>
      </c>
      <c r="J9" s="276">
        <f>ML_Sum!$J9</f>
        <v>1</v>
      </c>
      <c r="K9" s="276">
        <f>ML_Sum!$K9</f>
        <v>1</v>
      </c>
      <c r="L9" s="276">
        <f>ML_Sum!$L9</f>
        <v>1</v>
      </c>
      <c r="M9" s="276">
        <f>ML_Sum!$M9</f>
        <v>1</v>
      </c>
      <c r="N9" s="276">
        <f>ML_Sum!$N9</f>
        <v>1</v>
      </c>
      <c r="O9" s="276">
        <f>ML_Sum!$O9</f>
        <v>0</v>
      </c>
      <c r="P9"/>
      <c r="Q9" s="346">
        <f>ML_Sum!$Q9</f>
        <v>0</v>
      </c>
      <c r="R9" s="23" t="s">
        <v>16</v>
      </c>
      <c r="S9" s="347">
        <f>ML_Sum!$S9</f>
        <v>0</v>
      </c>
      <c r="T9" s="348">
        <f>ML_Sum!$T9</f>
        <v>0</v>
      </c>
      <c r="V9" s="320"/>
      <c r="W9" s="320"/>
      <c r="X9" s="320"/>
      <c r="Y9" s="320"/>
      <c r="Z9" s="320"/>
      <c r="AA9" s="320"/>
      <c r="AB9" s="320"/>
    </row>
    <row r="10" spans="1:42" s="30" customFormat="1">
      <c r="A10" s="514"/>
      <c r="B10" s="503"/>
      <c r="C10" s="505">
        <f>ML_Sum!$C10</f>
        <v>1</v>
      </c>
      <c r="D10" s="503"/>
      <c r="E10" s="511"/>
      <c r="F10" s="508">
        <f>ML_Sum!$F10</f>
        <v>0</v>
      </c>
      <c r="G10" s="519"/>
      <c r="H10"/>
      <c r="I10" s="275">
        <v>10</v>
      </c>
      <c r="J10" s="276">
        <f>ML_Sum!$J10</f>
        <v>1</v>
      </c>
      <c r="K10" s="276">
        <f>ML_Sum!$K10</f>
        <v>1</v>
      </c>
      <c r="L10" s="276">
        <f>ML_Sum!$L10</f>
        <v>1</v>
      </c>
      <c r="M10" s="276">
        <f>ML_Sum!$M10</f>
        <v>1</v>
      </c>
      <c r="N10" s="276">
        <f>ML_Sum!$N10</f>
        <v>1</v>
      </c>
      <c r="O10" s="276">
        <f>ML_Sum!$O10</f>
        <v>1</v>
      </c>
      <c r="P10"/>
      <c r="Q10" s="346">
        <f>ML_Sum!$Q10</f>
        <v>0</v>
      </c>
      <c r="R10" s="24" t="s">
        <v>17</v>
      </c>
      <c r="S10" s="347">
        <f>ML_Sum!$S10</f>
        <v>0</v>
      </c>
      <c r="T10" s="348">
        <f>ML_Sum!$T10</f>
        <v>0</v>
      </c>
      <c r="V10" s="320"/>
      <c r="W10" s="320"/>
      <c r="X10" s="320"/>
      <c r="Y10" s="320"/>
      <c r="Z10" s="320"/>
      <c r="AA10" s="320"/>
      <c r="AB10" s="320"/>
    </row>
    <row r="11" spans="1:42" s="30" customFormat="1">
      <c r="A11" s="514"/>
      <c r="B11" s="503"/>
      <c r="C11" s="505">
        <f>ML_Sum!$C11</f>
        <v>1</v>
      </c>
      <c r="D11" s="503"/>
      <c r="E11" s="511"/>
      <c r="F11" s="508">
        <f>ML_Sum!$F11</f>
        <v>0</v>
      </c>
      <c r="G11" s="519"/>
      <c r="H11" s="519"/>
      <c r="I11" s="503"/>
      <c r="J11" s="503"/>
      <c r="K11" s="503"/>
      <c r="L11" s="503"/>
      <c r="M11" s="503"/>
      <c r="N11" s="503"/>
      <c r="O11" s="503"/>
      <c r="P11" s="519"/>
      <c r="Q11" s="346">
        <f>ML_Sum!$Q11</f>
        <v>0</v>
      </c>
      <c r="R11" s="25" t="s">
        <v>18</v>
      </c>
      <c r="S11" s="347">
        <f>ML_Sum!$S11</f>
        <v>0</v>
      </c>
      <c r="T11" s="348">
        <f>ML_Sum!$T11</f>
        <v>0</v>
      </c>
      <c r="V11" s="320"/>
      <c r="W11" s="320"/>
      <c r="X11" s="320"/>
      <c r="Y11" s="320"/>
      <c r="Z11" s="320"/>
      <c r="AA11" s="320"/>
      <c r="AB11" s="320"/>
    </row>
    <row r="12" spans="1:42" s="30" customFormat="1" ht="14.4" thickBot="1">
      <c r="A12" s="514"/>
      <c r="B12" s="503"/>
      <c r="C12" s="505">
        <f>ML_Sum!$C12</f>
        <v>1</v>
      </c>
      <c r="D12" s="503"/>
      <c r="E12" s="511"/>
      <c r="F12" s="508">
        <f>ML_Sum!$F12</f>
        <v>0</v>
      </c>
      <c r="G12" s="519"/>
      <c r="H12" s="519"/>
      <c r="I12" s="503"/>
      <c r="J12" s="503"/>
      <c r="K12" s="503"/>
      <c r="L12" s="503"/>
      <c r="M12" s="503"/>
      <c r="N12" s="503"/>
      <c r="O12" s="503"/>
      <c r="P12" s="519"/>
      <c r="Q12" s="346">
        <f>ML_Sum!$Q12</f>
        <v>0</v>
      </c>
      <c r="R12" s="396" t="s">
        <v>205</v>
      </c>
      <c r="S12" s="347" t="str">
        <f>ML_Sum!$S12</f>
        <v>MAT MU</v>
      </c>
      <c r="T12" s="348" t="str">
        <f>ML_Sum!$T12</f>
        <v>LAB RATE</v>
      </c>
      <c r="V12" s="320"/>
      <c r="W12" s="320"/>
      <c r="X12" s="320"/>
      <c r="Y12" s="320"/>
      <c r="Z12" s="320"/>
      <c r="AA12" s="320"/>
      <c r="AB12" s="320"/>
    </row>
    <row r="13" spans="1:42" s="30" customFormat="1" ht="14.4" thickBot="1">
      <c r="A13" s="520"/>
      <c r="B13" s="521"/>
      <c r="C13" s="522"/>
      <c r="D13" s="523"/>
      <c r="E13" s="524"/>
      <c r="F13" s="525"/>
      <c r="G13" s="526" t="s">
        <v>140</v>
      </c>
      <c r="H13" s="526" t="s">
        <v>19</v>
      </c>
      <c r="I13" s="526" t="s">
        <v>20</v>
      </c>
      <c r="J13" s="526" t="s">
        <v>21</v>
      </c>
      <c r="K13" s="526" t="s">
        <v>22</v>
      </c>
      <c r="L13" s="526" t="s">
        <v>23</v>
      </c>
      <c r="M13" s="526" t="s">
        <v>24</v>
      </c>
      <c r="N13" s="526" t="s">
        <v>25</v>
      </c>
      <c r="O13" s="526" t="s">
        <v>26</v>
      </c>
      <c r="P13" s="526" t="s">
        <v>27</v>
      </c>
      <c r="Q13" s="26" t="s">
        <v>200</v>
      </c>
      <c r="R13" s="27" t="s">
        <v>29</v>
      </c>
      <c r="S13" s="28" t="s">
        <v>30</v>
      </c>
      <c r="T13" s="29" t="s">
        <v>31</v>
      </c>
      <c r="V13" s="320"/>
      <c r="W13" s="320"/>
      <c r="X13" s="320"/>
      <c r="Y13" s="320"/>
      <c r="Z13" s="320"/>
      <c r="AA13" s="320"/>
      <c r="AB13" s="320"/>
      <c r="AG13"/>
      <c r="AH13"/>
      <c r="AI13"/>
      <c r="AJ13"/>
      <c r="AK13"/>
      <c r="AM13" s="545" t="s">
        <v>259</v>
      </c>
      <c r="AN13" s="549" t="s">
        <v>266</v>
      </c>
      <c r="AO13" s="549" t="s">
        <v>260</v>
      </c>
      <c r="AP13" s="546" t="s">
        <v>257</v>
      </c>
    </row>
    <row r="14" spans="1:42" s="58" customFormat="1" ht="13.2">
      <c r="A14" s="692"/>
      <c r="B14" s="692"/>
      <c r="C14" s="699"/>
      <c r="D14" s="699"/>
      <c r="E14" s="692"/>
      <c r="F14" s="692"/>
      <c r="G14" s="692"/>
      <c r="H14" s="692"/>
      <c r="I14" s="692"/>
      <c r="J14" s="692"/>
      <c r="K14" s="692" t="s">
        <v>133</v>
      </c>
      <c r="L14" s="692"/>
      <c r="M14" s="692"/>
      <c r="N14" s="692"/>
      <c r="O14" s="694"/>
      <c r="P14" s="692"/>
      <c r="Q14" s="692"/>
      <c r="R14" s="692"/>
      <c r="S14" s="692"/>
      <c r="T14" s="692"/>
    </row>
    <row r="15" spans="1:42" s="58" customFormat="1" ht="12">
      <c r="A15" s="692"/>
      <c r="B15" s="692"/>
      <c r="C15" s="692" t="s">
        <v>134</v>
      </c>
      <c r="D15" s="695" t="s">
        <v>135</v>
      </c>
      <c r="E15" s="692"/>
      <c r="F15" s="692"/>
      <c r="G15" s="692"/>
      <c r="H15" s="692"/>
      <c r="I15" s="692"/>
      <c r="J15" s="692"/>
      <c r="K15" s="692"/>
      <c r="L15" s="692"/>
      <c r="M15" s="692"/>
      <c r="N15" s="692"/>
      <c r="O15" s="694"/>
      <c r="P15" s="692"/>
      <c r="Q15" s="692"/>
      <c r="R15" s="692"/>
      <c r="S15" s="692"/>
      <c r="T15" s="692"/>
    </row>
    <row r="16" spans="1:42" s="58" customFormat="1" ht="12">
      <c r="A16" s="692"/>
      <c r="B16" s="692"/>
      <c r="C16" s="692"/>
      <c r="D16" s="695" t="s">
        <v>321</v>
      </c>
      <c r="E16" s="692"/>
      <c r="F16" s="692"/>
      <c r="G16" s="692"/>
      <c r="H16" s="692"/>
      <c r="I16" s="692"/>
      <c r="J16" s="692"/>
      <c r="K16" s="692"/>
      <c r="L16" s="692"/>
      <c r="M16" s="692"/>
      <c r="N16" s="692"/>
      <c r="O16" s="694"/>
      <c r="P16" s="692"/>
      <c r="Q16" s="692"/>
      <c r="R16" s="692"/>
      <c r="S16" s="696"/>
      <c r="T16" s="696"/>
    </row>
    <row r="17" spans="1:42" s="32" customFormat="1" thickBot="1">
      <c r="A17" s="700"/>
      <c r="B17" s="699"/>
      <c r="C17" s="699"/>
      <c r="D17" s="699"/>
      <c r="E17" s="699"/>
      <c r="F17" s="699"/>
      <c r="G17" s="699"/>
      <c r="H17" s="699"/>
      <c r="I17" s="699"/>
      <c r="J17" s="699"/>
      <c r="K17" s="699"/>
      <c r="L17" s="699"/>
      <c r="M17" s="699"/>
      <c r="N17" s="699"/>
      <c r="O17" s="701"/>
      <c r="P17" s="699"/>
      <c r="Q17" s="699"/>
      <c r="R17" s="699"/>
      <c r="S17" s="699"/>
      <c r="T17" s="699"/>
    </row>
    <row r="18" spans="1:42" s="58" customFormat="1" thickTop="1">
      <c r="C18" s="32"/>
      <c r="D18" s="32"/>
      <c r="K18" s="58" t="s">
        <v>133</v>
      </c>
      <c r="O18" s="59"/>
    </row>
    <row r="19" spans="1:42" s="58" customFormat="1" ht="12">
      <c r="C19" s="58" t="s">
        <v>134</v>
      </c>
      <c r="D19" s="35" t="s">
        <v>135</v>
      </c>
      <c r="O19" s="59"/>
    </row>
    <row r="20" spans="1:42" s="58" customFormat="1" ht="12">
      <c r="D20" s="35" t="s">
        <v>409</v>
      </c>
      <c r="O20" s="59"/>
      <c r="S20" s="36"/>
      <c r="T20" s="36"/>
    </row>
    <row r="21" spans="1:42" s="32" customFormat="1" thickBot="1">
      <c r="A21" s="37"/>
      <c r="O21" s="38"/>
    </row>
    <row r="22" spans="1:42" s="554" customFormat="1" ht="12" thickTop="1">
      <c r="A22" s="58"/>
      <c r="B22" s="39"/>
      <c r="C22" s="58"/>
      <c r="E22" s="40" t="s">
        <v>136</v>
      </c>
      <c r="F22" s="40" t="s">
        <v>137</v>
      </c>
      <c r="G22" s="58"/>
      <c r="H22" s="58"/>
      <c r="I22" s="58"/>
      <c r="J22" s="58"/>
      <c r="K22" s="58" t="s">
        <v>138</v>
      </c>
      <c r="L22" s="58"/>
      <c r="M22" s="58"/>
      <c r="N22" s="58"/>
      <c r="O22" s="59"/>
      <c r="P22" s="58"/>
      <c r="Q22" s="58"/>
      <c r="R22" s="58"/>
      <c r="S22" s="58"/>
      <c r="T22" s="39"/>
      <c r="AG22" s="555" t="s">
        <v>248</v>
      </c>
      <c r="AH22" s="555" t="s">
        <v>249</v>
      </c>
      <c r="AI22" s="555" t="s">
        <v>250</v>
      </c>
      <c r="AJ22" s="555" t="s">
        <v>251</v>
      </c>
      <c r="AK22" s="555" t="s">
        <v>252</v>
      </c>
      <c r="AM22" s="547" t="s">
        <v>261</v>
      </c>
      <c r="AN22" s="548" t="s">
        <v>267</v>
      </c>
      <c r="AO22" s="548" t="s">
        <v>262</v>
      </c>
      <c r="AP22" s="556" t="s">
        <v>258</v>
      </c>
    </row>
    <row r="23" spans="1:42" s="554" customFormat="1" ht="12" customHeight="1">
      <c r="A23" s="557">
        <v>1</v>
      </c>
      <c r="B23" s="558" t="s">
        <v>279</v>
      </c>
      <c r="C23" s="559"/>
      <c r="D23" s="560" t="s">
        <v>410</v>
      </c>
      <c r="E23" s="561">
        <f>IF(AND($A23=0,$A$1="DIF"),0, ROUND(ROUND(($R28*$S$2+($T28*$T$2))/A23,2)*$C$2,2))</f>
        <v>24.28</v>
      </c>
      <c r="F23" s="562">
        <f>ROUND($A23*$E23,2)</f>
        <v>24.28</v>
      </c>
      <c r="G23" s="563" t="s">
        <v>140</v>
      </c>
      <c r="H23" s="551"/>
      <c r="I23" s="564"/>
      <c r="J23" s="551"/>
      <c r="K23" s="551" t="s">
        <v>3</v>
      </c>
      <c r="L23" s="565" t="s">
        <v>141</v>
      </c>
      <c r="M23" s="565"/>
      <c r="N23" s="565"/>
      <c r="O23" s="565"/>
      <c r="P23" s="565"/>
      <c r="Q23" s="58"/>
      <c r="T23" s="566" t="str">
        <f>IF(AND($R28=0,$T28=0),"0.00","mu :" &amp; ROUND($F23/$C$2/($R28+$T28*$D$9),2))</f>
        <v>mu :1.3</v>
      </c>
      <c r="W23" s="567"/>
      <c r="AG23" s="501">
        <f>IF($E23=0,0,ROUND($R28*$S$2*$C$2/$A23,2))</f>
        <v>2.86</v>
      </c>
      <c r="AH23" s="501">
        <f>$AG23*$A23</f>
        <v>2.86</v>
      </c>
      <c r="AI23" s="568">
        <f>$E23-$AG23</f>
        <v>21.42</v>
      </c>
      <c r="AJ23" s="568">
        <f>$A23*$AI23</f>
        <v>21.42</v>
      </c>
      <c r="AK23" s="569">
        <f>ROUND(($AG23+$AI23)*$A23,2)</f>
        <v>24.28</v>
      </c>
      <c r="AM23" s="570">
        <f>ROUND(R28,2)</f>
        <v>2.2000000000000002</v>
      </c>
      <c r="AN23" s="571">
        <f>IF(A23=0,0,AO23/A23)</f>
        <v>0.6</v>
      </c>
      <c r="AO23" s="571">
        <f>ROUND(T28,2)</f>
        <v>0.6</v>
      </c>
      <c r="AP23" s="572">
        <f>ROUND(AM23+AO23,2)*A23</f>
        <v>2.8</v>
      </c>
    </row>
    <row r="24" spans="1:42" s="554" customFormat="1" ht="36">
      <c r="A24" s="559"/>
      <c r="B24"/>
      <c r="C24" s="559"/>
      <c r="D24" s="691" t="s">
        <v>324</v>
      </c>
      <c r="E24" s="686"/>
      <c r="F24" s="687"/>
      <c r="G24" s="688"/>
      <c r="H24" s="687"/>
      <c r="I24" s="689"/>
      <c r="J24" s="687"/>
      <c r="K24" s="687" t="s">
        <v>142</v>
      </c>
      <c r="L24" s="687"/>
      <c r="M24" s="687"/>
      <c r="N24" s="687"/>
      <c r="O24" s="687"/>
      <c r="P24" s="687"/>
      <c r="Q24" s="690"/>
      <c r="R24" s="615"/>
      <c r="S24" s="573"/>
      <c r="T24" s="551"/>
    </row>
    <row r="25" spans="1:42" s="711" customFormat="1" ht="13.2">
      <c r="A25" s="137">
        <v>2</v>
      </c>
      <c r="B25" s="711" t="s">
        <v>306</v>
      </c>
      <c r="D25" s="711" t="s">
        <v>423</v>
      </c>
      <c r="G25" s="712" t="s">
        <v>424</v>
      </c>
      <c r="H25" s="713">
        <v>615</v>
      </c>
      <c r="I25" s="711" t="s">
        <v>425</v>
      </c>
      <c r="K25" s="711" t="s">
        <v>426</v>
      </c>
      <c r="O25" s="714">
        <v>2</v>
      </c>
      <c r="P25" s="715">
        <v>38988</v>
      </c>
      <c r="Q25" s="716">
        <v>1.1000000000000001</v>
      </c>
      <c r="R25" s="717">
        <f>$A25*Q25</f>
        <v>2.2000000000000002</v>
      </c>
      <c r="S25" s="716">
        <v>0.05</v>
      </c>
      <c r="T25" s="718">
        <f>$A25*S25*$T$1</f>
        <v>0.1</v>
      </c>
    </row>
    <row r="26" spans="1:42" s="711" customFormat="1" ht="13.2">
      <c r="A26" s="137">
        <v>1</v>
      </c>
      <c r="B26" s="711" t="s">
        <v>139</v>
      </c>
      <c r="D26" s="711" t="s">
        <v>429</v>
      </c>
      <c r="G26" s="712" t="s">
        <v>428</v>
      </c>
      <c r="H26" s="713">
        <v>900</v>
      </c>
      <c r="I26" s="711" t="s">
        <v>427</v>
      </c>
      <c r="O26" s="714">
        <v>1</v>
      </c>
      <c r="P26" s="715"/>
      <c r="Q26" s="716">
        <v>0</v>
      </c>
      <c r="R26" s="717">
        <f>$A26*Q26</f>
        <v>0</v>
      </c>
      <c r="S26" s="716">
        <v>0.5</v>
      </c>
      <c r="T26" s="718">
        <f>$A26*S26*$T$1</f>
        <v>0.5</v>
      </c>
    </row>
    <row r="27" spans="1:42" s="554" customFormat="1" ht="12">
      <c r="A27" s="550"/>
      <c r="B27" s="550"/>
      <c r="C27" s="550"/>
      <c r="D27" s="550"/>
      <c r="E27" s="550"/>
      <c r="F27" s="551"/>
      <c r="G27" s="550"/>
      <c r="H27" s="550"/>
      <c r="I27" s="552"/>
      <c r="J27" s="550"/>
      <c r="K27" s="550"/>
      <c r="L27" s="550"/>
      <c r="M27" s="550"/>
      <c r="N27" s="550"/>
      <c r="O27" s="550"/>
      <c r="P27" s="550"/>
      <c r="Q27" s="552"/>
      <c r="R27" s="574">
        <f t="shared" ref="R27" si="0">$A27*Q27</f>
        <v>0</v>
      </c>
      <c r="S27" s="552"/>
      <c r="T27" s="553">
        <f t="shared" ref="T27" si="1">$A27*S27*$T$1</f>
        <v>0</v>
      </c>
    </row>
    <row r="28" spans="1:42" s="554" customFormat="1" ht="12.6" thickBot="1">
      <c r="A28" s="575" t="s">
        <v>143</v>
      </c>
      <c r="B28" s="576">
        <f>(R27+T27)</f>
        <v>0</v>
      </c>
      <c r="C28" s="577"/>
      <c r="D28" s="577"/>
      <c r="E28" s="577"/>
      <c r="F28" s="578"/>
      <c r="G28" s="577" t="s">
        <v>144</v>
      </c>
      <c r="H28" s="577"/>
      <c r="I28" s="579"/>
      <c r="J28" s="577"/>
      <c r="K28" s="577" t="s">
        <v>3</v>
      </c>
      <c r="L28" s="580" t="s">
        <v>141</v>
      </c>
      <c r="M28" s="580"/>
      <c r="N28" s="580"/>
      <c r="O28" s="580"/>
      <c r="P28" s="580"/>
      <c r="Q28" s="581"/>
      <c r="R28" s="582">
        <f>SUM(R24:R27)</f>
        <v>2.2000000000000002</v>
      </c>
      <c r="S28" s="577"/>
      <c r="T28" s="582">
        <f>SUM(T24:T27)</f>
        <v>0.6</v>
      </c>
      <c r="U28" s="583"/>
      <c r="V28" s="583"/>
      <c r="W28" s="583"/>
      <c r="X28" s="583"/>
      <c r="Y28" s="583"/>
      <c r="Z28" s="583"/>
      <c r="AA28" s="583"/>
      <c r="AB28" s="583"/>
      <c r="AC28" s="583"/>
      <c r="AD28" s="583"/>
      <c r="AE28" s="583"/>
      <c r="AF28" s="583"/>
      <c r="AG28" s="583"/>
      <c r="AH28" s="583"/>
      <c r="AI28" s="583"/>
      <c r="AJ28" s="583"/>
      <c r="AK28" s="583"/>
      <c r="AL28" s="583"/>
      <c r="AM28" s="583"/>
      <c r="AN28" s="583"/>
      <c r="AO28" s="583"/>
      <c r="AP28" s="583"/>
    </row>
    <row r="29" spans="1:42" s="554" customFormat="1" ht="12" thickTop="1">
      <c r="A29" s="58"/>
      <c r="B29" s="39"/>
      <c r="C29" s="58"/>
      <c r="E29" s="40" t="s">
        <v>136</v>
      </c>
      <c r="F29" s="40" t="s">
        <v>137</v>
      </c>
      <c r="G29" s="58"/>
      <c r="H29" s="58"/>
      <c r="I29" s="58"/>
      <c r="J29" s="58"/>
      <c r="K29" s="58" t="s">
        <v>138</v>
      </c>
      <c r="L29" s="58"/>
      <c r="M29" s="58"/>
      <c r="N29" s="58"/>
      <c r="O29" s="59"/>
      <c r="P29" s="58"/>
      <c r="Q29" s="58"/>
      <c r="R29" s="58"/>
      <c r="S29" s="58"/>
      <c r="T29" s="39"/>
      <c r="AG29" s="555" t="s">
        <v>248</v>
      </c>
      <c r="AH29" s="555" t="s">
        <v>249</v>
      </c>
      <c r="AI29" s="555" t="s">
        <v>250</v>
      </c>
      <c r="AJ29" s="555" t="s">
        <v>251</v>
      </c>
      <c r="AK29" s="555" t="s">
        <v>252</v>
      </c>
      <c r="AM29" s="547" t="s">
        <v>261</v>
      </c>
      <c r="AN29" s="548" t="s">
        <v>267</v>
      </c>
      <c r="AO29" s="548" t="s">
        <v>262</v>
      </c>
      <c r="AP29" s="556" t="s">
        <v>258</v>
      </c>
    </row>
    <row r="30" spans="1:42" s="554" customFormat="1" ht="12" customHeight="1">
      <c r="A30" s="557">
        <v>1</v>
      </c>
      <c r="B30" s="558" t="s">
        <v>279</v>
      </c>
      <c r="C30" s="559"/>
      <c r="D30" s="560" t="s">
        <v>411</v>
      </c>
      <c r="E30" s="561">
        <f>IF(AND($A30=0,$A$1="DIF"),0, ROUND(ROUND(($R35*$S$2+($T35*$T$2))/A30,2)*$C$2,2))</f>
        <v>24.28</v>
      </c>
      <c r="F30" s="562">
        <f>ROUND($A30*$E30,2)</f>
        <v>24.28</v>
      </c>
      <c r="G30" s="563" t="s">
        <v>140</v>
      </c>
      <c r="H30" s="551"/>
      <c r="I30" s="564"/>
      <c r="J30" s="551"/>
      <c r="K30" s="551" t="s">
        <v>3</v>
      </c>
      <c r="L30" s="565" t="s">
        <v>141</v>
      </c>
      <c r="M30" s="565"/>
      <c r="N30" s="565"/>
      <c r="O30" s="565"/>
      <c r="P30" s="565"/>
      <c r="Q30" s="58"/>
      <c r="T30" s="566" t="str">
        <f>IF(AND($R35=0,$T35=0),"0.00","mu :" &amp; ROUND($F30/$C$2/($R35+$T35*$D$9),2))</f>
        <v>mu :1.3</v>
      </c>
      <c r="W30" s="567"/>
      <c r="AG30" s="501">
        <f>IF($E30=0,0,ROUND($R35*$S$2*$C$2/$A30,2))</f>
        <v>2.86</v>
      </c>
      <c r="AH30" s="501">
        <f>$AG30*$A30</f>
        <v>2.86</v>
      </c>
      <c r="AI30" s="568">
        <f>$E30-$AG30</f>
        <v>21.42</v>
      </c>
      <c r="AJ30" s="568">
        <f>$A30*$AI30</f>
        <v>21.42</v>
      </c>
      <c r="AK30" s="569">
        <f>ROUND(($AG30+$AI30)*$A30,2)</f>
        <v>24.28</v>
      </c>
      <c r="AM30" s="570">
        <f>ROUND(R35,2)</f>
        <v>2.2000000000000002</v>
      </c>
      <c r="AN30" s="571">
        <f>IF(A30=0,0,AO30/A30)</f>
        <v>0.6</v>
      </c>
      <c r="AO30" s="571">
        <f>ROUND(T35,2)</f>
        <v>0.6</v>
      </c>
      <c r="AP30" s="572">
        <f>ROUND(AM30+AO30,2)*A30</f>
        <v>2.8</v>
      </c>
    </row>
    <row r="31" spans="1:42" s="554" customFormat="1" ht="36">
      <c r="A31" s="559"/>
      <c r="B31"/>
      <c r="C31" s="559"/>
      <c r="D31" s="685" t="s">
        <v>325</v>
      </c>
      <c r="E31" s="686"/>
      <c r="F31" s="687"/>
      <c r="G31" s="688"/>
      <c r="H31" s="687"/>
      <c r="I31" s="689"/>
      <c r="J31" s="687"/>
      <c r="K31" s="687" t="s">
        <v>142</v>
      </c>
      <c r="L31" s="687"/>
      <c r="M31" s="687"/>
      <c r="N31" s="687"/>
      <c r="O31" s="687"/>
      <c r="P31" s="687"/>
      <c r="Q31" s="690"/>
      <c r="R31" s="615"/>
      <c r="S31" s="573"/>
      <c r="T31" s="551"/>
    </row>
    <row r="32" spans="1:42" s="711" customFormat="1" ht="13.2">
      <c r="A32" s="137">
        <v>2</v>
      </c>
      <c r="B32" s="711" t="s">
        <v>306</v>
      </c>
      <c r="D32" s="711" t="s">
        <v>423</v>
      </c>
      <c r="G32" s="712" t="s">
        <v>424</v>
      </c>
      <c r="H32" s="713">
        <v>615</v>
      </c>
      <c r="I32" s="711" t="s">
        <v>425</v>
      </c>
      <c r="K32" s="711" t="s">
        <v>426</v>
      </c>
      <c r="O32" s="714">
        <v>2</v>
      </c>
      <c r="P32" s="715">
        <v>38988</v>
      </c>
      <c r="Q32" s="716">
        <v>1.1000000000000001</v>
      </c>
      <c r="R32" s="717">
        <f>$A32*Q32</f>
        <v>2.2000000000000002</v>
      </c>
      <c r="S32" s="716">
        <v>0.05</v>
      </c>
      <c r="T32" s="718">
        <f>$A32*S32*$T$1</f>
        <v>0.1</v>
      </c>
    </row>
    <row r="33" spans="1:42" s="711" customFormat="1" ht="13.2">
      <c r="A33" s="137">
        <v>1</v>
      </c>
      <c r="B33" s="711" t="s">
        <v>139</v>
      </c>
      <c r="D33" s="711" t="s">
        <v>430</v>
      </c>
      <c r="G33" s="712" t="s">
        <v>428</v>
      </c>
      <c r="H33" s="713">
        <v>900</v>
      </c>
      <c r="I33" s="711" t="s">
        <v>427</v>
      </c>
      <c r="O33" s="714">
        <v>1</v>
      </c>
      <c r="P33" s="715"/>
      <c r="Q33" s="716">
        <v>0</v>
      </c>
      <c r="R33" s="717">
        <f>$A33*Q33</f>
        <v>0</v>
      </c>
      <c r="S33" s="716">
        <v>0.5</v>
      </c>
      <c r="T33" s="718">
        <f>$A33*S33*$T$1</f>
        <v>0.5</v>
      </c>
    </row>
    <row r="34" spans="1:42" s="554" customFormat="1" ht="12">
      <c r="A34" s="550"/>
      <c r="B34" s="550"/>
      <c r="C34" s="550"/>
      <c r="D34" s="550"/>
      <c r="E34" s="550"/>
      <c r="F34" s="551"/>
      <c r="G34" s="550"/>
      <c r="H34" s="550"/>
      <c r="I34" s="552"/>
      <c r="J34" s="550"/>
      <c r="K34" s="550"/>
      <c r="L34" s="550"/>
      <c r="M34" s="550"/>
      <c r="N34" s="550"/>
      <c r="O34" s="550"/>
      <c r="P34" s="550"/>
      <c r="Q34" s="552"/>
      <c r="R34" s="574">
        <f t="shared" ref="R34" si="2">$A34*Q34</f>
        <v>0</v>
      </c>
      <c r="S34" s="552"/>
      <c r="T34" s="553">
        <f t="shared" ref="T34" si="3">$A34*S34*$T$1</f>
        <v>0</v>
      </c>
    </row>
    <row r="35" spans="1:42" s="554" customFormat="1" ht="12.6" thickBot="1">
      <c r="A35" s="575" t="s">
        <v>143</v>
      </c>
      <c r="B35" s="576">
        <f>(R34+T34)</f>
        <v>0</v>
      </c>
      <c r="C35" s="577"/>
      <c r="D35" s="577"/>
      <c r="E35" s="577"/>
      <c r="F35" s="578"/>
      <c r="G35" s="577" t="s">
        <v>144</v>
      </c>
      <c r="H35" s="577"/>
      <c r="I35" s="579"/>
      <c r="J35" s="577"/>
      <c r="K35" s="577" t="s">
        <v>3</v>
      </c>
      <c r="L35" s="580" t="s">
        <v>141</v>
      </c>
      <c r="M35" s="580"/>
      <c r="N35" s="580"/>
      <c r="O35" s="580"/>
      <c r="P35" s="580"/>
      <c r="Q35" s="581"/>
      <c r="R35" s="582">
        <f>SUM(R31:R34)</f>
        <v>2.2000000000000002</v>
      </c>
      <c r="S35" s="577"/>
      <c r="T35" s="582">
        <f>SUM(T31:T34)</f>
        <v>0.6</v>
      </c>
      <c r="U35" s="583"/>
      <c r="V35" s="583"/>
      <c r="W35" s="583"/>
      <c r="X35" s="583"/>
      <c r="Y35" s="583"/>
      <c r="Z35" s="583"/>
      <c r="AA35" s="583"/>
      <c r="AB35" s="583"/>
      <c r="AC35" s="583"/>
      <c r="AD35" s="583"/>
      <c r="AE35" s="583"/>
      <c r="AF35" s="583"/>
      <c r="AG35" s="583"/>
      <c r="AH35" s="583"/>
      <c r="AI35" s="583"/>
      <c r="AJ35" s="583"/>
      <c r="AK35" s="583"/>
      <c r="AL35" s="583"/>
      <c r="AM35" s="583"/>
      <c r="AN35" s="583"/>
      <c r="AO35" s="583"/>
      <c r="AP35" s="583"/>
    </row>
    <row r="36" spans="1:42" s="554" customFormat="1" ht="12" thickTop="1">
      <c r="A36" s="58"/>
      <c r="B36" s="39"/>
      <c r="C36" s="58"/>
      <c r="E36" s="40" t="s">
        <v>136</v>
      </c>
      <c r="F36" s="40" t="s">
        <v>137</v>
      </c>
      <c r="G36" s="58"/>
      <c r="H36" s="58"/>
      <c r="I36" s="58"/>
      <c r="J36" s="58"/>
      <c r="K36" s="58" t="s">
        <v>138</v>
      </c>
      <c r="L36" s="58"/>
      <c r="M36" s="58"/>
      <c r="N36" s="58"/>
      <c r="O36" s="59"/>
      <c r="P36" s="58"/>
      <c r="Q36" s="58"/>
      <c r="R36" s="58"/>
      <c r="S36" s="58"/>
      <c r="T36" s="39"/>
      <c r="AG36" s="555" t="s">
        <v>248</v>
      </c>
      <c r="AH36" s="555" t="s">
        <v>249</v>
      </c>
      <c r="AI36" s="555" t="s">
        <v>250</v>
      </c>
      <c r="AJ36" s="555" t="s">
        <v>251</v>
      </c>
      <c r="AK36" s="555" t="s">
        <v>252</v>
      </c>
      <c r="AM36" s="547" t="s">
        <v>261</v>
      </c>
      <c r="AN36" s="548" t="s">
        <v>267</v>
      </c>
      <c r="AO36" s="548" t="s">
        <v>262</v>
      </c>
      <c r="AP36" s="556" t="s">
        <v>258</v>
      </c>
    </row>
    <row r="37" spans="1:42" s="554" customFormat="1" ht="12" customHeight="1">
      <c r="A37" s="557">
        <v>1</v>
      </c>
      <c r="B37" s="558" t="s">
        <v>279</v>
      </c>
      <c r="C37" s="559"/>
      <c r="D37" s="560" t="s">
        <v>412</v>
      </c>
      <c r="E37" s="721">
        <f>IF(AND($A37=0,$A$1="DIF"),0, ROUND(ROUND(($R43*$S$3+($T43*$T$3))/$A37,2)*$C$3,2))</f>
        <v>234</v>
      </c>
      <c r="F37" s="722">
        <f>ROUND($A37*$E37,2)</f>
        <v>234</v>
      </c>
      <c r="G37" s="563" t="s">
        <v>140</v>
      </c>
      <c r="H37" s="551"/>
      <c r="I37" s="564"/>
      <c r="J37" s="551"/>
      <c r="K37" s="551" t="s">
        <v>5</v>
      </c>
      <c r="L37" s="565" t="s">
        <v>141</v>
      </c>
      <c r="M37" s="565"/>
      <c r="N37" s="565"/>
      <c r="O37" s="565"/>
      <c r="P37" s="565"/>
      <c r="Q37" s="58"/>
      <c r="T37" s="726" t="str">
        <f>IF(AND($R43=0,$T43=0),"0.00","mu: "&amp; ROUND(F37/$C$3/($R43+$T43*$D$9),2))</f>
        <v>mu: 1.3</v>
      </c>
      <c r="W37" s="567"/>
      <c r="AG37" s="723">
        <f>IF($E37=0,0,ROUND($R43*$S$3*$C$3/$A37,2))</f>
        <v>234</v>
      </c>
      <c r="AH37" s="723">
        <f>$AG37*$A37</f>
        <v>234</v>
      </c>
      <c r="AI37" s="724">
        <f>$E37-$AG37</f>
        <v>0</v>
      </c>
      <c r="AJ37" s="724">
        <f>$A37*$AI37</f>
        <v>0</v>
      </c>
      <c r="AK37" s="725">
        <f>ROUND(($AG37+$AI37)*$A37,2)</f>
        <v>234</v>
      </c>
      <c r="AM37" s="570">
        <f>ROUND(R43,2)</f>
        <v>180</v>
      </c>
      <c r="AN37" s="571">
        <f>IF(A37=0,0,AO37/A37)</f>
        <v>0</v>
      </c>
      <c r="AO37" s="571">
        <f>ROUND(T43,2)</f>
        <v>0</v>
      </c>
      <c r="AP37" s="572">
        <f>ROUND(AM37+AO37,2)*A37</f>
        <v>180</v>
      </c>
    </row>
    <row r="38" spans="1:42" s="554" customFormat="1" ht="48">
      <c r="A38" s="559"/>
      <c r="B38"/>
      <c r="C38" s="559"/>
      <c r="D38" s="685" t="s">
        <v>331</v>
      </c>
      <c r="E38" s="686"/>
      <c r="F38" s="687"/>
      <c r="G38" s="688"/>
      <c r="H38" s="687"/>
      <c r="I38" s="689"/>
      <c r="J38" s="687"/>
      <c r="K38" s="687" t="s">
        <v>142</v>
      </c>
      <c r="L38" s="687"/>
      <c r="M38" s="687"/>
      <c r="N38" s="687"/>
      <c r="O38" s="687"/>
      <c r="P38" s="687"/>
      <c r="Q38" s="690"/>
      <c r="R38" s="615"/>
      <c r="S38" s="573"/>
      <c r="T38" s="551"/>
    </row>
    <row r="39" spans="1:42" s="711" customFormat="1" ht="13.2">
      <c r="A39">
        <v>1</v>
      </c>
      <c r="B39" s="711" t="s">
        <v>139</v>
      </c>
      <c r="D39" s="711" t="s">
        <v>435</v>
      </c>
      <c r="G39" s="712" t="s">
        <v>432</v>
      </c>
      <c r="H39" s="713">
        <v>512</v>
      </c>
      <c r="I39" s="711" t="s">
        <v>433</v>
      </c>
      <c r="J39" s="711" t="s">
        <v>434</v>
      </c>
      <c r="O39" s="714">
        <v>2</v>
      </c>
      <c r="P39" s="715">
        <v>38496</v>
      </c>
      <c r="Q39" s="716">
        <v>180</v>
      </c>
      <c r="R39" s="717">
        <f>$A39*Q39</f>
        <v>180</v>
      </c>
      <c r="S39" s="716"/>
      <c r="T39" s="718">
        <f>$A39*S39*$T$1</f>
        <v>0</v>
      </c>
    </row>
    <row r="40" spans="1:42" s="554" customFormat="1" ht="12">
      <c r="A40" s="58"/>
      <c r="B40" s="550"/>
      <c r="C40" s="550"/>
      <c r="D40" s="550"/>
      <c r="E40" s="550"/>
      <c r="F40" s="551"/>
      <c r="G40" s="550"/>
      <c r="H40" s="550"/>
      <c r="I40" s="552"/>
      <c r="J40" s="550"/>
      <c r="K40" s="550"/>
      <c r="L40" s="550"/>
      <c r="M40" s="550"/>
      <c r="N40" s="550"/>
      <c r="O40" s="550"/>
      <c r="P40" s="550"/>
      <c r="Q40" s="552"/>
      <c r="R40" s="574">
        <f t="shared" ref="R40:R42" si="4">$A40*Q40</f>
        <v>0</v>
      </c>
      <c r="S40" s="552"/>
      <c r="T40" s="553">
        <f t="shared" ref="T40:T42" si="5">$A40*S40*$T$1</f>
        <v>0</v>
      </c>
    </row>
    <row r="41" spans="1:42" s="554" customFormat="1" ht="12">
      <c r="A41" s="58"/>
      <c r="B41" s="550"/>
      <c r="C41" s="550"/>
      <c r="D41" s="727" t="s">
        <v>458</v>
      </c>
      <c r="E41" s="550"/>
      <c r="F41" s="551"/>
      <c r="G41" s="550"/>
      <c r="H41" s="550"/>
      <c r="I41" s="552"/>
      <c r="J41" s="550"/>
      <c r="K41" s="550"/>
      <c r="L41" s="550"/>
      <c r="M41" s="550"/>
      <c r="N41" s="550"/>
      <c r="O41" s="550"/>
      <c r="P41" s="550"/>
      <c r="Q41" s="552"/>
      <c r="R41" s="574">
        <f t="shared" si="4"/>
        <v>0</v>
      </c>
      <c r="S41" s="552"/>
      <c r="T41" s="553">
        <f t="shared" si="5"/>
        <v>0</v>
      </c>
    </row>
    <row r="42" spans="1:42" s="554" customFormat="1" ht="12">
      <c r="A42" s="550"/>
      <c r="B42" s="550"/>
      <c r="C42" s="550"/>
      <c r="D42" s="550"/>
      <c r="E42" s="550"/>
      <c r="F42" s="551"/>
      <c r="G42" s="550"/>
      <c r="H42" s="550"/>
      <c r="I42" s="552"/>
      <c r="J42" s="550"/>
      <c r="K42" s="550"/>
      <c r="L42" s="550"/>
      <c r="M42" s="550"/>
      <c r="N42" s="550"/>
      <c r="O42" s="550"/>
      <c r="P42" s="550"/>
      <c r="Q42" s="552"/>
      <c r="R42" s="574">
        <f t="shared" si="4"/>
        <v>0</v>
      </c>
      <c r="S42" s="552"/>
      <c r="T42" s="553">
        <f t="shared" si="5"/>
        <v>0</v>
      </c>
    </row>
    <row r="43" spans="1:42" s="554" customFormat="1" ht="12.6" thickBot="1">
      <c r="A43" s="575" t="s">
        <v>143</v>
      </c>
      <c r="B43" s="576">
        <f>(R42+T42)</f>
        <v>0</v>
      </c>
      <c r="C43" s="577"/>
      <c r="D43" s="577"/>
      <c r="E43" s="577"/>
      <c r="F43" s="578"/>
      <c r="G43" s="577" t="s">
        <v>144</v>
      </c>
      <c r="H43" s="577"/>
      <c r="I43" s="579"/>
      <c r="J43" s="577"/>
      <c r="K43" s="577" t="s">
        <v>5</v>
      </c>
      <c r="L43" s="580" t="s">
        <v>141</v>
      </c>
      <c r="M43" s="580"/>
      <c r="N43" s="580"/>
      <c r="O43" s="580"/>
      <c r="P43" s="580"/>
      <c r="Q43" s="581"/>
      <c r="R43" s="582">
        <f>SUM(R38:R42)</f>
        <v>180</v>
      </c>
      <c r="S43" s="577"/>
      <c r="T43" s="582">
        <f>SUM(T38:T42)</f>
        <v>0</v>
      </c>
      <c r="U43" s="583"/>
      <c r="V43" s="583"/>
      <c r="W43" s="583"/>
      <c r="X43" s="583"/>
      <c r="Y43" s="583"/>
      <c r="Z43" s="583"/>
      <c r="AA43" s="583"/>
      <c r="AB43" s="583"/>
      <c r="AC43" s="583"/>
      <c r="AD43" s="583"/>
      <c r="AE43" s="583"/>
      <c r="AF43" s="583"/>
      <c r="AG43" s="583"/>
      <c r="AH43" s="583"/>
      <c r="AI43" s="583"/>
      <c r="AJ43" s="583"/>
      <c r="AK43" s="583"/>
      <c r="AL43" s="583"/>
      <c r="AM43" s="583"/>
      <c r="AN43" s="583"/>
      <c r="AO43" s="583"/>
      <c r="AP43" s="583"/>
    </row>
    <row r="44" spans="1:42" s="554" customFormat="1" ht="12" thickTop="1">
      <c r="A44" s="58"/>
      <c r="B44" s="39"/>
      <c r="C44" s="58"/>
      <c r="E44" s="40" t="s">
        <v>136</v>
      </c>
      <c r="F44" s="40" t="s">
        <v>137</v>
      </c>
      <c r="G44" s="58"/>
      <c r="H44" s="58"/>
      <c r="I44" s="58"/>
      <c r="J44" s="58"/>
      <c r="K44" s="58" t="s">
        <v>138</v>
      </c>
      <c r="L44" s="58"/>
      <c r="M44" s="58"/>
      <c r="N44" s="58"/>
      <c r="O44" s="59"/>
      <c r="P44" s="58"/>
      <c r="Q44" s="58"/>
      <c r="R44" s="58"/>
      <c r="S44" s="58"/>
      <c r="T44" s="39"/>
      <c r="AG44" s="555" t="s">
        <v>248</v>
      </c>
      <c r="AH44" s="555" t="s">
        <v>249</v>
      </c>
      <c r="AI44" s="555" t="s">
        <v>250</v>
      </c>
      <c r="AJ44" s="555" t="s">
        <v>251</v>
      </c>
      <c r="AK44" s="555" t="s">
        <v>252</v>
      </c>
      <c r="AM44" s="547" t="s">
        <v>261</v>
      </c>
      <c r="AN44" s="548" t="s">
        <v>267</v>
      </c>
      <c r="AO44" s="548" t="s">
        <v>262</v>
      </c>
      <c r="AP44" s="556" t="s">
        <v>258</v>
      </c>
    </row>
    <row r="45" spans="1:42" s="554" customFormat="1" ht="12" customHeight="1">
      <c r="A45" s="557">
        <v>1</v>
      </c>
      <c r="B45" s="558" t="s">
        <v>279</v>
      </c>
      <c r="C45" s="559"/>
      <c r="D45" s="560" t="s">
        <v>413</v>
      </c>
      <c r="E45" s="561">
        <f>IF(AND($A45=0,$A$1="DIF"),0, ROUND(ROUND(($R53*$S$2+($T53*$T$2))/A45,2)*$C$2,2))</f>
        <v>24.28</v>
      </c>
      <c r="F45" s="562">
        <f>ROUND($A45*$E45,2)</f>
        <v>24.28</v>
      </c>
      <c r="G45" s="563" t="s">
        <v>140</v>
      </c>
      <c r="H45" s="551"/>
      <c r="I45" s="564"/>
      <c r="J45" s="551"/>
      <c r="K45" s="551" t="s">
        <v>3</v>
      </c>
      <c r="L45" s="565" t="s">
        <v>141</v>
      </c>
      <c r="M45" s="565"/>
      <c r="N45" s="565"/>
      <c r="O45" s="565"/>
      <c r="P45" s="565"/>
      <c r="Q45" s="58"/>
      <c r="T45" s="566" t="str">
        <f>IF(AND($R53=0,$T53=0),"0.00","mu :" &amp; ROUND($F45/$C$2/($R53+$T53*$D$9),2))</f>
        <v>mu :1.3</v>
      </c>
      <c r="W45" s="567"/>
      <c r="AG45" s="501">
        <f>IF($E45=0,0,ROUND($R53*$S$2*$C$2/$A45,2))</f>
        <v>2.86</v>
      </c>
      <c r="AH45" s="501">
        <f>$AG45*$A45</f>
        <v>2.86</v>
      </c>
      <c r="AI45" s="568">
        <f>$E45-$AG45</f>
        <v>21.42</v>
      </c>
      <c r="AJ45" s="568">
        <f>$A45*$AI45</f>
        <v>21.42</v>
      </c>
      <c r="AK45" s="569">
        <f>ROUND(($AG45+$AI45)*$A45,2)</f>
        <v>24.28</v>
      </c>
      <c r="AM45" s="570">
        <f>ROUND(R53,2)</f>
        <v>2.2000000000000002</v>
      </c>
      <c r="AN45" s="571">
        <f>IF(A45=0,0,AO45/A45)</f>
        <v>0.6</v>
      </c>
      <c r="AO45" s="571">
        <f>ROUND(T53,2)</f>
        <v>0.6</v>
      </c>
      <c r="AP45" s="572">
        <f>ROUND(AM45+AO45,2)*A45</f>
        <v>2.8</v>
      </c>
    </row>
    <row r="46" spans="1:42" s="554" customFormat="1" ht="24">
      <c r="A46" s="559"/>
      <c r="B46"/>
      <c r="C46" s="559"/>
      <c r="D46" s="685" t="s">
        <v>333</v>
      </c>
      <c r="E46" s="686"/>
      <c r="F46" s="687"/>
      <c r="G46" s="688"/>
      <c r="H46" s="687"/>
      <c r="I46" s="689"/>
      <c r="J46" s="687"/>
      <c r="K46" s="687" t="s">
        <v>142</v>
      </c>
      <c r="L46" s="687"/>
      <c r="M46" s="687"/>
      <c r="N46" s="687"/>
      <c r="O46" s="687"/>
      <c r="P46" s="687"/>
      <c r="Q46" s="690"/>
      <c r="R46" s="615"/>
      <c r="S46" s="573"/>
      <c r="T46" s="551"/>
    </row>
    <row r="47" spans="1:42" s="711" customFormat="1" ht="13.2">
      <c r="A47" s="137">
        <v>2</v>
      </c>
      <c r="B47" s="711" t="s">
        <v>306</v>
      </c>
      <c r="D47" s="711" t="s">
        <v>423</v>
      </c>
      <c r="G47" s="712" t="s">
        <v>424</v>
      </c>
      <c r="H47" s="713">
        <v>615</v>
      </c>
      <c r="I47" s="711" t="s">
        <v>425</v>
      </c>
      <c r="K47" s="711" t="s">
        <v>426</v>
      </c>
      <c r="O47" s="714">
        <v>2</v>
      </c>
      <c r="P47" s="715">
        <v>38988</v>
      </c>
      <c r="Q47" s="716">
        <v>1.1000000000000001</v>
      </c>
      <c r="R47" s="717">
        <f>$A47*Q47</f>
        <v>2.2000000000000002</v>
      </c>
      <c r="S47" s="716">
        <v>0.05</v>
      </c>
      <c r="T47" s="718">
        <f>$A47*S47*$T$1</f>
        <v>0.1</v>
      </c>
    </row>
    <row r="48" spans="1:42" s="711" customFormat="1" ht="13.2">
      <c r="A48" s="137">
        <v>1</v>
      </c>
      <c r="B48" s="711" t="s">
        <v>139</v>
      </c>
      <c r="D48" s="711" t="s">
        <v>436</v>
      </c>
      <c r="G48" s="712" t="s">
        <v>428</v>
      </c>
      <c r="H48" s="713">
        <v>900</v>
      </c>
      <c r="I48" s="711" t="s">
        <v>427</v>
      </c>
      <c r="O48" s="714">
        <v>1</v>
      </c>
      <c r="P48" s="715"/>
      <c r="Q48" s="716">
        <v>0</v>
      </c>
      <c r="R48" s="717">
        <f>$A48*Q48</f>
        <v>0</v>
      </c>
      <c r="S48" s="716">
        <v>0.5</v>
      </c>
      <c r="T48" s="718">
        <f>$A48*S48*$T$1</f>
        <v>0.5</v>
      </c>
    </row>
    <row r="49" spans="1:42" s="711" customFormat="1" ht="13.2">
      <c r="A49" s="728"/>
      <c r="B49" s="711" t="s">
        <v>139</v>
      </c>
      <c r="D49" s="711" t="s">
        <v>437</v>
      </c>
      <c r="F49" s="711" t="s">
        <v>438</v>
      </c>
      <c r="G49" s="712" t="s">
        <v>439</v>
      </c>
      <c r="H49" s="713">
        <v>705</v>
      </c>
      <c r="I49" s="711" t="s">
        <v>440</v>
      </c>
      <c r="J49" s="711" t="s">
        <v>441</v>
      </c>
      <c r="O49" s="714">
        <v>3</v>
      </c>
      <c r="P49" s="715">
        <v>38421</v>
      </c>
      <c r="Q49" s="716">
        <f>24.39*1.1</f>
        <v>26.829000000000004</v>
      </c>
      <c r="R49" s="717">
        <f>$A49*Q49</f>
        <v>0</v>
      </c>
      <c r="S49" s="716">
        <v>0.35</v>
      </c>
      <c r="T49" s="718">
        <f>$A49*S49*$T$1</f>
        <v>0</v>
      </c>
      <c r="U49" s="729">
        <v>1</v>
      </c>
    </row>
    <row r="50" spans="1:42" s="711" customFormat="1" ht="13.2">
      <c r="A50" s="137"/>
      <c r="G50" s="712"/>
      <c r="H50" s="713"/>
      <c r="O50" s="714"/>
      <c r="P50" s="715"/>
      <c r="Q50" s="716"/>
      <c r="R50" s="717">
        <f t="shared" ref="R50:R51" si="6">$A50*Q50</f>
        <v>0</v>
      </c>
      <c r="S50" s="716"/>
      <c r="T50" s="718">
        <f t="shared" ref="T50:T51" si="7">$A50*S50*$T$1</f>
        <v>0</v>
      </c>
    </row>
    <row r="51" spans="1:42" s="711" customFormat="1" ht="13.2">
      <c r="A51" s="137"/>
      <c r="D51" s="727" t="s">
        <v>453</v>
      </c>
      <c r="G51" s="712"/>
      <c r="H51" s="713"/>
      <c r="O51" s="714"/>
      <c r="P51" s="715"/>
      <c r="Q51" s="716"/>
      <c r="R51" s="717">
        <f t="shared" si="6"/>
        <v>0</v>
      </c>
      <c r="S51" s="716"/>
      <c r="T51" s="718">
        <f t="shared" si="7"/>
        <v>0</v>
      </c>
    </row>
    <row r="52" spans="1:42" s="554" customFormat="1" ht="12">
      <c r="A52" s="550"/>
      <c r="B52" s="550"/>
      <c r="C52" s="550"/>
      <c r="D52" s="550"/>
      <c r="E52" s="550"/>
      <c r="F52" s="551"/>
      <c r="G52" s="550"/>
      <c r="H52" s="550"/>
      <c r="I52" s="552"/>
      <c r="J52" s="550"/>
      <c r="K52" s="550"/>
      <c r="L52" s="550"/>
      <c r="M52" s="550"/>
      <c r="N52" s="550"/>
      <c r="O52" s="550"/>
      <c r="P52" s="550"/>
      <c r="Q52" s="552"/>
      <c r="R52" s="574">
        <f t="shared" ref="R52" si="8">$A52*Q52</f>
        <v>0</v>
      </c>
      <c r="S52" s="552"/>
      <c r="T52" s="553">
        <f t="shared" ref="T52" si="9">$A52*S52*$T$1</f>
        <v>0</v>
      </c>
    </row>
    <row r="53" spans="1:42" s="554" customFormat="1" ht="12.6" thickBot="1">
      <c r="A53" s="575" t="s">
        <v>143</v>
      </c>
      <c r="B53" s="576">
        <f>(R52+T52)</f>
        <v>0</v>
      </c>
      <c r="C53" s="577"/>
      <c r="D53" s="577"/>
      <c r="E53" s="577"/>
      <c r="F53" s="578"/>
      <c r="G53" s="577" t="s">
        <v>144</v>
      </c>
      <c r="H53" s="577"/>
      <c r="I53" s="579"/>
      <c r="J53" s="577"/>
      <c r="K53" s="577" t="s">
        <v>3</v>
      </c>
      <c r="L53" s="580" t="s">
        <v>141</v>
      </c>
      <c r="M53" s="580"/>
      <c r="N53" s="580"/>
      <c r="O53" s="580"/>
      <c r="P53" s="580"/>
      <c r="Q53" s="581"/>
      <c r="R53" s="582">
        <f>SUM(R46:R52)</f>
        <v>2.2000000000000002</v>
      </c>
      <c r="S53" s="577"/>
      <c r="T53" s="582">
        <f>SUM(T46:T52)</f>
        <v>0.6</v>
      </c>
      <c r="U53" s="583"/>
      <c r="V53" s="583"/>
      <c r="W53" s="583"/>
      <c r="X53" s="583"/>
      <c r="Y53" s="583"/>
      <c r="Z53" s="583"/>
      <c r="AA53" s="583"/>
      <c r="AB53" s="583"/>
      <c r="AC53" s="583"/>
      <c r="AD53" s="583"/>
      <c r="AE53" s="583"/>
      <c r="AF53" s="583"/>
      <c r="AG53" s="583"/>
      <c r="AH53" s="583"/>
      <c r="AI53" s="583"/>
      <c r="AJ53" s="583"/>
      <c r="AK53" s="583"/>
      <c r="AL53" s="583"/>
      <c r="AM53" s="583"/>
      <c r="AN53" s="583"/>
      <c r="AO53" s="583"/>
      <c r="AP53" s="583"/>
    </row>
    <row r="54" spans="1:42" s="554" customFormat="1" thickTop="1">
      <c r="A54" s="692"/>
      <c r="B54" s="692"/>
      <c r="C54" s="693"/>
      <c r="D54" s="693"/>
      <c r="E54" s="692"/>
      <c r="F54" s="692"/>
      <c r="G54" s="692"/>
      <c r="H54" s="692"/>
      <c r="I54" s="692"/>
      <c r="J54" s="692"/>
      <c r="K54" s="692" t="s">
        <v>133</v>
      </c>
      <c r="L54" s="692"/>
      <c r="M54" s="692"/>
      <c r="N54" s="692"/>
      <c r="O54" s="694"/>
      <c r="P54" s="692"/>
      <c r="Q54" s="692"/>
      <c r="R54" s="692"/>
      <c r="S54" s="692"/>
      <c r="T54" s="692"/>
    </row>
    <row r="55" spans="1:42" s="554" customFormat="1" ht="12">
      <c r="A55" s="692"/>
      <c r="B55" s="692"/>
      <c r="C55" s="692" t="s">
        <v>134</v>
      </c>
      <c r="D55" s="695" t="s">
        <v>135</v>
      </c>
      <c r="E55" s="692"/>
      <c r="F55" s="692"/>
      <c r="G55" s="692"/>
      <c r="H55" s="692"/>
      <c r="I55" s="692"/>
      <c r="J55" s="692"/>
      <c r="K55" s="692"/>
      <c r="L55" s="692"/>
      <c r="M55" s="692"/>
      <c r="N55" s="692"/>
      <c r="O55" s="694"/>
      <c r="P55" s="692"/>
      <c r="Q55" s="692"/>
      <c r="R55" s="692"/>
      <c r="S55" s="692"/>
      <c r="T55" s="692"/>
    </row>
    <row r="56" spans="1:42" s="554" customFormat="1" ht="12">
      <c r="A56" s="692"/>
      <c r="B56" s="692"/>
      <c r="C56" s="692"/>
      <c r="D56" s="695" t="s">
        <v>344</v>
      </c>
      <c r="E56" s="692"/>
      <c r="F56" s="692"/>
      <c r="G56" s="692"/>
      <c r="H56" s="692"/>
      <c r="I56" s="692"/>
      <c r="J56" s="692"/>
      <c r="K56" s="692"/>
      <c r="L56" s="692"/>
      <c r="M56" s="692"/>
      <c r="N56" s="692"/>
      <c r="O56" s="694"/>
      <c r="P56" s="692"/>
      <c r="Q56" s="692"/>
      <c r="R56" s="692"/>
      <c r="S56" s="696"/>
      <c r="T56" s="696"/>
    </row>
    <row r="57" spans="1:42" s="3" customFormat="1" thickBot="1">
      <c r="A57" s="697"/>
      <c r="B57" s="693"/>
      <c r="C57" s="693"/>
      <c r="D57" s="693"/>
      <c r="E57" s="693"/>
      <c r="F57" s="693"/>
      <c r="G57" s="693"/>
      <c r="H57" s="693"/>
      <c r="I57" s="693"/>
      <c r="J57" s="693"/>
      <c r="K57" s="693"/>
      <c r="L57" s="693"/>
      <c r="M57" s="693"/>
      <c r="N57" s="693"/>
      <c r="O57" s="698"/>
      <c r="P57" s="693"/>
      <c r="Q57" s="693"/>
      <c r="R57" s="693"/>
      <c r="S57" s="693"/>
      <c r="T57" s="693"/>
    </row>
    <row r="58" spans="1:42" s="554" customFormat="1" ht="12" thickTop="1">
      <c r="A58" s="58"/>
      <c r="B58" s="39"/>
      <c r="C58" s="58"/>
      <c r="E58" s="40" t="s">
        <v>136</v>
      </c>
      <c r="F58" s="40" t="s">
        <v>137</v>
      </c>
      <c r="G58" s="58"/>
      <c r="H58" s="58"/>
      <c r="I58" s="58"/>
      <c r="J58" s="58"/>
      <c r="K58" s="58" t="s">
        <v>138</v>
      </c>
      <c r="L58" s="58"/>
      <c r="M58" s="58"/>
      <c r="N58" s="58"/>
      <c r="O58" s="59"/>
      <c r="P58" s="58"/>
      <c r="Q58" s="58"/>
      <c r="R58" s="58"/>
      <c r="S58" s="58"/>
      <c r="T58" s="39"/>
      <c r="AG58" s="555" t="s">
        <v>248</v>
      </c>
      <c r="AH58" s="555" t="s">
        <v>249</v>
      </c>
      <c r="AI58" s="555" t="s">
        <v>250</v>
      </c>
      <c r="AJ58" s="555" t="s">
        <v>251</v>
      </c>
      <c r="AK58" s="555" t="s">
        <v>252</v>
      </c>
      <c r="AM58" s="547" t="s">
        <v>261</v>
      </c>
      <c r="AN58" s="548" t="s">
        <v>267</v>
      </c>
      <c r="AO58" s="548" t="s">
        <v>262</v>
      </c>
      <c r="AP58" s="556" t="s">
        <v>258</v>
      </c>
    </row>
    <row r="59" spans="1:42" s="554" customFormat="1" ht="12" customHeight="1">
      <c r="A59" s="557">
        <v>1</v>
      </c>
      <c r="B59" s="558" t="s">
        <v>139</v>
      </c>
      <c r="C59" s="559"/>
      <c r="D59" s="560" t="s">
        <v>461</v>
      </c>
      <c r="E59" s="561">
        <f>IF(AND($A59=0,$A$1="DIF"),0, ROUND(ROUND(($R64*$S$2+($T64*$T$2))/A59,2)*$C$2,2))</f>
        <v>21.37</v>
      </c>
      <c r="F59" s="562">
        <f>ROUND($A59*$E59,2)</f>
        <v>21.37</v>
      </c>
      <c r="G59" s="563" t="s">
        <v>140</v>
      </c>
      <c r="H59" s="551"/>
      <c r="I59" s="564"/>
      <c r="J59" s="551"/>
      <c r="K59" s="551" t="s">
        <v>3</v>
      </c>
      <c r="L59" s="565" t="s">
        <v>141</v>
      </c>
      <c r="M59" s="565"/>
      <c r="N59" s="565"/>
      <c r="O59" s="565"/>
      <c r="P59" s="565"/>
      <c r="Q59" s="58"/>
      <c r="T59" s="566" t="str">
        <f>IF(AND($R64=0,$T64=0),"0.00","mu :" &amp; ROUND($F59/$C$2/($R64+$T64*$D$9),2))</f>
        <v>mu :1.3</v>
      </c>
      <c r="W59" s="567"/>
      <c r="AG59" s="501">
        <f>IF($E59=0,0,ROUND($R64*$S$2*$C$2/$A59,2))</f>
        <v>2.81</v>
      </c>
      <c r="AH59" s="501">
        <f>$AG59*$A59</f>
        <v>2.81</v>
      </c>
      <c r="AI59" s="568">
        <f>$E59-$AG59</f>
        <v>18.560000000000002</v>
      </c>
      <c r="AJ59" s="568">
        <f>$A59*$AI59</f>
        <v>18.560000000000002</v>
      </c>
      <c r="AK59" s="569">
        <f>ROUND(($AG59+$AI59)*$A59,2)</f>
        <v>21.37</v>
      </c>
      <c r="AM59" s="570">
        <f>ROUND(R64,2)</f>
        <v>2.16</v>
      </c>
      <c r="AN59" s="571">
        <f>IF(A59=0,0,AO59/A59)</f>
        <v>0.52</v>
      </c>
      <c r="AO59" s="571">
        <f>ROUND(T64,2)</f>
        <v>0.52</v>
      </c>
      <c r="AP59" s="572">
        <f>ROUND(AM59+AO59,2)*A59</f>
        <v>2.68</v>
      </c>
    </row>
    <row r="60" spans="1:42" s="554" customFormat="1" ht="13.2">
      <c r="A60" s="559"/>
      <c r="B60"/>
      <c r="C60" s="559"/>
      <c r="D60" s="560" t="s">
        <v>347</v>
      </c>
      <c r="E60" s="686"/>
      <c r="F60" s="687"/>
      <c r="G60" s="688"/>
      <c r="H60" s="687"/>
      <c r="I60" s="689"/>
      <c r="J60" s="687"/>
      <c r="K60" s="687" t="s">
        <v>142</v>
      </c>
      <c r="L60" s="687"/>
      <c r="M60" s="687"/>
      <c r="N60" s="687"/>
      <c r="O60" s="687"/>
      <c r="P60" s="687"/>
      <c r="Q60" s="690"/>
      <c r="R60" s="615"/>
      <c r="S60" s="573"/>
      <c r="T60" s="551"/>
    </row>
    <row r="61" spans="1:42" s="711" customFormat="1" ht="11.4">
      <c r="A61" s="550">
        <v>2</v>
      </c>
      <c r="B61" s="711" t="s">
        <v>306</v>
      </c>
      <c r="D61" s="711" t="s">
        <v>442</v>
      </c>
      <c r="G61" s="712" t="s">
        <v>443</v>
      </c>
      <c r="H61" s="713">
        <v>700</v>
      </c>
      <c r="I61" s="711" t="s">
        <v>444</v>
      </c>
      <c r="J61" s="711" t="s">
        <v>445</v>
      </c>
      <c r="O61" s="714">
        <v>1</v>
      </c>
      <c r="P61" s="715">
        <v>42213</v>
      </c>
      <c r="Q61" s="716">
        <v>0.67</v>
      </c>
      <c r="R61" s="717">
        <f>$A61*Q61</f>
        <v>1.34</v>
      </c>
      <c r="S61" s="716">
        <v>0.13</v>
      </c>
      <c r="T61" s="718">
        <f>$A61*S61*$T$1</f>
        <v>0.26</v>
      </c>
    </row>
    <row r="62" spans="1:42" s="711" customFormat="1" ht="11.4">
      <c r="A62" s="550">
        <v>2</v>
      </c>
      <c r="B62" s="711" t="s">
        <v>306</v>
      </c>
      <c r="D62" s="711" t="s">
        <v>446</v>
      </c>
      <c r="G62" s="712" t="s">
        <v>443</v>
      </c>
      <c r="H62" s="713">
        <v>700</v>
      </c>
      <c r="I62" s="711" t="s">
        <v>444</v>
      </c>
      <c r="J62" s="711" t="s">
        <v>445</v>
      </c>
      <c r="O62" s="714">
        <v>1</v>
      </c>
      <c r="P62" s="715">
        <v>42213</v>
      </c>
      <c r="Q62" s="716">
        <v>0.41</v>
      </c>
      <c r="R62" s="717">
        <f>$A62*Q62</f>
        <v>0.82</v>
      </c>
      <c r="S62" s="716">
        <v>0.13</v>
      </c>
      <c r="T62" s="718">
        <f>$A62*S62*$T$1</f>
        <v>0.26</v>
      </c>
    </row>
    <row r="63" spans="1:42" s="554" customFormat="1" ht="12">
      <c r="A63" s="550"/>
      <c r="B63" s="550"/>
      <c r="C63" s="550"/>
      <c r="D63" s="550"/>
      <c r="E63" s="550"/>
      <c r="F63" s="551"/>
      <c r="G63" s="550"/>
      <c r="H63" s="550"/>
      <c r="I63" s="552"/>
      <c r="J63" s="550"/>
      <c r="K63" s="550"/>
      <c r="L63" s="550"/>
      <c r="M63" s="550"/>
      <c r="N63" s="550"/>
      <c r="O63" s="550"/>
      <c r="P63" s="550"/>
      <c r="Q63" s="552"/>
      <c r="R63" s="574">
        <f t="shared" ref="R63" si="10">$A63*Q63</f>
        <v>0</v>
      </c>
      <c r="S63" s="552"/>
      <c r="T63" s="553">
        <f t="shared" ref="T63" si="11">$A63*S63*$T$1</f>
        <v>0</v>
      </c>
    </row>
    <row r="64" spans="1:42" s="554" customFormat="1" ht="12.6" thickBot="1">
      <c r="A64" s="575" t="s">
        <v>143</v>
      </c>
      <c r="B64" s="576">
        <f>(R63+T63)</f>
        <v>0</v>
      </c>
      <c r="C64" s="577"/>
      <c r="D64" s="577"/>
      <c r="E64" s="577"/>
      <c r="F64" s="578"/>
      <c r="G64" s="577" t="s">
        <v>144</v>
      </c>
      <c r="H64" s="577"/>
      <c r="I64" s="579"/>
      <c r="J64" s="577"/>
      <c r="K64" s="577" t="s">
        <v>3</v>
      </c>
      <c r="L64" s="580" t="s">
        <v>141</v>
      </c>
      <c r="M64" s="580"/>
      <c r="N64" s="580"/>
      <c r="O64" s="580"/>
      <c r="P64" s="580"/>
      <c r="Q64" s="581"/>
      <c r="R64" s="582">
        <f>SUM(R60:R63)</f>
        <v>2.16</v>
      </c>
      <c r="S64" s="577"/>
      <c r="T64" s="582">
        <f>SUM(T60:T63)</f>
        <v>0.52</v>
      </c>
      <c r="U64" s="583"/>
      <c r="V64" s="583"/>
      <c r="W64" s="583"/>
      <c r="X64" s="583"/>
      <c r="Y64" s="583"/>
      <c r="Z64" s="583"/>
      <c r="AA64" s="583"/>
      <c r="AB64" s="583"/>
      <c r="AC64" s="583"/>
      <c r="AD64" s="583"/>
      <c r="AE64" s="583"/>
      <c r="AF64" s="583"/>
      <c r="AG64" s="583"/>
      <c r="AH64" s="583"/>
      <c r="AI64" s="583"/>
      <c r="AJ64" s="583"/>
      <c r="AK64" s="583"/>
      <c r="AL64" s="583"/>
      <c r="AM64" s="583"/>
      <c r="AN64" s="583"/>
      <c r="AO64" s="583"/>
      <c r="AP64" s="583"/>
    </row>
    <row r="65" spans="1:42" s="554" customFormat="1" ht="12" thickTop="1">
      <c r="A65" s="58"/>
      <c r="B65" s="39"/>
      <c r="C65" s="58"/>
      <c r="E65" s="40" t="s">
        <v>136</v>
      </c>
      <c r="F65" s="40" t="s">
        <v>137</v>
      </c>
      <c r="G65" s="58"/>
      <c r="H65" s="58"/>
      <c r="I65" s="58"/>
      <c r="J65" s="58"/>
      <c r="K65" s="58" t="s">
        <v>138</v>
      </c>
      <c r="L65" s="58"/>
      <c r="M65" s="58"/>
      <c r="N65" s="58"/>
      <c r="O65" s="59"/>
      <c r="P65" s="58"/>
      <c r="Q65" s="58"/>
      <c r="R65" s="58"/>
      <c r="S65" s="58"/>
      <c r="T65" s="39"/>
      <c r="AG65" s="555" t="s">
        <v>248</v>
      </c>
      <c r="AH65" s="555" t="s">
        <v>249</v>
      </c>
      <c r="AI65" s="555" t="s">
        <v>250</v>
      </c>
      <c r="AJ65" s="555" t="s">
        <v>251</v>
      </c>
      <c r="AK65" s="555" t="s">
        <v>252</v>
      </c>
      <c r="AM65" s="547" t="s">
        <v>261</v>
      </c>
      <c r="AN65" s="548" t="s">
        <v>267</v>
      </c>
      <c r="AO65" s="548" t="s">
        <v>262</v>
      </c>
      <c r="AP65" s="556" t="s">
        <v>258</v>
      </c>
    </row>
    <row r="66" spans="1:42" s="554" customFormat="1" ht="12" customHeight="1">
      <c r="A66" s="557">
        <v>1</v>
      </c>
      <c r="B66" s="558" t="s">
        <v>139</v>
      </c>
      <c r="C66" s="559"/>
      <c r="D66" s="560" t="s">
        <v>462</v>
      </c>
      <c r="E66" s="561">
        <f>IF(AND($A66=0,$A$1="DIF"),0, ROUND(ROUND(($R71*$S$2+($T71*$T$2))/A66,2)*$C$2,2))</f>
        <v>21.37</v>
      </c>
      <c r="F66" s="562">
        <f>ROUND($A66*$E66,2)</f>
        <v>21.37</v>
      </c>
      <c r="G66" s="563" t="s">
        <v>140</v>
      </c>
      <c r="H66" s="551"/>
      <c r="I66" s="564"/>
      <c r="J66" s="551"/>
      <c r="K66" s="551" t="s">
        <v>3</v>
      </c>
      <c r="L66" s="565" t="s">
        <v>141</v>
      </c>
      <c r="M66" s="565"/>
      <c r="N66" s="565"/>
      <c r="O66" s="565"/>
      <c r="P66" s="565"/>
      <c r="Q66" s="58"/>
      <c r="T66" s="566" t="str">
        <f>IF(AND($R71=0,$T71=0),"0.00","mu :" &amp; ROUND($F66/$C$2/($R71+$T71*$D$9),2))</f>
        <v>mu :1.3</v>
      </c>
      <c r="W66" s="567"/>
      <c r="AG66" s="501">
        <f>IF($E66=0,0,ROUND($R71*$S$2*$C$2/$A66,2))</f>
        <v>2.81</v>
      </c>
      <c r="AH66" s="501">
        <f>$AG66*$A66</f>
        <v>2.81</v>
      </c>
      <c r="AI66" s="568">
        <f>$E66-$AG66</f>
        <v>18.560000000000002</v>
      </c>
      <c r="AJ66" s="568">
        <f>$A66*$AI66</f>
        <v>18.560000000000002</v>
      </c>
      <c r="AK66" s="569">
        <f>ROUND(($AG66+$AI66)*$A66,2)</f>
        <v>21.37</v>
      </c>
      <c r="AM66" s="570">
        <f>ROUND(R71,2)</f>
        <v>2.16</v>
      </c>
      <c r="AN66" s="571">
        <f>IF(A66=0,0,AO66/A66)</f>
        <v>0.52</v>
      </c>
      <c r="AO66" s="571">
        <f>ROUND(T71,2)</f>
        <v>0.52</v>
      </c>
      <c r="AP66" s="572">
        <f>ROUND(AM66+AO66,2)*A66</f>
        <v>2.68</v>
      </c>
    </row>
    <row r="67" spans="1:42" s="554" customFormat="1" ht="13.2">
      <c r="A67" s="559"/>
      <c r="B67"/>
      <c r="C67" s="559"/>
      <c r="D67" s="560" t="s">
        <v>347</v>
      </c>
      <c r="E67" s="686"/>
      <c r="F67" s="687"/>
      <c r="G67" s="688"/>
      <c r="H67" s="687"/>
      <c r="I67" s="689"/>
      <c r="J67" s="687"/>
      <c r="K67" s="687" t="s">
        <v>142</v>
      </c>
      <c r="L67" s="687"/>
      <c r="M67" s="687"/>
      <c r="N67" s="687"/>
      <c r="O67" s="687"/>
      <c r="P67" s="687"/>
      <c r="Q67" s="690"/>
      <c r="R67" s="615"/>
      <c r="S67" s="573"/>
      <c r="T67" s="551"/>
    </row>
    <row r="68" spans="1:42" s="711" customFormat="1" ht="11.4">
      <c r="A68" s="550">
        <v>2</v>
      </c>
      <c r="B68" s="711" t="s">
        <v>306</v>
      </c>
      <c r="D68" s="711" t="s">
        <v>442</v>
      </c>
      <c r="G68" s="712" t="s">
        <v>443</v>
      </c>
      <c r="H68" s="713">
        <v>700</v>
      </c>
      <c r="I68" s="711" t="s">
        <v>444</v>
      </c>
      <c r="J68" s="711" t="s">
        <v>445</v>
      </c>
      <c r="O68" s="714">
        <v>1</v>
      </c>
      <c r="P68" s="715">
        <v>42213</v>
      </c>
      <c r="Q68" s="716">
        <v>0.67</v>
      </c>
      <c r="R68" s="717">
        <f>$A68*Q68</f>
        <v>1.34</v>
      </c>
      <c r="S68" s="716">
        <v>0.13</v>
      </c>
      <c r="T68" s="718">
        <f>$A68*S68*$T$1</f>
        <v>0.26</v>
      </c>
    </row>
    <row r="69" spans="1:42" s="711" customFormat="1" ht="11.4">
      <c r="A69" s="550">
        <v>2</v>
      </c>
      <c r="B69" s="711" t="s">
        <v>306</v>
      </c>
      <c r="D69" s="711" t="s">
        <v>446</v>
      </c>
      <c r="G69" s="712" t="s">
        <v>443</v>
      </c>
      <c r="H69" s="713">
        <v>700</v>
      </c>
      <c r="I69" s="711" t="s">
        <v>444</v>
      </c>
      <c r="J69" s="711" t="s">
        <v>445</v>
      </c>
      <c r="O69" s="714">
        <v>1</v>
      </c>
      <c r="P69" s="715">
        <v>42213</v>
      </c>
      <c r="Q69" s="716">
        <v>0.41</v>
      </c>
      <c r="R69" s="717">
        <f>$A69*Q69</f>
        <v>0.82</v>
      </c>
      <c r="S69" s="716">
        <v>0.13</v>
      </c>
      <c r="T69" s="718">
        <f>$A69*S69*$T$1</f>
        <v>0.26</v>
      </c>
    </row>
    <row r="70" spans="1:42" s="554" customFormat="1" ht="12">
      <c r="A70" s="550"/>
      <c r="B70" s="550"/>
      <c r="C70" s="550"/>
      <c r="D70" s="550"/>
      <c r="E70" s="550"/>
      <c r="F70" s="551"/>
      <c r="G70" s="550"/>
      <c r="H70" s="550"/>
      <c r="I70" s="552"/>
      <c r="J70" s="550"/>
      <c r="K70" s="550"/>
      <c r="L70" s="550"/>
      <c r="M70" s="550"/>
      <c r="N70" s="550"/>
      <c r="O70" s="550"/>
      <c r="P70" s="550"/>
      <c r="Q70" s="552"/>
      <c r="R70" s="574">
        <f t="shared" ref="R70" si="12">$A70*Q70</f>
        <v>0</v>
      </c>
      <c r="S70" s="552"/>
      <c r="T70" s="553">
        <f t="shared" ref="T70" si="13">$A70*S70*$T$1</f>
        <v>0</v>
      </c>
    </row>
    <row r="71" spans="1:42" s="554" customFormat="1" ht="12.6" thickBot="1">
      <c r="A71" s="575" t="s">
        <v>143</v>
      </c>
      <c r="B71" s="576">
        <f>(R70+T70)</f>
        <v>0</v>
      </c>
      <c r="C71" s="577"/>
      <c r="D71" s="577"/>
      <c r="E71" s="577"/>
      <c r="F71" s="578"/>
      <c r="G71" s="577" t="s">
        <v>144</v>
      </c>
      <c r="H71" s="577"/>
      <c r="I71" s="579"/>
      <c r="J71" s="577"/>
      <c r="K71" s="577" t="s">
        <v>3</v>
      </c>
      <c r="L71" s="580" t="s">
        <v>141</v>
      </c>
      <c r="M71" s="580"/>
      <c r="N71" s="580"/>
      <c r="O71" s="580"/>
      <c r="P71" s="580"/>
      <c r="Q71" s="581"/>
      <c r="R71" s="582">
        <f>SUM(R67:R70)</f>
        <v>2.16</v>
      </c>
      <c r="S71" s="577"/>
      <c r="T71" s="582">
        <f>SUM(T67:T70)</f>
        <v>0.52</v>
      </c>
      <c r="U71" s="583"/>
      <c r="V71" s="583"/>
      <c r="W71" s="583"/>
      <c r="X71" s="583"/>
      <c r="Y71" s="583"/>
      <c r="Z71" s="583"/>
      <c r="AA71" s="583"/>
      <c r="AB71" s="583"/>
      <c r="AC71" s="583"/>
      <c r="AD71" s="583"/>
      <c r="AE71" s="583"/>
      <c r="AF71" s="583"/>
      <c r="AG71" s="583"/>
      <c r="AH71" s="583"/>
      <c r="AI71" s="583"/>
      <c r="AJ71" s="583"/>
      <c r="AK71" s="583"/>
      <c r="AL71" s="583"/>
      <c r="AM71" s="583"/>
      <c r="AN71" s="583"/>
      <c r="AO71" s="583"/>
      <c r="AP71" s="583"/>
    </row>
    <row r="72" spans="1:42" s="554" customFormat="1" ht="12" thickTop="1">
      <c r="A72" s="58"/>
      <c r="B72" s="39"/>
      <c r="C72" s="58"/>
      <c r="E72" s="40" t="s">
        <v>136</v>
      </c>
      <c r="F72" s="40" t="s">
        <v>137</v>
      </c>
      <c r="G72" s="58"/>
      <c r="H72" s="58"/>
      <c r="I72" s="58"/>
      <c r="J72" s="58"/>
      <c r="K72" s="58" t="s">
        <v>138</v>
      </c>
      <c r="L72" s="58"/>
      <c r="M72" s="58"/>
      <c r="N72" s="58"/>
      <c r="O72" s="59"/>
      <c r="P72" s="58"/>
      <c r="Q72" s="58"/>
      <c r="R72" s="58"/>
      <c r="S72" s="58"/>
      <c r="T72" s="39"/>
      <c r="AG72" s="555" t="s">
        <v>248</v>
      </c>
      <c r="AH72" s="555" t="s">
        <v>249</v>
      </c>
      <c r="AI72" s="555" t="s">
        <v>250</v>
      </c>
      <c r="AJ72" s="555" t="s">
        <v>251</v>
      </c>
      <c r="AK72" s="555" t="s">
        <v>252</v>
      </c>
      <c r="AM72" s="547" t="s">
        <v>261</v>
      </c>
      <c r="AN72" s="548" t="s">
        <v>267</v>
      </c>
      <c r="AO72" s="548" t="s">
        <v>262</v>
      </c>
      <c r="AP72" s="556" t="s">
        <v>258</v>
      </c>
    </row>
    <row r="73" spans="1:42" s="554" customFormat="1" ht="12" customHeight="1">
      <c r="A73" s="557">
        <v>1</v>
      </c>
      <c r="B73" s="558" t="s">
        <v>279</v>
      </c>
      <c r="C73" s="559"/>
      <c r="D73" s="560" t="s">
        <v>414</v>
      </c>
      <c r="E73" s="561">
        <f>IF(AND($A73=0,$A$1="DIF"),0, ROUND(ROUND(($R78*$S$2+($T78*$T$2))/A73,2)*$C$2,2))</f>
        <v>0</v>
      </c>
      <c r="F73" s="562">
        <f>ROUND($A73*$E73,2)</f>
        <v>0</v>
      </c>
      <c r="G73" s="563" t="s">
        <v>140</v>
      </c>
      <c r="H73" s="551"/>
      <c r="I73" s="564"/>
      <c r="J73" s="551"/>
      <c r="K73" s="551" t="s">
        <v>3</v>
      </c>
      <c r="L73" s="565" t="s">
        <v>141</v>
      </c>
      <c r="M73" s="565"/>
      <c r="N73" s="565"/>
      <c r="O73" s="565"/>
      <c r="P73" s="565"/>
      <c r="Q73" s="58" t="s">
        <v>466</v>
      </c>
      <c r="T73" s="566" t="str">
        <f>IF(AND($R78=0,$T78=0),"0.00","mu :" &amp; ROUND($F73/$C$2/($R78+$T78*$D$9),2))</f>
        <v>0.00</v>
      </c>
      <c r="W73" s="567"/>
      <c r="AG73" s="501">
        <f>IF($E73=0,0,ROUND($R78*$S$2*$C$2/$A73,2))</f>
        <v>0</v>
      </c>
      <c r="AH73" s="501">
        <f>$AG73*$A73</f>
        <v>0</v>
      </c>
      <c r="AI73" s="568">
        <f>$E73-$AG73</f>
        <v>0</v>
      </c>
      <c r="AJ73" s="568">
        <f>$A73*$AI73</f>
        <v>0</v>
      </c>
      <c r="AK73" s="569">
        <f>ROUND(($AG73+$AI73)*$A73,2)</f>
        <v>0</v>
      </c>
      <c r="AM73" s="570">
        <f>ROUND(R78,2)</f>
        <v>0</v>
      </c>
      <c r="AN73" s="571">
        <f>IF(A73=0,0,AO73/A73)</f>
        <v>0</v>
      </c>
      <c r="AO73" s="571">
        <f>ROUND(T78,2)</f>
        <v>0</v>
      </c>
      <c r="AP73" s="572">
        <f>ROUND(AM73+AO73,2)*A73</f>
        <v>0</v>
      </c>
    </row>
    <row r="74" spans="1:42" s="554" customFormat="1" ht="36">
      <c r="A74" s="559"/>
      <c r="B74"/>
      <c r="C74" s="559"/>
      <c r="D74" s="685" t="s">
        <v>348</v>
      </c>
      <c r="E74" s="686"/>
      <c r="F74" s="687"/>
      <c r="G74" s="688"/>
      <c r="H74" s="687"/>
      <c r="I74" s="689"/>
      <c r="J74" s="687"/>
      <c r="K74" s="687" t="s">
        <v>142</v>
      </c>
      <c r="L74" s="687"/>
      <c r="M74" s="687"/>
      <c r="N74" s="687"/>
      <c r="O74" s="687"/>
      <c r="P74" s="687"/>
      <c r="Q74" s="690"/>
      <c r="R74" s="615"/>
      <c r="S74" s="573"/>
      <c r="T74" s="551"/>
    </row>
    <row r="75" spans="1:42" s="711" customFormat="1" ht="11.4">
      <c r="A75" s="550"/>
      <c r="G75" s="712"/>
      <c r="H75" s="713"/>
      <c r="O75" s="714"/>
      <c r="P75" s="715"/>
      <c r="Q75" s="716"/>
      <c r="R75" s="717">
        <f>$A75*Q75</f>
        <v>0</v>
      </c>
      <c r="S75" s="716"/>
      <c r="T75" s="718">
        <f>$A75*S75*$T$1</f>
        <v>0</v>
      </c>
    </row>
    <row r="76" spans="1:42" s="711" customFormat="1" ht="11.4">
      <c r="A76" s="550"/>
      <c r="D76" s="58" t="s">
        <v>466</v>
      </c>
      <c r="G76" s="712"/>
      <c r="H76" s="713"/>
      <c r="O76" s="714"/>
      <c r="P76" s="715"/>
      <c r="Q76" s="716"/>
      <c r="R76" s="717">
        <f>$A76*Q76</f>
        <v>0</v>
      </c>
      <c r="S76" s="716"/>
      <c r="T76" s="718">
        <f>$A76*S76*$T$1</f>
        <v>0</v>
      </c>
    </row>
    <row r="77" spans="1:42" s="554" customFormat="1" ht="12">
      <c r="A77" s="550"/>
      <c r="B77" s="550"/>
      <c r="C77" s="550"/>
      <c r="D77" s="550"/>
      <c r="E77" s="550"/>
      <c r="F77" s="551"/>
      <c r="G77" s="550"/>
      <c r="H77" s="550"/>
      <c r="I77" s="552"/>
      <c r="J77" s="550"/>
      <c r="K77" s="550"/>
      <c r="L77" s="550"/>
      <c r="M77" s="550"/>
      <c r="N77" s="550"/>
      <c r="O77" s="550"/>
      <c r="P77" s="550"/>
      <c r="Q77" s="552"/>
      <c r="R77" s="574">
        <f t="shared" ref="R77" si="14">$A77*Q77</f>
        <v>0</v>
      </c>
      <c r="S77" s="552"/>
      <c r="T77" s="553">
        <f t="shared" ref="T77" si="15">$A77*S77*$T$1</f>
        <v>0</v>
      </c>
    </row>
    <row r="78" spans="1:42" s="554" customFormat="1" ht="12.6" thickBot="1">
      <c r="A78" s="575" t="s">
        <v>143</v>
      </c>
      <c r="B78" s="576">
        <f>(R77+T77)</f>
        <v>0</v>
      </c>
      <c r="C78" s="577"/>
      <c r="D78" s="577"/>
      <c r="E78" s="577"/>
      <c r="F78" s="578"/>
      <c r="G78" s="577" t="s">
        <v>144</v>
      </c>
      <c r="H78" s="577"/>
      <c r="I78" s="579"/>
      <c r="J78" s="577"/>
      <c r="K78" s="577" t="s">
        <v>3</v>
      </c>
      <c r="L78" s="580" t="s">
        <v>141</v>
      </c>
      <c r="M78" s="580"/>
      <c r="N78" s="580"/>
      <c r="O78" s="580"/>
      <c r="P78" s="580"/>
      <c r="Q78" s="581"/>
      <c r="R78" s="582">
        <f>SUM(R74:R77)</f>
        <v>0</v>
      </c>
      <c r="S78" s="577"/>
      <c r="T78" s="582">
        <f>SUM(T74:T77)</f>
        <v>0</v>
      </c>
      <c r="U78" s="583"/>
      <c r="V78" s="583"/>
      <c r="W78" s="583"/>
      <c r="X78" s="583"/>
      <c r="Y78" s="583"/>
      <c r="Z78" s="583"/>
      <c r="AA78" s="583"/>
      <c r="AB78" s="583"/>
      <c r="AC78" s="583"/>
      <c r="AD78" s="583"/>
      <c r="AE78" s="583"/>
      <c r="AF78" s="583"/>
      <c r="AG78" s="583"/>
      <c r="AH78" s="583"/>
      <c r="AI78" s="583"/>
      <c r="AJ78" s="583"/>
      <c r="AK78" s="583"/>
      <c r="AL78" s="583"/>
      <c r="AM78" s="583"/>
      <c r="AN78" s="583"/>
      <c r="AO78" s="583"/>
      <c r="AP78" s="583"/>
    </row>
    <row r="79" spans="1:42" ht="14.4" thickTop="1">
      <c r="A79" s="46" t="s">
        <v>152</v>
      </c>
      <c r="B79" s="31"/>
      <c r="C79" s="31"/>
      <c r="D79" s="31"/>
      <c r="E79" s="31"/>
      <c r="F79" s="31"/>
      <c r="G79" s="31"/>
      <c r="H79" s="31"/>
      <c r="I79" s="31"/>
      <c r="J79" s="31"/>
      <c r="K79" s="31"/>
      <c r="L79" s="31"/>
      <c r="M79" s="31"/>
      <c r="N79" s="31"/>
      <c r="O79" s="33"/>
      <c r="P79" s="31"/>
      <c r="Q79" s="31"/>
      <c r="R79" s="31"/>
      <c r="S79" s="31"/>
      <c r="T79" s="31"/>
    </row>
    <row r="80" spans="1:42">
      <c r="A80" s="31"/>
      <c r="B80" s="32"/>
      <c r="C80" s="31"/>
      <c r="D80" s="31"/>
      <c r="E80" s="31"/>
      <c r="F80" s="31"/>
      <c r="G80" s="31"/>
      <c r="H80" s="31"/>
      <c r="I80" s="31"/>
      <c r="J80" s="31"/>
      <c r="K80" s="31"/>
      <c r="L80" s="31"/>
      <c r="M80" s="31"/>
      <c r="N80" s="31"/>
      <c r="O80" s="33"/>
      <c r="P80" s="31"/>
      <c r="Q80" s="31"/>
      <c r="R80" s="31"/>
      <c r="S80" s="31"/>
      <c r="T80" s="31"/>
    </row>
    <row r="81" spans="1:37">
      <c r="A81" s="31"/>
      <c r="B81" s="47">
        <f>($R81*$S$2+$T81*$T$2)-$F81</f>
        <v>-1.6800000000785076E-3</v>
      </c>
      <c r="C81" s="31"/>
      <c r="D81" s="48" t="s">
        <v>163</v>
      </c>
      <c r="E81" s="431"/>
      <c r="F81" s="498">
        <f>SUMIF($L18:$L79,"ITEM",F18:F79)</f>
        <v>349.58000000000004</v>
      </c>
      <c r="G81" s="4"/>
      <c r="H81" s="4"/>
      <c r="I81" s="5"/>
      <c r="J81" s="4"/>
      <c r="K81" s="4"/>
      <c r="L81" s="2" t="s">
        <v>164</v>
      </c>
      <c r="M81" s="2"/>
      <c r="N81" s="2"/>
      <c r="O81" s="2"/>
      <c r="P81" s="2"/>
      <c r="Q81" s="31"/>
      <c r="R81" s="498">
        <f>SUMIF($L18:$L79,"ITEM",R18:R79)</f>
        <v>190.92</v>
      </c>
      <c r="S81" s="49"/>
      <c r="T81" s="498">
        <f>SUMIF($L18:$L79,"ITEM",T18:T79)</f>
        <v>2.84</v>
      </c>
    </row>
    <row r="82" spans="1:37" ht="16.5" customHeight="1">
      <c r="A82" s="31"/>
      <c r="B82" s="50" t="s">
        <v>165</v>
      </c>
      <c r="C82" s="31"/>
      <c r="D82" s="32"/>
      <c r="E82" s="31"/>
      <c r="F82" s="36" t="s">
        <v>166</v>
      </c>
      <c r="G82" s="4"/>
      <c r="H82" s="4"/>
      <c r="I82" s="5"/>
      <c r="J82" s="4"/>
      <c r="K82" s="4"/>
      <c r="L82" s="4"/>
      <c r="M82" s="4"/>
      <c r="N82" s="4"/>
      <c r="O82" s="4"/>
      <c r="P82" s="4"/>
      <c r="Q82" s="51"/>
      <c r="R82" s="36" t="s">
        <v>167</v>
      </c>
      <c r="S82" s="36"/>
      <c r="T82" s="36" t="s">
        <v>168</v>
      </c>
    </row>
    <row r="83" spans="1:37">
      <c r="A83" s="4"/>
      <c r="B83" s="32"/>
      <c r="C83" s="4"/>
      <c r="D83" s="32"/>
      <c r="E83" s="32"/>
      <c r="F83" s="32"/>
      <c r="G83" s="32"/>
      <c r="H83" s="32"/>
      <c r="I83" s="32"/>
      <c r="J83" s="32"/>
      <c r="K83" s="32"/>
      <c r="L83" s="32"/>
      <c r="M83" s="32"/>
      <c r="N83" s="32"/>
      <c r="O83" s="38"/>
      <c r="P83" s="32"/>
      <c r="Q83" s="32"/>
      <c r="R83" s="32"/>
      <c r="S83" s="32"/>
      <c r="T83" s="32"/>
    </row>
    <row r="84" spans="1:37" ht="14.4" thickBot="1">
      <c r="A84" s="52"/>
      <c r="B84" s="43"/>
      <c r="C84" s="43"/>
      <c r="D84" s="52"/>
      <c r="E84" s="52"/>
      <c r="F84" s="53"/>
      <c r="G84" s="43"/>
      <c r="H84" s="43"/>
      <c r="I84" s="44"/>
      <c r="J84" s="43"/>
      <c r="K84" s="43"/>
      <c r="L84" s="54"/>
      <c r="M84" s="54"/>
      <c r="N84" s="54"/>
      <c r="O84" s="54"/>
      <c r="P84" s="54"/>
      <c r="Q84" s="45"/>
      <c r="R84" s="53"/>
      <c r="S84" s="55"/>
      <c r="T84" s="53"/>
      <c r="U84" s="118"/>
      <c r="V84" s="419"/>
      <c r="W84" s="419"/>
      <c r="X84" s="419"/>
      <c r="Y84" s="419"/>
      <c r="Z84" s="419"/>
      <c r="AA84" s="419"/>
      <c r="AB84" s="419"/>
      <c r="AC84" s="118"/>
      <c r="AD84" s="118"/>
      <c r="AE84" s="118"/>
      <c r="AF84" s="118"/>
      <c r="AG84" s="534"/>
      <c r="AH84" s="534" t="s">
        <v>249</v>
      </c>
      <c r="AI84" s="534"/>
      <c r="AJ84" s="534" t="s">
        <v>251</v>
      </c>
      <c r="AK84" s="534" t="s">
        <v>252</v>
      </c>
    </row>
    <row r="85" spans="1:37" ht="15" thickTop="1" thickBot="1">
      <c r="A85" s="317" t="s">
        <v>145</v>
      </c>
      <c r="B85" s="4"/>
      <c r="C85" s="4"/>
      <c r="D85" s="4"/>
      <c r="E85" s="4"/>
      <c r="F85" s="2"/>
      <c r="G85" s="136"/>
      <c r="H85" s="31"/>
      <c r="I85" s="31"/>
      <c r="J85" s="31"/>
      <c r="K85" s="31"/>
      <c r="L85" s="4"/>
      <c r="M85" s="4"/>
      <c r="N85" s="4"/>
      <c r="O85" s="4"/>
      <c r="P85" s="4"/>
      <c r="Q85" s="51"/>
      <c r="R85" s="31"/>
      <c r="S85" s="31"/>
      <c r="T85" s="31"/>
      <c r="AH85" s="537">
        <f>SUM(AH$18:AH84)</f>
        <v>248.20000000000002</v>
      </c>
      <c r="AJ85" s="537">
        <f>SUM(AJ$18:AJ84)</f>
        <v>101.38000000000001</v>
      </c>
      <c r="AK85" s="537">
        <f>SUM(AK$18:AK84)</f>
        <v>349.58000000000004</v>
      </c>
    </row>
    <row r="86" spans="1:37" ht="14.4" thickTop="1">
      <c r="A86" s="58"/>
      <c r="B86" s="56">
        <f>$F86/$C$2-($R86*$S$2+$T86*$T$2)</f>
        <v>1.6800000000216642E-3</v>
      </c>
      <c r="C86" s="31" t="s">
        <v>72</v>
      </c>
      <c r="D86" s="57"/>
      <c r="E86" s="57" t="str">
        <f>$F$2 &amp; " (mu_A) :"</f>
        <v>Electrical (mu_A) :</v>
      </c>
      <c r="F86" s="487">
        <f>SUMIF($K$13:$K85,"mu_A",F$13:F85)</f>
        <v>115.58000000000001</v>
      </c>
      <c r="G86" s="58"/>
      <c r="H86" s="58"/>
      <c r="I86" s="58"/>
      <c r="J86" s="58"/>
      <c r="K86" s="58"/>
      <c r="L86" s="58"/>
      <c r="M86" s="58"/>
      <c r="N86" s="58"/>
      <c r="O86" s="59"/>
      <c r="P86" s="58"/>
      <c r="Q86" s="58"/>
      <c r="R86" s="60">
        <f>SUMIF($K$13:$K85,"mu_A",R$13:R$85)</f>
        <v>10.920000000000002</v>
      </c>
      <c r="S86" s="58"/>
      <c r="T86" s="60">
        <f>SUMIF($K$13:$K85,"mu_A",T$13:T$85)</f>
        <v>2.84</v>
      </c>
      <c r="AG86" s="1"/>
      <c r="AH86" s="487">
        <f>R86*$S$2</f>
        <v>14.196000000000003</v>
      </c>
      <c r="AI86" s="1"/>
      <c r="AJ86" s="487">
        <f>T86*$T$2</f>
        <v>101.38231999999999</v>
      </c>
      <c r="AK86" s="1"/>
    </row>
    <row r="87" spans="1:37">
      <c r="A87" s="58"/>
      <c r="B87" s="56">
        <f>$F87/$C$3-($R87*$S$3+$T87*$T$3)</f>
        <v>0</v>
      </c>
      <c r="C87" s="31" t="s">
        <v>72</v>
      </c>
      <c r="D87" s="57"/>
      <c r="E87" s="57" t="str">
        <f>$F$3&amp; " (mu_B) :"</f>
        <v>Controls Section (Guy) (mu_B) :</v>
      </c>
      <c r="F87" s="488">
        <f>SUMIF($K$13:$K85,"mu_B",F$13:F85)</f>
        <v>234</v>
      </c>
      <c r="G87" s="61"/>
      <c r="H87" s="61"/>
      <c r="I87" s="62"/>
      <c r="J87" s="61"/>
      <c r="K87" s="61"/>
      <c r="L87" s="61"/>
      <c r="M87" s="61"/>
      <c r="N87" s="61"/>
      <c r="O87" s="61"/>
      <c r="P87" s="61"/>
      <c r="Q87" s="63"/>
      <c r="R87" s="64">
        <f>SUMIF($K$13:$K85,"mu_B",R$13:R85)</f>
        <v>180</v>
      </c>
      <c r="S87" s="65"/>
      <c r="T87" s="64">
        <f>SUMIF($K$13:$K85,"mu_B",T$13:T85)</f>
        <v>0</v>
      </c>
      <c r="AG87" s="1"/>
      <c r="AH87" s="488">
        <f>R87*$S$3</f>
        <v>234</v>
      </c>
      <c r="AI87" s="1"/>
      <c r="AJ87" s="488">
        <f>T87*$T$3</f>
        <v>0</v>
      </c>
      <c r="AK87" s="1"/>
    </row>
    <row r="88" spans="1:37">
      <c r="A88" s="58"/>
      <c r="B88" s="56">
        <f>$F88/$C$4-($R88*$S$4+$T88*$T$4)</f>
        <v>0</v>
      </c>
      <c r="C88" s="31" t="s">
        <v>72</v>
      </c>
      <c r="D88" s="57"/>
      <c r="E88" s="57" t="str">
        <f>$F$4&amp; " (mu_C) :"</f>
        <v>0 (mu_C) :</v>
      </c>
      <c r="F88" s="489">
        <f>SUMIF($K$13:$K85,"mu_C",F$13:F85)</f>
        <v>0</v>
      </c>
      <c r="G88" s="61"/>
      <c r="H88" s="61"/>
      <c r="I88" s="62"/>
      <c r="J88" s="61"/>
      <c r="K88" s="61"/>
      <c r="L88" s="61"/>
      <c r="M88" s="61"/>
      <c r="N88" s="61"/>
      <c r="O88" s="61"/>
      <c r="P88" s="61"/>
      <c r="Q88" s="58"/>
      <c r="R88" s="64">
        <f>SUMIF($K$13:$K85,"mu_C",R$13:R85)</f>
        <v>0</v>
      </c>
      <c r="S88" s="66"/>
      <c r="T88" s="64">
        <f>SUMIF($K$13:$K85,"mu_C",T$13:T85)</f>
        <v>0</v>
      </c>
      <c r="AG88" s="1"/>
      <c r="AH88" s="489">
        <f>R88*$S$4</f>
        <v>0</v>
      </c>
      <c r="AI88" s="1"/>
      <c r="AJ88" s="489">
        <f>T88*$T$4</f>
        <v>0</v>
      </c>
      <c r="AK88" s="1"/>
    </row>
    <row r="89" spans="1:37">
      <c r="A89" s="58"/>
      <c r="B89" s="56">
        <f>$F89/$C$5-($R89*$S$5+$T89*$T$5)</f>
        <v>0</v>
      </c>
      <c r="C89" s="31" t="s">
        <v>72</v>
      </c>
      <c r="D89" s="57"/>
      <c r="E89" s="57" t="str">
        <f>$F$5&amp; " (mu_D) :"</f>
        <v>0 (mu_D) :</v>
      </c>
      <c r="F89" s="490">
        <f>SUMIF($K$13:$K85,"mu_D",F$13:F85)</f>
        <v>0</v>
      </c>
      <c r="G89" s="61"/>
      <c r="H89" s="61"/>
      <c r="I89" s="62"/>
      <c r="J89" s="61"/>
      <c r="K89" s="61"/>
      <c r="L89" s="61"/>
      <c r="M89" s="61"/>
      <c r="N89" s="61"/>
      <c r="O89" s="61"/>
      <c r="P89" s="61"/>
      <c r="Q89" s="58"/>
      <c r="R89" s="64">
        <f>SUMIF($K$13:$K85,"mu_D",R$13:R85)</f>
        <v>0</v>
      </c>
      <c r="S89" s="66"/>
      <c r="T89" s="64">
        <f>SUMIF($K$13:$K85,"mu_D",T$13:T85)</f>
        <v>0</v>
      </c>
      <c r="AG89" s="1"/>
      <c r="AH89" s="490">
        <f>R89*$S$5</f>
        <v>0</v>
      </c>
      <c r="AI89" s="1"/>
      <c r="AJ89" s="490">
        <f>T89*$T$5</f>
        <v>0</v>
      </c>
      <c r="AK89" s="1"/>
    </row>
    <row r="90" spans="1:37">
      <c r="A90" s="58"/>
      <c r="B90" s="56">
        <f>$F90/$C$6-($R90*$S$6+$T90*$T$6)</f>
        <v>0</v>
      </c>
      <c r="C90" s="31" t="s">
        <v>72</v>
      </c>
      <c r="D90" s="57"/>
      <c r="E90" s="57" t="str">
        <f>$F$6&amp; " (mu_E) :"</f>
        <v>0 (mu_E) :</v>
      </c>
      <c r="F90" s="491">
        <f>SUMIF($K$13:$K85,"mu_E",F$13:F85)</f>
        <v>0</v>
      </c>
      <c r="G90" s="61"/>
      <c r="H90" s="61"/>
      <c r="I90" s="62"/>
      <c r="J90" s="61"/>
      <c r="K90" s="61"/>
      <c r="L90" s="61"/>
      <c r="M90" s="61"/>
      <c r="N90" s="61"/>
      <c r="O90" s="61"/>
      <c r="P90" s="61"/>
      <c r="Q90" s="58"/>
      <c r="R90" s="64">
        <f>SUMIF($K$13:$K85,"mu_E",R$13:R85)</f>
        <v>0</v>
      </c>
      <c r="S90" s="66"/>
      <c r="T90" s="64">
        <f>SUMIF($K$13:$K85,"mu_E",T$13:T85)</f>
        <v>0</v>
      </c>
      <c r="AG90" s="1"/>
      <c r="AH90" s="491">
        <f>R90*$S$6</f>
        <v>0</v>
      </c>
      <c r="AI90" s="1"/>
      <c r="AJ90" s="491">
        <f>T90*$T$6</f>
        <v>0</v>
      </c>
      <c r="AK90" s="1"/>
    </row>
    <row r="91" spans="1:37">
      <c r="A91" s="58"/>
      <c r="B91" s="56">
        <f>$F91/$C$7-($R91*$S$7+$T91*$T$7)</f>
        <v>0</v>
      </c>
      <c r="C91" s="31" t="s">
        <v>72</v>
      </c>
      <c r="D91" s="57"/>
      <c r="E91" s="57" t="str">
        <f>$F$7&amp; " (mu_F) :"</f>
        <v>0 (mu_F) :</v>
      </c>
      <c r="F91" s="492">
        <f>SUMIF($K$13:$K85,"mu_F",F$13:F85)</f>
        <v>0</v>
      </c>
      <c r="G91" s="61"/>
      <c r="H91" s="61"/>
      <c r="I91" s="62"/>
      <c r="J91" s="61"/>
      <c r="K91" s="61"/>
      <c r="L91" s="61"/>
      <c r="M91" s="61"/>
      <c r="N91" s="61"/>
      <c r="O91" s="61"/>
      <c r="P91" s="61"/>
      <c r="Q91" s="58"/>
      <c r="R91" s="64">
        <f>SUMIF($K$13:$K85,"mu_F",R$13:R85)</f>
        <v>0</v>
      </c>
      <c r="S91" s="66"/>
      <c r="T91" s="64">
        <f>SUMIF($K$13:$K85,"mu_F",T$13:T85)</f>
        <v>0</v>
      </c>
      <c r="AG91" s="1"/>
      <c r="AH91" s="492">
        <f>R91*$S$7</f>
        <v>0</v>
      </c>
      <c r="AI91" s="1"/>
      <c r="AJ91" s="492">
        <f>T91*$T$7</f>
        <v>0</v>
      </c>
      <c r="AK91" s="1"/>
    </row>
    <row r="92" spans="1:37">
      <c r="A92" s="58"/>
      <c r="B92" s="56">
        <f>$F92/$C$8-($R92*$S$8+$T92*$T$8)</f>
        <v>0</v>
      </c>
      <c r="C92" s="31" t="s">
        <v>72</v>
      </c>
      <c r="D92" s="57"/>
      <c r="E92" s="57" t="str">
        <f>$F$8&amp; " (mu_G) :"</f>
        <v>0 (mu_G) :</v>
      </c>
      <c r="F92" s="493">
        <f>SUMIF($K$13:$K85,"mu_G",F$13:F85)</f>
        <v>0</v>
      </c>
      <c r="G92" s="61"/>
      <c r="H92" s="61"/>
      <c r="I92" s="62"/>
      <c r="J92" s="61"/>
      <c r="K92" s="61"/>
      <c r="L92" s="61"/>
      <c r="M92" s="61"/>
      <c r="N92" s="61"/>
      <c r="O92" s="61"/>
      <c r="P92" s="61"/>
      <c r="Q92" s="58"/>
      <c r="R92" s="64">
        <f>SUMIF($K$13:$K85,"mu_G",R$13:R85)</f>
        <v>0</v>
      </c>
      <c r="S92" s="66"/>
      <c r="T92" s="64">
        <f>SUMIF($K$13:$K85,"mu_G",T$13:T85)</f>
        <v>0</v>
      </c>
      <c r="AG92" s="1"/>
      <c r="AH92" s="493">
        <f>R92*$S$8</f>
        <v>0</v>
      </c>
      <c r="AI92" s="1"/>
      <c r="AJ92" s="493">
        <f>T92*$T$8</f>
        <v>0</v>
      </c>
      <c r="AK92" s="1"/>
    </row>
    <row r="93" spans="1:37">
      <c r="A93" s="58"/>
      <c r="B93" s="56">
        <f>$F93/$C$9-($R93*$S$9+$T93*$T$9)</f>
        <v>0</v>
      </c>
      <c r="C93" s="31" t="s">
        <v>72</v>
      </c>
      <c r="D93" s="57"/>
      <c r="E93" s="57" t="str">
        <f>$F$9&amp; " (mu_H) :"</f>
        <v>0 (mu_H) :</v>
      </c>
      <c r="F93" s="530">
        <f>SUMIF($K$13:$K85,"mu_H",F$13:F85)</f>
        <v>0</v>
      </c>
      <c r="G93" s="61"/>
      <c r="H93" s="61"/>
      <c r="I93" s="62"/>
      <c r="J93" s="61"/>
      <c r="K93" s="61"/>
      <c r="L93" s="61"/>
      <c r="M93" s="61"/>
      <c r="N93" s="61"/>
      <c r="O93" s="61"/>
      <c r="P93" s="61"/>
      <c r="Q93" s="58"/>
      <c r="R93" s="64">
        <f>SUMIF($K$13:$K85,"mu_H",R$13:R85)</f>
        <v>0</v>
      </c>
      <c r="S93" s="66"/>
      <c r="T93" s="64">
        <f>SUMIF($K$13:$K85,"mu_H",T$13:T85)</f>
        <v>0</v>
      </c>
      <c r="AG93" s="1"/>
      <c r="AH93" s="530">
        <f>R93*$S$9</f>
        <v>0</v>
      </c>
      <c r="AI93" s="1"/>
      <c r="AJ93" s="530">
        <f>T93*$T$9</f>
        <v>0</v>
      </c>
      <c r="AK93" s="1"/>
    </row>
    <row r="94" spans="1:37">
      <c r="A94" s="58"/>
      <c r="B94" s="56">
        <f>$F94/$C$10-($R94*$S$10+$T94*$T$10)</f>
        <v>0</v>
      </c>
      <c r="C94" s="31" t="s">
        <v>72</v>
      </c>
      <c r="D94" s="57"/>
      <c r="E94" s="57" t="str">
        <f>$F$10&amp; " (mu_I) :"</f>
        <v>0 (mu_I) :</v>
      </c>
      <c r="F94" s="531">
        <f>SUMIF($K$13:$K85,"mu_I",F$13:F85)</f>
        <v>0</v>
      </c>
      <c r="G94" s="61"/>
      <c r="H94" s="61"/>
      <c r="I94" s="62"/>
      <c r="J94" s="61"/>
      <c r="K94" s="61"/>
      <c r="L94" s="61"/>
      <c r="M94" s="61"/>
      <c r="N94" s="61"/>
      <c r="O94" s="61"/>
      <c r="P94" s="61"/>
      <c r="Q94" s="58"/>
      <c r="R94" s="64">
        <f>SUMIF($K$13:$K85,"mu_I",R$13:R85)</f>
        <v>0</v>
      </c>
      <c r="S94" s="66"/>
      <c r="T94" s="64">
        <f>SUMIF($K$13:$K85,"mu_I",T$13:T85)</f>
        <v>0</v>
      </c>
      <c r="AG94" s="1"/>
      <c r="AH94" s="531">
        <f>R94*$S$10</f>
        <v>0</v>
      </c>
      <c r="AI94" s="1"/>
      <c r="AJ94" s="531">
        <f>T94*$T$10</f>
        <v>0</v>
      </c>
      <c r="AK94" s="1"/>
    </row>
    <row r="95" spans="1:37">
      <c r="A95" s="58"/>
      <c r="B95" s="56">
        <f ca="1">$F95/$C$11-($R95*$S$11+$T95*$T$11)</f>
        <v>0</v>
      </c>
      <c r="C95" s="31"/>
      <c r="D95" s="57"/>
      <c r="E95" s="57" t="str">
        <f>$F$11&amp; " (mu_J) :"</f>
        <v>0 (mu_J) :</v>
      </c>
      <c r="F95" s="532">
        <f>SUMIF($K$13:$K86,"mu_J",F$13:F86)</f>
        <v>0</v>
      </c>
      <c r="G95" s="61"/>
      <c r="H95" s="61"/>
      <c r="I95" s="62"/>
      <c r="J95" s="61"/>
      <c r="K95" s="61"/>
      <c r="L95" s="61"/>
      <c r="M95" s="61"/>
      <c r="N95" s="61"/>
      <c r="O95" s="61"/>
      <c r="P95" s="61"/>
      <c r="Q95" s="58"/>
      <c r="R95" s="64">
        <f ca="1">SUMIF($K$13:$K86,"mu_J",R$13:R85)</f>
        <v>0</v>
      </c>
      <c r="S95" s="66"/>
      <c r="T95" s="64">
        <f>SUMIF($K$13:$K86,"mu_J",T$13:T86)</f>
        <v>0</v>
      </c>
      <c r="AG95" s="1"/>
      <c r="AH95" s="532">
        <f ca="1">R95*$S$11</f>
        <v>0</v>
      </c>
      <c r="AI95" s="1"/>
      <c r="AJ95" s="532">
        <f>T95*$T$11</f>
        <v>0</v>
      </c>
      <c r="AK95" s="1"/>
    </row>
    <row r="96" spans="1:37" ht="15" thickBot="1">
      <c r="A96" s="67"/>
      <c r="B96" s="67"/>
      <c r="C96" s="68" t="s">
        <v>146</v>
      </c>
      <c r="D96" s="69"/>
      <c r="E96" s="70" t="s">
        <v>147</v>
      </c>
      <c r="F96" s="494">
        <f>SUM(F86:F95)</f>
        <v>349.58000000000004</v>
      </c>
      <c r="G96" s="543" t="s">
        <v>140</v>
      </c>
      <c r="H96" s="71"/>
      <c r="I96" s="72"/>
      <c r="J96" s="71"/>
      <c r="K96" s="71"/>
      <c r="L96" s="71"/>
      <c r="M96" s="71"/>
      <c r="N96" s="71"/>
      <c r="O96" s="71"/>
      <c r="P96" s="71"/>
      <c r="Q96" s="73"/>
      <c r="R96" s="73">
        <f ca="1">SUM(R86:R95)</f>
        <v>190.92000000000002</v>
      </c>
      <c r="S96" s="74"/>
      <c r="T96" s="73">
        <f>SUM(T86:T95)</f>
        <v>2.84</v>
      </c>
      <c r="U96" s="118"/>
      <c r="V96" s="419"/>
      <c r="W96" s="419"/>
      <c r="X96" s="419"/>
      <c r="Y96" s="419"/>
      <c r="Z96" s="419"/>
      <c r="AA96" s="419"/>
      <c r="AB96" s="419"/>
      <c r="AC96" s="118"/>
      <c r="AD96" s="118"/>
      <c r="AE96" s="118"/>
      <c r="AF96" s="118"/>
      <c r="AG96" s="536"/>
      <c r="AH96" s="537">
        <f ca="1">SUM(AH86:AH95)</f>
        <v>248.196</v>
      </c>
      <c r="AI96" s="536"/>
      <c r="AJ96" s="537">
        <f>SUM(AJ86:AJ95)</f>
        <v>101.38231999999999</v>
      </c>
      <c r="AK96" s="537">
        <f ca="1">AH96+AJ96</f>
        <v>349.57831999999996</v>
      </c>
    </row>
    <row r="97" spans="1:37" ht="15" thickTop="1">
      <c r="A97" s="75"/>
      <c r="B97" s="75"/>
      <c r="C97" s="76"/>
      <c r="D97" s="77"/>
      <c r="E97" s="78"/>
      <c r="F97" s="79"/>
      <c r="G97" s="80"/>
      <c r="H97" s="80"/>
      <c r="I97" s="80"/>
      <c r="J97" s="80"/>
      <c r="K97" s="80"/>
      <c r="L97" s="80"/>
      <c r="M97" s="80"/>
      <c r="N97" s="80"/>
      <c r="O97" s="80"/>
      <c r="P97" s="80"/>
      <c r="Q97" s="79"/>
      <c r="R97" s="79"/>
      <c r="S97" s="81"/>
      <c r="T97" s="79"/>
      <c r="AH97" s="535">
        <f ca="1">AH85-AH96</f>
        <v>4.0000000000190994E-3</v>
      </c>
      <c r="AJ97" s="535">
        <f>AJ85-AJ96</f>
        <v>-2.3199999999832244E-3</v>
      </c>
      <c r="AK97" s="535">
        <f ca="1">AK85-AK96</f>
        <v>1.6800000000785076E-3</v>
      </c>
    </row>
    <row r="98" spans="1:37" ht="14.4" thickBot="1">
      <c r="A98" s="82"/>
      <c r="B98" s="83" t="s">
        <v>207</v>
      </c>
      <c r="C98" s="31"/>
      <c r="D98" s="84"/>
      <c r="E98" s="78" t="s">
        <v>170</v>
      </c>
      <c r="F98" s="42"/>
      <c r="G98" s="42"/>
      <c r="H98" s="42"/>
      <c r="I98" s="42"/>
      <c r="J98" s="42"/>
      <c r="K98" s="42"/>
      <c r="L98" s="85" t="s">
        <v>148</v>
      </c>
      <c r="M98" s="85"/>
      <c r="N98" s="85"/>
      <c r="O98" s="85"/>
      <c r="P98" s="85"/>
      <c r="Q98" s="42"/>
      <c r="R98" s="86">
        <f>SUMIF($L$13:$L85,"",R$13:R85)</f>
        <v>190.92</v>
      </c>
      <c r="S98" s="86"/>
      <c r="T98" s="86">
        <f>SUMIF($L$13:$L85,"",T$13:T85)</f>
        <v>2.84</v>
      </c>
    </row>
    <row r="99" spans="1:37">
      <c r="A99" s="87"/>
      <c r="B99" s="88" t="s">
        <v>206</v>
      </c>
      <c r="C99" s="31"/>
      <c r="D99" s="31"/>
      <c r="E99" s="65"/>
      <c r="F99" s="42"/>
      <c r="G99" s="42"/>
      <c r="H99" s="42"/>
      <c r="I99" s="42"/>
      <c r="J99" s="42"/>
      <c r="K99" s="42"/>
      <c r="L99" s="42"/>
      <c r="M99" s="42"/>
      <c r="N99" s="42"/>
      <c r="O99" s="42"/>
      <c r="P99" s="42"/>
      <c r="Q99" s="42"/>
      <c r="R99" s="42"/>
      <c r="S99" s="42"/>
      <c r="T99" s="42"/>
    </row>
    <row r="100" spans="1:37" ht="14.4" thickBot="1">
      <c r="A100" s="318"/>
      <c r="B100" s="89">
        <f>$F100/$C$2-($R100*$S$2+$T100*$T$2)</f>
        <v>1.6800000000785076E-3</v>
      </c>
      <c r="C100" s="31"/>
      <c r="D100" s="84"/>
      <c r="E100" s="78" t="s">
        <v>169</v>
      </c>
      <c r="F100" s="495">
        <f>SUMIF($L$13:$L85,"ITEM",F$13:F85)</f>
        <v>349.58000000000004</v>
      </c>
      <c r="G100" s="42"/>
      <c r="H100" s="42"/>
      <c r="I100" s="42"/>
      <c r="J100" s="42"/>
      <c r="K100" s="42"/>
      <c r="L100" s="85" t="s">
        <v>149</v>
      </c>
      <c r="M100" s="85"/>
      <c r="N100" s="85"/>
      <c r="O100" s="85"/>
      <c r="P100" s="85"/>
      <c r="Q100" s="86"/>
      <c r="R100" s="90">
        <f>SUMIF($L$13:$L85,"ITEM",R$13:R85)</f>
        <v>190.92</v>
      </c>
      <c r="S100" s="91"/>
      <c r="T100" s="90">
        <f>SUMIF($L$13:$L85,"ITEM",T$13:T85)</f>
        <v>2.84</v>
      </c>
    </row>
    <row r="101" spans="1:37">
      <c r="A101" s="318"/>
      <c r="B101" s="92"/>
      <c r="C101" s="4"/>
      <c r="D101" s="31"/>
      <c r="E101" s="65"/>
      <c r="F101" s="42"/>
      <c r="G101" s="42"/>
      <c r="H101" s="42"/>
      <c r="I101" s="42"/>
      <c r="J101" s="42"/>
      <c r="K101" s="42"/>
      <c r="L101" s="42"/>
      <c r="M101" s="42"/>
      <c r="N101" s="42"/>
      <c r="O101" s="42"/>
      <c r="P101" s="42"/>
      <c r="Q101" s="42"/>
      <c r="R101" s="42"/>
      <c r="S101" s="42"/>
      <c r="T101" s="42"/>
    </row>
    <row r="102" spans="1:37" ht="14.4" thickBot="1">
      <c r="A102" s="318"/>
      <c r="B102" s="89">
        <f>$F102/$C$2-($R102*$S$2+$T102*$T$2)</f>
        <v>1.6800000000785076E-3</v>
      </c>
      <c r="C102" s="31"/>
      <c r="D102" s="93"/>
      <c r="E102" s="94" t="s">
        <v>150</v>
      </c>
      <c r="F102" s="496">
        <f>SUMIF($L$13:$L85,"PAGE",F$13:F85)</f>
        <v>349.58000000000004</v>
      </c>
      <c r="G102" s="5"/>
      <c r="H102" s="5"/>
      <c r="I102" s="5"/>
      <c r="J102" s="5"/>
      <c r="K102" s="42"/>
      <c r="L102" s="41" t="s">
        <v>151</v>
      </c>
      <c r="M102" s="41"/>
      <c r="N102" s="41"/>
      <c r="O102" s="41"/>
      <c r="P102" s="41"/>
      <c r="Q102" s="86"/>
      <c r="R102" s="95">
        <f>SUMIF($L$13:$L85,"PAGE",R$13:R85)</f>
        <v>190.92</v>
      </c>
      <c r="S102" s="96"/>
      <c r="T102" s="95">
        <f>SUMIF($L$13:$L85,"PAGE",T$13:T85)</f>
        <v>2.84</v>
      </c>
    </row>
    <row r="103" spans="1:37">
      <c r="A103" s="318"/>
      <c r="B103" s="89"/>
      <c r="C103" s="31"/>
      <c r="D103" s="31"/>
      <c r="E103" s="65"/>
      <c r="F103" s="42"/>
      <c r="G103" s="42"/>
      <c r="H103" s="42"/>
      <c r="I103" s="42"/>
      <c r="J103" s="42"/>
      <c r="K103" s="42"/>
      <c r="L103" s="42"/>
      <c r="M103" s="42"/>
      <c r="N103" s="42"/>
      <c r="O103" s="42"/>
      <c r="P103" s="42"/>
      <c r="Q103" s="42"/>
      <c r="R103" s="42"/>
      <c r="S103" s="42"/>
      <c r="T103" s="42"/>
    </row>
    <row r="104" spans="1:37" ht="14.4" thickBot="1">
      <c r="A104" s="319" t="s">
        <v>152</v>
      </c>
      <c r="B104" s="89">
        <f>$F104/$C$2-($R104*$S$2+$T104*$T$2)</f>
        <v>0</v>
      </c>
      <c r="C104" s="31"/>
      <c r="D104" s="2"/>
      <c r="E104" s="94" t="s">
        <v>153</v>
      </c>
      <c r="F104" s="497">
        <f>SUMIF($L$13:$L85,"SECT",F$13:F85)</f>
        <v>0</v>
      </c>
      <c r="G104" s="5"/>
      <c r="H104" s="5"/>
      <c r="I104" s="5"/>
      <c r="J104" s="5"/>
      <c r="K104" s="42"/>
      <c r="L104" s="85" t="s">
        <v>154</v>
      </c>
      <c r="M104" s="85"/>
      <c r="N104" s="85"/>
      <c r="O104" s="85"/>
      <c r="P104" s="85"/>
      <c r="Q104" s="86"/>
      <c r="R104" s="97">
        <f>SUMIF($L$13:$L85,"SECT",R$13:R85)</f>
        <v>0</v>
      </c>
      <c r="S104" s="86"/>
      <c r="T104" s="97">
        <f>SUMIF($L$13:$L85,"SECT",T$13:T85)</f>
        <v>0</v>
      </c>
    </row>
    <row r="105" spans="1:37" ht="14.4" thickBot="1">
      <c r="A105" s="98" t="s">
        <v>155</v>
      </c>
      <c r="B105" s="52"/>
      <c r="C105" s="32"/>
      <c r="D105" s="52"/>
      <c r="E105" s="37"/>
      <c r="F105" s="99"/>
      <c r="G105" s="53"/>
      <c r="H105" s="53"/>
      <c r="I105" s="53"/>
      <c r="J105" s="53"/>
      <c r="K105" s="53"/>
      <c r="L105" s="53"/>
      <c r="M105" s="53"/>
      <c r="N105" s="53"/>
      <c r="O105" s="53"/>
      <c r="P105" s="53"/>
      <c r="Q105" s="53"/>
      <c r="R105" s="99"/>
      <c r="S105" s="99"/>
      <c r="T105" s="99"/>
      <c r="U105" s="118"/>
      <c r="V105" s="419"/>
      <c r="W105" s="419"/>
      <c r="X105" s="419"/>
      <c r="Y105" s="419"/>
      <c r="Z105" s="419"/>
      <c r="AA105" s="419"/>
      <c r="AB105" s="419"/>
      <c r="AC105" s="118"/>
      <c r="AD105" s="118"/>
      <c r="AE105" s="118"/>
      <c r="AF105" s="118"/>
      <c r="AG105" s="118"/>
      <c r="AH105" s="118"/>
      <c r="AI105" s="118"/>
      <c r="AJ105" s="118"/>
      <c r="AK105" s="118"/>
    </row>
    <row r="106" spans="1:37" ht="14.4" thickTop="1">
      <c r="A106" s="100"/>
      <c r="B106" s="533" t="s">
        <v>70</v>
      </c>
      <c r="C106" s="6"/>
      <c r="D106" s="101"/>
      <c r="E106" s="102" t="s">
        <v>156</v>
      </c>
      <c r="F106" s="103"/>
      <c r="G106" s="103"/>
      <c r="H106" s="103"/>
      <c r="I106" s="103"/>
      <c r="J106" s="103"/>
      <c r="K106" s="103"/>
      <c r="L106" s="103"/>
      <c r="M106" s="103"/>
      <c r="N106" s="103"/>
      <c r="O106" s="104"/>
      <c r="P106" s="103"/>
      <c r="Q106" s="105"/>
      <c r="R106" s="106">
        <f>SUM(R107:R162)</f>
        <v>190.92</v>
      </c>
      <c r="S106" s="107"/>
      <c r="T106" s="106">
        <f>SUM(T107:T162)</f>
        <v>2.84</v>
      </c>
    </row>
    <row r="107" spans="1:37">
      <c r="A107" s="108"/>
      <c r="B107" s="500">
        <v>1</v>
      </c>
      <c r="C107" s="6" t="s">
        <v>72</v>
      </c>
      <c r="D107" s="34" t="s">
        <v>73</v>
      </c>
      <c r="F107" s="109">
        <v>501</v>
      </c>
      <c r="O107" s="110"/>
      <c r="P107" s="34">
        <v>1</v>
      </c>
      <c r="R107" s="111">
        <f t="shared" ref="R107:R138" si="16">SUMIF($H$13:$H$85,$F107,R$13:R$85)</f>
        <v>0</v>
      </c>
      <c r="S107" s="112"/>
      <c r="T107" s="111">
        <f t="shared" ref="T107:T138" si="17">SUMIF($H$13:$H$85,$F107,T$13:T$85)</f>
        <v>0</v>
      </c>
    </row>
    <row r="108" spans="1:37">
      <c r="A108" s="108"/>
      <c r="B108" s="500">
        <v>2</v>
      </c>
      <c r="C108" s="6" t="s">
        <v>72</v>
      </c>
      <c r="D108" s="34" t="s">
        <v>74</v>
      </c>
      <c r="F108" s="109">
        <v>505</v>
      </c>
      <c r="O108" s="110"/>
      <c r="P108" s="34">
        <v>1</v>
      </c>
      <c r="R108" s="111">
        <f t="shared" si="16"/>
        <v>0</v>
      </c>
      <c r="S108" s="112"/>
      <c r="T108" s="111">
        <f t="shared" si="17"/>
        <v>0</v>
      </c>
    </row>
    <row r="109" spans="1:37">
      <c r="A109" s="108"/>
      <c r="B109" s="500">
        <v>3</v>
      </c>
      <c r="C109" s="6" t="s">
        <v>72</v>
      </c>
      <c r="D109" s="34" t="s">
        <v>75</v>
      </c>
      <c r="F109" s="109">
        <v>510</v>
      </c>
      <c r="O109" s="110"/>
      <c r="P109" s="34">
        <v>2</v>
      </c>
      <c r="R109" s="111">
        <f t="shared" si="16"/>
        <v>0</v>
      </c>
      <c r="S109" s="112"/>
      <c r="T109" s="111">
        <f t="shared" si="17"/>
        <v>0</v>
      </c>
    </row>
    <row r="110" spans="1:37">
      <c r="A110" s="108"/>
      <c r="B110" s="500">
        <v>4</v>
      </c>
      <c r="C110" s="6" t="s">
        <v>72</v>
      </c>
      <c r="D110" s="34" t="s">
        <v>76</v>
      </c>
      <c r="F110" s="109">
        <v>511</v>
      </c>
      <c r="O110" s="110"/>
      <c r="P110" s="34">
        <v>2</v>
      </c>
      <c r="R110" s="111">
        <f t="shared" si="16"/>
        <v>0</v>
      </c>
      <c r="S110" s="112"/>
      <c r="T110" s="111">
        <f t="shared" si="17"/>
        <v>0</v>
      </c>
    </row>
    <row r="111" spans="1:37">
      <c r="A111" s="108"/>
      <c r="B111" s="500">
        <v>5</v>
      </c>
      <c r="C111" s="6" t="s">
        <v>72</v>
      </c>
      <c r="D111" s="34" t="s">
        <v>77</v>
      </c>
      <c r="F111" s="109">
        <v>512</v>
      </c>
      <c r="O111" s="110"/>
      <c r="P111" s="34">
        <v>2</v>
      </c>
      <c r="R111" s="111">
        <f t="shared" si="16"/>
        <v>180</v>
      </c>
      <c r="S111" s="112"/>
      <c r="T111" s="111">
        <f t="shared" si="17"/>
        <v>0</v>
      </c>
    </row>
    <row r="112" spans="1:37">
      <c r="A112" s="108"/>
      <c r="B112" s="500">
        <v>6</v>
      </c>
      <c r="C112" s="6" t="s">
        <v>72</v>
      </c>
      <c r="D112" s="34" t="s">
        <v>78</v>
      </c>
      <c r="F112" s="109">
        <v>520</v>
      </c>
      <c r="O112" s="110"/>
      <c r="P112" s="34">
        <v>1</v>
      </c>
      <c r="R112" s="111">
        <f t="shared" si="16"/>
        <v>0</v>
      </c>
      <c r="S112" s="112"/>
      <c r="T112" s="111">
        <f t="shared" si="17"/>
        <v>0</v>
      </c>
    </row>
    <row r="113" spans="1:20">
      <c r="A113" s="108"/>
      <c r="B113" s="500">
        <v>7</v>
      </c>
      <c r="C113" s="6" t="s">
        <v>72</v>
      </c>
      <c r="D113" s="34" t="s">
        <v>79</v>
      </c>
      <c r="F113" s="109">
        <v>530</v>
      </c>
      <c r="O113" s="110"/>
      <c r="P113" s="34">
        <v>2</v>
      </c>
      <c r="R113" s="111">
        <f t="shared" si="16"/>
        <v>0</v>
      </c>
      <c r="S113" s="112"/>
      <c r="T113" s="111">
        <f t="shared" si="17"/>
        <v>0</v>
      </c>
    </row>
    <row r="114" spans="1:20">
      <c r="A114" s="108"/>
      <c r="B114" s="500">
        <v>8</v>
      </c>
      <c r="C114" s="6" t="s">
        <v>72</v>
      </c>
      <c r="D114" s="34" t="s">
        <v>80</v>
      </c>
      <c r="F114" s="109">
        <v>550</v>
      </c>
      <c r="O114" s="110"/>
      <c r="P114" s="34">
        <v>2</v>
      </c>
      <c r="R114" s="111">
        <f t="shared" si="16"/>
        <v>0</v>
      </c>
      <c r="S114" s="112"/>
      <c r="T114" s="111">
        <f t="shared" si="17"/>
        <v>0</v>
      </c>
    </row>
    <row r="115" spans="1:20">
      <c r="A115" s="108"/>
      <c r="B115" s="500">
        <v>9</v>
      </c>
      <c r="C115" s="6" t="s">
        <v>72</v>
      </c>
      <c r="D115" s="34" t="s">
        <v>81</v>
      </c>
      <c r="F115" s="109">
        <v>570</v>
      </c>
      <c r="O115" s="110"/>
      <c r="P115" s="34">
        <v>2</v>
      </c>
      <c r="R115" s="111">
        <f t="shared" si="16"/>
        <v>0</v>
      </c>
      <c r="S115" s="112"/>
      <c r="T115" s="111">
        <f t="shared" si="17"/>
        <v>0</v>
      </c>
    </row>
    <row r="116" spans="1:20">
      <c r="A116" s="108"/>
      <c r="B116" s="500">
        <v>10</v>
      </c>
      <c r="C116" s="6" t="s">
        <v>72</v>
      </c>
      <c r="D116" s="34" t="s">
        <v>82</v>
      </c>
      <c r="F116" s="109">
        <v>615</v>
      </c>
      <c r="O116" s="110"/>
      <c r="P116" s="34">
        <v>2</v>
      </c>
      <c r="R116" s="111">
        <f t="shared" si="16"/>
        <v>6.6000000000000005</v>
      </c>
      <c r="S116" s="112"/>
      <c r="T116" s="111">
        <f t="shared" si="17"/>
        <v>0.30000000000000004</v>
      </c>
    </row>
    <row r="117" spans="1:20">
      <c r="A117" s="108"/>
      <c r="B117" s="500">
        <v>11</v>
      </c>
      <c r="C117" s="6" t="s">
        <v>72</v>
      </c>
      <c r="D117" s="34" t="s">
        <v>84</v>
      </c>
      <c r="F117" s="109">
        <v>616</v>
      </c>
      <c r="O117" s="110"/>
      <c r="P117" s="34">
        <v>2</v>
      </c>
      <c r="R117" s="111">
        <f t="shared" si="16"/>
        <v>0</v>
      </c>
      <c r="S117" s="112"/>
      <c r="T117" s="111">
        <f t="shared" si="17"/>
        <v>0</v>
      </c>
    </row>
    <row r="118" spans="1:20">
      <c r="A118" s="108"/>
      <c r="B118" s="500">
        <v>12</v>
      </c>
      <c r="C118" s="6" t="s">
        <v>72</v>
      </c>
      <c r="D118" s="34" t="s">
        <v>85</v>
      </c>
      <c r="F118" s="109">
        <v>617</v>
      </c>
      <c r="O118" s="110"/>
      <c r="P118" s="34">
        <v>2</v>
      </c>
      <c r="R118" s="111">
        <f t="shared" si="16"/>
        <v>0</v>
      </c>
      <c r="S118" s="112"/>
      <c r="T118" s="111">
        <f t="shared" si="17"/>
        <v>0</v>
      </c>
    </row>
    <row r="119" spans="1:20">
      <c r="A119" s="108"/>
      <c r="B119" s="500">
        <v>13</v>
      </c>
      <c r="C119" s="6" t="s">
        <v>72</v>
      </c>
      <c r="D119" s="34" t="s">
        <v>157</v>
      </c>
      <c r="F119" s="109">
        <v>620</v>
      </c>
      <c r="O119" s="110"/>
      <c r="P119" s="34">
        <v>2</v>
      </c>
      <c r="R119" s="111">
        <f t="shared" si="16"/>
        <v>0</v>
      </c>
      <c r="S119" s="112"/>
      <c r="T119" s="111">
        <f t="shared" si="17"/>
        <v>0</v>
      </c>
    </row>
    <row r="120" spans="1:20">
      <c r="A120" s="108"/>
      <c r="B120" s="500">
        <v>14</v>
      </c>
      <c r="C120" s="6" t="s">
        <v>72</v>
      </c>
      <c r="D120" s="34" t="s">
        <v>87</v>
      </c>
      <c r="F120" s="109">
        <v>650</v>
      </c>
      <c r="O120" s="110"/>
      <c r="P120" s="34">
        <v>1</v>
      </c>
      <c r="R120" s="111">
        <f t="shared" si="16"/>
        <v>0</v>
      </c>
      <c r="S120" s="112"/>
      <c r="T120" s="111">
        <f t="shared" si="17"/>
        <v>0</v>
      </c>
    </row>
    <row r="121" spans="1:20">
      <c r="A121" s="108"/>
      <c r="B121" s="500">
        <v>15</v>
      </c>
      <c r="C121" s="6" t="s">
        <v>72</v>
      </c>
      <c r="D121" s="34" t="s">
        <v>88</v>
      </c>
      <c r="F121" s="109">
        <v>651</v>
      </c>
      <c r="O121" s="110"/>
      <c r="P121" s="34">
        <v>1</v>
      </c>
      <c r="R121" s="111">
        <f t="shared" si="16"/>
        <v>0</v>
      </c>
      <c r="S121" s="112"/>
      <c r="T121" s="111">
        <f t="shared" si="17"/>
        <v>0</v>
      </c>
    </row>
    <row r="122" spans="1:20">
      <c r="A122" s="108"/>
      <c r="B122" s="500">
        <v>16</v>
      </c>
      <c r="C122" s="6" t="s">
        <v>72</v>
      </c>
      <c r="D122" s="34" t="s">
        <v>89</v>
      </c>
      <c r="F122" s="109">
        <v>652</v>
      </c>
      <c r="O122" s="110"/>
      <c r="P122" s="34">
        <v>1</v>
      </c>
      <c r="R122" s="111">
        <f t="shared" si="16"/>
        <v>0</v>
      </c>
      <c r="S122" s="112"/>
      <c r="T122" s="111">
        <f t="shared" si="17"/>
        <v>0</v>
      </c>
    </row>
    <row r="123" spans="1:20">
      <c r="A123" s="108"/>
      <c r="B123" s="500">
        <v>17</v>
      </c>
      <c r="C123" s="6" t="s">
        <v>72</v>
      </c>
      <c r="D123" s="34" t="s">
        <v>90</v>
      </c>
      <c r="F123" s="109">
        <v>654</v>
      </c>
      <c r="O123" s="110"/>
      <c r="P123" s="34">
        <v>1</v>
      </c>
      <c r="R123" s="111">
        <f t="shared" si="16"/>
        <v>0</v>
      </c>
      <c r="S123" s="112"/>
      <c r="T123" s="111">
        <f t="shared" si="17"/>
        <v>0</v>
      </c>
    </row>
    <row r="124" spans="1:20">
      <c r="A124" s="108"/>
      <c r="B124" s="500">
        <v>18</v>
      </c>
      <c r="C124" s="6" t="s">
        <v>72</v>
      </c>
      <c r="D124" s="34" t="s">
        <v>91</v>
      </c>
      <c r="F124" s="109">
        <v>675</v>
      </c>
      <c r="O124" s="110"/>
      <c r="P124" s="34">
        <v>1</v>
      </c>
      <c r="R124" s="111">
        <f t="shared" si="16"/>
        <v>0</v>
      </c>
      <c r="S124" s="112"/>
      <c r="T124" s="111">
        <f t="shared" si="17"/>
        <v>0</v>
      </c>
    </row>
    <row r="125" spans="1:20">
      <c r="A125" s="108"/>
      <c r="B125" s="500">
        <v>19</v>
      </c>
      <c r="C125" s="6" t="s">
        <v>72</v>
      </c>
      <c r="D125" s="34" t="s">
        <v>92</v>
      </c>
      <c r="F125" s="109">
        <v>676</v>
      </c>
      <c r="O125" s="110"/>
      <c r="P125" s="34">
        <v>1</v>
      </c>
      <c r="R125" s="111">
        <f t="shared" si="16"/>
        <v>0</v>
      </c>
      <c r="S125" s="112"/>
      <c r="T125" s="111">
        <f t="shared" si="17"/>
        <v>0</v>
      </c>
    </row>
    <row r="126" spans="1:20">
      <c r="A126" s="108"/>
      <c r="B126" s="500">
        <v>20</v>
      </c>
      <c r="C126" s="6" t="s">
        <v>72</v>
      </c>
      <c r="D126" s="34" t="s">
        <v>93</v>
      </c>
      <c r="F126" s="109">
        <v>680</v>
      </c>
      <c r="O126" s="110"/>
      <c r="P126" s="34">
        <v>1</v>
      </c>
      <c r="R126" s="111">
        <f t="shared" si="16"/>
        <v>0</v>
      </c>
      <c r="S126" s="112"/>
      <c r="T126" s="111">
        <f t="shared" si="17"/>
        <v>0</v>
      </c>
    </row>
    <row r="127" spans="1:20">
      <c r="A127" s="108"/>
      <c r="B127" s="500">
        <v>21</v>
      </c>
      <c r="C127" s="6" t="s">
        <v>72</v>
      </c>
      <c r="D127" s="34" t="s">
        <v>95</v>
      </c>
      <c r="F127" s="109">
        <v>681</v>
      </c>
      <c r="O127" s="110"/>
      <c r="P127" s="34">
        <v>1</v>
      </c>
      <c r="R127" s="111">
        <f t="shared" si="16"/>
        <v>0</v>
      </c>
      <c r="S127" s="112"/>
      <c r="T127" s="111">
        <f t="shared" si="17"/>
        <v>0</v>
      </c>
    </row>
    <row r="128" spans="1:20">
      <c r="A128" s="108"/>
      <c r="B128" s="500">
        <v>22</v>
      </c>
      <c r="C128" s="6" t="s">
        <v>72</v>
      </c>
      <c r="D128" s="34" t="s">
        <v>96</v>
      </c>
      <c r="F128" s="109">
        <v>690</v>
      </c>
      <c r="O128" s="110"/>
      <c r="P128" s="34">
        <v>1</v>
      </c>
      <c r="R128" s="111">
        <f t="shared" si="16"/>
        <v>0</v>
      </c>
      <c r="S128" s="112"/>
      <c r="T128" s="111">
        <f t="shared" si="17"/>
        <v>0</v>
      </c>
    </row>
    <row r="129" spans="1:20">
      <c r="A129" s="108"/>
      <c r="B129" s="500">
        <v>23</v>
      </c>
      <c r="C129" s="6" t="s">
        <v>72</v>
      </c>
      <c r="D129" s="34" t="s">
        <v>97</v>
      </c>
      <c r="F129" s="109">
        <v>700</v>
      </c>
      <c r="O129" s="110"/>
      <c r="P129" s="34">
        <v>1</v>
      </c>
      <c r="R129" s="111">
        <f t="shared" si="16"/>
        <v>4.32</v>
      </c>
      <c r="S129" s="112"/>
      <c r="T129" s="111">
        <f t="shared" si="17"/>
        <v>1.04</v>
      </c>
    </row>
    <row r="130" spans="1:20">
      <c r="A130" s="108"/>
      <c r="B130" s="500">
        <v>24</v>
      </c>
      <c r="C130" s="6" t="s">
        <v>72</v>
      </c>
      <c r="D130" s="34" t="s">
        <v>98</v>
      </c>
      <c r="F130" s="109">
        <v>705</v>
      </c>
      <c r="O130" s="110"/>
      <c r="P130" s="34">
        <v>3</v>
      </c>
      <c r="R130" s="111">
        <f t="shared" si="16"/>
        <v>0</v>
      </c>
      <c r="S130" s="112"/>
      <c r="T130" s="111">
        <f t="shared" si="17"/>
        <v>0</v>
      </c>
    </row>
    <row r="131" spans="1:20">
      <c r="A131" s="108"/>
      <c r="B131" s="500">
        <v>25</v>
      </c>
      <c r="C131" s="6" t="s">
        <v>72</v>
      </c>
      <c r="D131" s="34" t="s">
        <v>99</v>
      </c>
      <c r="F131" s="109">
        <v>706</v>
      </c>
      <c r="O131" s="110"/>
      <c r="P131" s="34">
        <v>3</v>
      </c>
      <c r="R131" s="111">
        <f t="shared" si="16"/>
        <v>0</v>
      </c>
      <c r="S131" s="112"/>
      <c r="T131" s="111">
        <f t="shared" si="17"/>
        <v>0</v>
      </c>
    </row>
    <row r="132" spans="1:20">
      <c r="A132" s="108"/>
      <c r="B132" s="500">
        <v>26</v>
      </c>
      <c r="C132" s="6" t="s">
        <v>72</v>
      </c>
      <c r="D132" s="34" t="s">
        <v>100</v>
      </c>
      <c r="F132" s="109">
        <v>725</v>
      </c>
      <c r="O132" s="110"/>
      <c r="P132" s="34">
        <v>3</v>
      </c>
      <c r="R132" s="111">
        <f t="shared" si="16"/>
        <v>0</v>
      </c>
      <c r="S132" s="112"/>
      <c r="T132" s="111">
        <f t="shared" si="17"/>
        <v>0</v>
      </c>
    </row>
    <row r="133" spans="1:20">
      <c r="A133" s="108"/>
      <c r="B133" s="500">
        <v>27</v>
      </c>
      <c r="C133" s="6" t="s">
        <v>72</v>
      </c>
      <c r="D133" s="34" t="s">
        <v>101</v>
      </c>
      <c r="F133" s="109">
        <v>726</v>
      </c>
      <c r="O133" s="110"/>
      <c r="P133" s="34">
        <v>3</v>
      </c>
      <c r="R133" s="111">
        <f t="shared" si="16"/>
        <v>0</v>
      </c>
      <c r="S133" s="112"/>
      <c r="T133" s="111">
        <f t="shared" si="17"/>
        <v>0</v>
      </c>
    </row>
    <row r="134" spans="1:20">
      <c r="A134" s="108"/>
      <c r="B134" s="500">
        <v>28</v>
      </c>
      <c r="C134" s="6" t="s">
        <v>72</v>
      </c>
      <c r="D134" s="34" t="s">
        <v>102</v>
      </c>
      <c r="F134" s="109">
        <v>750</v>
      </c>
      <c r="O134" s="110"/>
      <c r="P134" s="34">
        <v>3</v>
      </c>
      <c r="R134" s="111">
        <f t="shared" si="16"/>
        <v>0</v>
      </c>
      <c r="S134" s="112"/>
      <c r="T134" s="111">
        <f t="shared" si="17"/>
        <v>0</v>
      </c>
    </row>
    <row r="135" spans="1:20">
      <c r="A135" s="108"/>
      <c r="B135" s="500">
        <v>29</v>
      </c>
      <c r="C135" s="6" t="s">
        <v>72</v>
      </c>
      <c r="D135" s="34" t="s">
        <v>103</v>
      </c>
      <c r="F135" s="109">
        <v>751</v>
      </c>
      <c r="O135" s="110"/>
      <c r="P135" s="34">
        <v>3</v>
      </c>
      <c r="R135" s="111">
        <f t="shared" si="16"/>
        <v>0</v>
      </c>
      <c r="S135" s="112"/>
      <c r="T135" s="111">
        <f t="shared" si="17"/>
        <v>0</v>
      </c>
    </row>
    <row r="136" spans="1:20">
      <c r="A136" s="108"/>
      <c r="B136" s="500">
        <v>30</v>
      </c>
      <c r="C136" s="6" t="s">
        <v>72</v>
      </c>
      <c r="D136" s="34" t="s">
        <v>104</v>
      </c>
      <c r="F136" s="109">
        <v>752</v>
      </c>
      <c r="O136" s="110"/>
      <c r="P136" s="34">
        <v>3</v>
      </c>
      <c r="R136" s="111">
        <f t="shared" si="16"/>
        <v>0</v>
      </c>
      <c r="S136" s="112"/>
      <c r="T136" s="111">
        <f t="shared" si="17"/>
        <v>0</v>
      </c>
    </row>
    <row r="137" spans="1:20">
      <c r="A137" s="108"/>
      <c r="B137" s="500">
        <v>31</v>
      </c>
      <c r="C137" s="6" t="s">
        <v>72</v>
      </c>
      <c r="D137" s="610" t="s">
        <v>264</v>
      </c>
      <c r="F137" s="109">
        <v>753</v>
      </c>
      <c r="O137" s="110"/>
      <c r="P137" s="34">
        <v>3</v>
      </c>
      <c r="R137" s="111">
        <f t="shared" si="16"/>
        <v>0</v>
      </c>
      <c r="S137" s="112"/>
      <c r="T137" s="111">
        <f t="shared" si="17"/>
        <v>0</v>
      </c>
    </row>
    <row r="138" spans="1:20">
      <c r="A138" s="108"/>
      <c r="B138" s="500">
        <v>32</v>
      </c>
      <c r="C138" s="6" t="s">
        <v>72</v>
      </c>
      <c r="D138" s="34" t="s">
        <v>106</v>
      </c>
      <c r="F138" s="109">
        <v>770</v>
      </c>
      <c r="O138" s="110"/>
      <c r="P138" s="34">
        <v>3</v>
      </c>
      <c r="R138" s="111">
        <f t="shared" si="16"/>
        <v>0</v>
      </c>
      <c r="S138" s="112"/>
      <c r="T138" s="111">
        <f t="shared" si="17"/>
        <v>0</v>
      </c>
    </row>
    <row r="139" spans="1:20">
      <c r="A139" s="108"/>
      <c r="B139" s="500">
        <v>33</v>
      </c>
      <c r="C139" s="6" t="s">
        <v>72</v>
      </c>
      <c r="D139" s="34" t="s">
        <v>107</v>
      </c>
      <c r="F139" s="109">
        <v>790</v>
      </c>
      <c r="O139" s="110"/>
      <c r="P139" s="34">
        <v>3</v>
      </c>
      <c r="R139" s="111">
        <f t="shared" ref="R139:R162" si="18">SUMIF($H$13:$H$85,$F139,R$13:R$85)</f>
        <v>0</v>
      </c>
      <c r="S139" s="112"/>
      <c r="T139" s="111">
        <f t="shared" ref="T139:T162" si="19">SUMIF($H$13:$H$85,$F139,T$13:T$85)</f>
        <v>0</v>
      </c>
    </row>
    <row r="140" spans="1:20">
      <c r="A140" s="108"/>
      <c r="B140" s="500">
        <v>34</v>
      </c>
      <c r="C140" s="6" t="s">
        <v>72</v>
      </c>
      <c r="D140" s="34" t="s">
        <v>108</v>
      </c>
      <c r="F140" s="109">
        <v>791</v>
      </c>
      <c r="O140" s="110"/>
      <c r="P140" s="34">
        <v>3</v>
      </c>
      <c r="R140" s="111">
        <f t="shared" si="18"/>
        <v>0</v>
      </c>
      <c r="S140" s="112"/>
      <c r="T140" s="111">
        <f t="shared" si="19"/>
        <v>0</v>
      </c>
    </row>
    <row r="141" spans="1:20">
      <c r="A141" s="108"/>
      <c r="B141" s="500">
        <v>35</v>
      </c>
      <c r="C141" s="6" t="s">
        <v>72</v>
      </c>
      <c r="D141" s="34" t="s">
        <v>109</v>
      </c>
      <c r="F141" s="109">
        <v>810</v>
      </c>
      <c r="O141" s="110"/>
      <c r="P141" s="34">
        <v>3</v>
      </c>
      <c r="R141" s="111">
        <f t="shared" si="18"/>
        <v>0</v>
      </c>
      <c r="S141" s="112"/>
      <c r="T141" s="111">
        <f t="shared" si="19"/>
        <v>0</v>
      </c>
    </row>
    <row r="142" spans="1:20">
      <c r="A142" s="108"/>
      <c r="B142" s="500">
        <v>36</v>
      </c>
      <c r="C142" s="6" t="s">
        <v>72</v>
      </c>
      <c r="D142" s="34" t="s">
        <v>110</v>
      </c>
      <c r="F142" s="109">
        <v>815</v>
      </c>
      <c r="O142" s="110"/>
      <c r="P142" s="34">
        <v>3</v>
      </c>
      <c r="R142" s="111">
        <f t="shared" si="18"/>
        <v>0</v>
      </c>
      <c r="S142" s="112"/>
      <c r="T142" s="111">
        <f t="shared" si="19"/>
        <v>0</v>
      </c>
    </row>
    <row r="143" spans="1:20">
      <c r="A143" s="108"/>
      <c r="B143" s="500">
        <v>37</v>
      </c>
      <c r="C143" s="6" t="s">
        <v>72</v>
      </c>
      <c r="D143" s="34" t="s">
        <v>111</v>
      </c>
      <c r="F143" s="109">
        <v>820</v>
      </c>
      <c r="O143" s="110"/>
      <c r="P143" s="34">
        <v>2</v>
      </c>
      <c r="R143" s="111">
        <f t="shared" si="18"/>
        <v>0</v>
      </c>
      <c r="S143" s="112"/>
      <c r="T143" s="111">
        <f t="shared" si="19"/>
        <v>0</v>
      </c>
    </row>
    <row r="144" spans="1:20">
      <c r="A144" s="108"/>
      <c r="B144" s="500">
        <v>38</v>
      </c>
      <c r="C144" s="6" t="s">
        <v>72</v>
      </c>
      <c r="D144" s="34" t="s">
        <v>112</v>
      </c>
      <c r="F144" s="109">
        <v>821</v>
      </c>
      <c r="O144" s="110"/>
      <c r="P144" s="34">
        <v>3</v>
      </c>
      <c r="R144" s="111">
        <f t="shared" si="18"/>
        <v>0</v>
      </c>
      <c r="S144" s="112"/>
      <c r="T144" s="111">
        <f t="shared" si="19"/>
        <v>0</v>
      </c>
    </row>
    <row r="145" spans="1:20">
      <c r="A145" s="108"/>
      <c r="B145" s="500">
        <v>39</v>
      </c>
      <c r="C145" s="6" t="s">
        <v>72</v>
      </c>
      <c r="D145" s="34" t="s">
        <v>113</v>
      </c>
      <c r="F145" s="109">
        <v>835</v>
      </c>
      <c r="O145" s="110"/>
      <c r="P145" s="34">
        <v>3</v>
      </c>
      <c r="R145" s="111">
        <f t="shared" si="18"/>
        <v>0</v>
      </c>
      <c r="S145" s="112"/>
      <c r="T145" s="111">
        <f t="shared" si="19"/>
        <v>0</v>
      </c>
    </row>
    <row r="146" spans="1:20">
      <c r="A146" s="108"/>
      <c r="B146" s="500">
        <v>40</v>
      </c>
      <c r="C146" s="6" t="s">
        <v>72</v>
      </c>
      <c r="D146" s="34" t="s">
        <v>114</v>
      </c>
      <c r="F146" s="109">
        <v>845</v>
      </c>
      <c r="O146" s="110"/>
      <c r="P146" s="34">
        <v>2</v>
      </c>
      <c r="R146" s="111">
        <f t="shared" si="18"/>
        <v>0</v>
      </c>
      <c r="S146" s="112"/>
      <c r="T146" s="111">
        <f t="shared" si="19"/>
        <v>0</v>
      </c>
    </row>
    <row r="147" spans="1:20">
      <c r="A147" s="108"/>
      <c r="B147" s="500">
        <v>41</v>
      </c>
      <c r="C147" s="6" t="s">
        <v>72</v>
      </c>
      <c r="D147" s="34" t="s">
        <v>116</v>
      </c>
      <c r="F147" s="109">
        <v>855</v>
      </c>
      <c r="O147" s="110"/>
      <c r="P147" s="34">
        <v>3</v>
      </c>
      <c r="R147" s="111">
        <f t="shared" si="18"/>
        <v>0</v>
      </c>
      <c r="S147" s="112"/>
      <c r="T147" s="111">
        <f t="shared" si="19"/>
        <v>0</v>
      </c>
    </row>
    <row r="148" spans="1:20">
      <c r="A148" s="108"/>
      <c r="B148" s="500">
        <v>42</v>
      </c>
      <c r="C148" s="6" t="s">
        <v>72</v>
      </c>
      <c r="D148" s="34" t="s">
        <v>117</v>
      </c>
      <c r="F148" s="109">
        <v>856</v>
      </c>
      <c r="O148" s="110"/>
      <c r="P148" s="34">
        <v>3</v>
      </c>
      <c r="R148" s="111">
        <f t="shared" si="18"/>
        <v>0</v>
      </c>
      <c r="S148" s="112"/>
      <c r="T148" s="111">
        <f t="shared" si="19"/>
        <v>0</v>
      </c>
    </row>
    <row r="149" spans="1:20">
      <c r="A149" s="108"/>
      <c r="B149" s="500">
        <v>43</v>
      </c>
      <c r="C149" s="6" t="s">
        <v>72</v>
      </c>
      <c r="D149" s="34" t="s">
        <v>245</v>
      </c>
      <c r="F149" s="109">
        <v>857</v>
      </c>
      <c r="O149" s="110"/>
      <c r="P149" s="34">
        <v>3</v>
      </c>
      <c r="R149" s="111">
        <f t="shared" si="18"/>
        <v>0</v>
      </c>
      <c r="S149" s="112"/>
      <c r="T149" s="111">
        <f t="shared" si="19"/>
        <v>0</v>
      </c>
    </row>
    <row r="150" spans="1:20">
      <c r="A150" s="108"/>
      <c r="B150" s="500">
        <v>44</v>
      </c>
      <c r="C150" s="6" t="s">
        <v>72</v>
      </c>
      <c r="D150" s="34" t="s">
        <v>118</v>
      </c>
      <c r="F150" s="109">
        <v>858</v>
      </c>
      <c r="O150" s="110"/>
      <c r="P150" s="34">
        <v>3</v>
      </c>
      <c r="R150" s="111">
        <f t="shared" si="18"/>
        <v>0</v>
      </c>
      <c r="S150" s="112"/>
      <c r="T150" s="111">
        <f t="shared" si="19"/>
        <v>0</v>
      </c>
    </row>
    <row r="151" spans="1:20">
      <c r="A151" s="108"/>
      <c r="B151" s="500">
        <v>45</v>
      </c>
      <c r="C151" s="6" t="s">
        <v>72</v>
      </c>
      <c r="D151" s="34" t="s">
        <v>119</v>
      </c>
      <c r="F151" s="109">
        <v>865</v>
      </c>
      <c r="O151" s="110"/>
      <c r="P151" s="34">
        <v>3</v>
      </c>
      <c r="R151" s="111">
        <f t="shared" si="18"/>
        <v>0</v>
      </c>
      <c r="S151" s="112"/>
      <c r="T151" s="111">
        <f t="shared" si="19"/>
        <v>0</v>
      </c>
    </row>
    <row r="152" spans="1:20">
      <c r="A152" s="108"/>
      <c r="B152" s="500">
        <v>46</v>
      </c>
      <c r="C152" s="6" t="s">
        <v>72</v>
      </c>
      <c r="D152" s="34" t="s">
        <v>120</v>
      </c>
      <c r="F152" s="109">
        <v>870</v>
      </c>
      <c r="O152" s="110"/>
      <c r="P152" s="34">
        <v>4</v>
      </c>
      <c r="R152" s="111">
        <f t="shared" si="18"/>
        <v>0</v>
      </c>
      <c r="S152" s="112"/>
      <c r="T152" s="111">
        <f t="shared" si="19"/>
        <v>0</v>
      </c>
    </row>
    <row r="153" spans="1:20">
      <c r="A153" s="108"/>
      <c r="B153" s="500">
        <v>47</v>
      </c>
      <c r="C153" s="6" t="s">
        <v>72</v>
      </c>
      <c r="D153" s="34" t="s">
        <v>121</v>
      </c>
      <c r="F153" s="109">
        <v>875</v>
      </c>
      <c r="O153" s="110"/>
      <c r="P153" s="34">
        <v>1</v>
      </c>
      <c r="R153" s="111">
        <f t="shared" si="18"/>
        <v>0</v>
      </c>
      <c r="S153" s="112"/>
      <c r="T153" s="111">
        <f t="shared" si="19"/>
        <v>0</v>
      </c>
    </row>
    <row r="154" spans="1:20">
      <c r="A154" s="108"/>
      <c r="B154" s="500">
        <v>48</v>
      </c>
      <c r="C154" s="6" t="s">
        <v>72</v>
      </c>
      <c r="D154" s="34" t="s">
        <v>122</v>
      </c>
      <c r="F154" s="109">
        <v>880</v>
      </c>
      <c r="O154" s="110"/>
      <c r="P154" s="34">
        <v>3</v>
      </c>
      <c r="R154" s="111">
        <f t="shared" si="18"/>
        <v>0</v>
      </c>
      <c r="S154" s="112"/>
      <c r="T154" s="111">
        <f t="shared" si="19"/>
        <v>0</v>
      </c>
    </row>
    <row r="155" spans="1:20">
      <c r="A155" s="108"/>
      <c r="B155" s="500">
        <v>49</v>
      </c>
      <c r="C155" s="6" t="s">
        <v>72</v>
      </c>
      <c r="D155" s="34" t="s">
        <v>123</v>
      </c>
      <c r="F155" s="109">
        <v>885</v>
      </c>
      <c r="O155" s="110"/>
      <c r="P155" s="34">
        <v>4</v>
      </c>
      <c r="R155" s="111">
        <f t="shared" si="18"/>
        <v>0</v>
      </c>
      <c r="S155" s="112"/>
      <c r="T155" s="111">
        <f t="shared" si="19"/>
        <v>0</v>
      </c>
    </row>
    <row r="156" spans="1:20">
      <c r="A156" s="108"/>
      <c r="B156" s="500">
        <v>50</v>
      </c>
      <c r="C156" s="6" t="s">
        <v>72</v>
      </c>
      <c r="D156" s="34" t="s">
        <v>67</v>
      </c>
      <c r="F156" s="109">
        <v>900</v>
      </c>
      <c r="O156" s="110"/>
      <c r="P156" s="34">
        <v>3</v>
      </c>
      <c r="R156" s="111">
        <f t="shared" si="18"/>
        <v>0</v>
      </c>
      <c r="S156" s="112"/>
      <c r="T156" s="111">
        <f t="shared" si="19"/>
        <v>1.5</v>
      </c>
    </row>
    <row r="157" spans="1:20">
      <c r="A157" s="108"/>
      <c r="B157" s="500">
        <v>51</v>
      </c>
      <c r="C157" s="6" t="s">
        <v>72</v>
      </c>
      <c r="D157" s="34" t="s">
        <v>125</v>
      </c>
      <c r="F157" s="109">
        <v>901</v>
      </c>
      <c r="O157" s="110"/>
      <c r="P157" s="34">
        <v>1</v>
      </c>
      <c r="R157" s="111">
        <f t="shared" si="18"/>
        <v>0</v>
      </c>
      <c r="S157" s="112"/>
      <c r="T157" s="111">
        <f t="shared" si="19"/>
        <v>0</v>
      </c>
    </row>
    <row r="158" spans="1:20">
      <c r="A158" s="108"/>
      <c r="B158" s="500">
        <v>52</v>
      </c>
      <c r="C158" s="6" t="s">
        <v>72</v>
      </c>
      <c r="D158" s="34" t="s">
        <v>126</v>
      </c>
      <c r="F158" s="109">
        <v>902</v>
      </c>
      <c r="O158" s="110"/>
      <c r="P158" s="34">
        <v>3</v>
      </c>
      <c r="R158" s="111">
        <f t="shared" si="18"/>
        <v>0</v>
      </c>
      <c r="S158" s="112"/>
      <c r="T158" s="111">
        <f t="shared" si="19"/>
        <v>0</v>
      </c>
    </row>
    <row r="159" spans="1:20">
      <c r="A159" s="108"/>
      <c r="B159" s="500">
        <v>53</v>
      </c>
      <c r="C159" s="6" t="s">
        <v>72</v>
      </c>
      <c r="D159" s="113" t="s">
        <v>127</v>
      </c>
      <c r="F159" s="109">
        <v>960</v>
      </c>
      <c r="O159" s="110"/>
      <c r="P159" s="34">
        <v>4</v>
      </c>
      <c r="R159" s="111">
        <f t="shared" si="18"/>
        <v>0</v>
      </c>
      <c r="S159" s="112"/>
      <c r="T159" s="111">
        <f t="shared" si="19"/>
        <v>0</v>
      </c>
    </row>
    <row r="160" spans="1:20">
      <c r="A160" s="108"/>
      <c r="B160" s="500">
        <v>54</v>
      </c>
      <c r="C160" s="6" t="s">
        <v>72</v>
      </c>
      <c r="D160" s="113" t="s">
        <v>128</v>
      </c>
      <c r="F160" s="109">
        <v>961</v>
      </c>
      <c r="O160" s="110"/>
      <c r="P160" s="34">
        <v>3</v>
      </c>
      <c r="R160" s="111">
        <f t="shared" si="18"/>
        <v>0</v>
      </c>
      <c r="S160" s="112"/>
      <c r="T160" s="111">
        <f t="shared" si="19"/>
        <v>0</v>
      </c>
    </row>
    <row r="161" spans="1:37">
      <c r="A161" s="108"/>
      <c r="B161" s="500">
        <v>55</v>
      </c>
      <c r="C161" s="6" t="s">
        <v>72</v>
      </c>
      <c r="D161" s="113" t="s">
        <v>129</v>
      </c>
      <c r="F161" s="109">
        <v>962</v>
      </c>
      <c r="O161" s="110"/>
      <c r="P161" s="34">
        <v>1</v>
      </c>
      <c r="R161" s="111">
        <f t="shared" si="18"/>
        <v>0</v>
      </c>
      <c r="S161" s="112"/>
      <c r="T161" s="111">
        <f t="shared" si="19"/>
        <v>0</v>
      </c>
    </row>
    <row r="162" spans="1:37">
      <c r="A162" s="108"/>
      <c r="B162" s="500">
        <v>56</v>
      </c>
      <c r="C162" s="6" t="s">
        <v>72</v>
      </c>
      <c r="D162" s="113" t="s">
        <v>130</v>
      </c>
      <c r="F162" s="109">
        <v>970</v>
      </c>
      <c r="O162" s="110"/>
      <c r="P162" s="34">
        <v>4</v>
      </c>
      <c r="R162" s="111">
        <f t="shared" si="18"/>
        <v>0</v>
      </c>
      <c r="S162" s="112"/>
      <c r="T162" s="111">
        <f t="shared" si="19"/>
        <v>0</v>
      </c>
    </row>
    <row r="163" spans="1:37" ht="14.4" thickBot="1">
      <c r="A163" s="114"/>
      <c r="B163" s="115"/>
      <c r="C163" s="116"/>
      <c r="D163" s="117"/>
      <c r="E163" s="118"/>
      <c r="F163" s="119"/>
      <c r="G163" s="118"/>
      <c r="H163" s="118"/>
      <c r="I163" s="118"/>
      <c r="J163" s="118"/>
      <c r="K163" s="118"/>
      <c r="L163" s="118"/>
      <c r="M163" s="118"/>
      <c r="N163" s="118"/>
      <c r="O163" s="120"/>
      <c r="P163" s="118"/>
      <c r="Q163" s="118"/>
      <c r="R163" s="121"/>
      <c r="S163" s="122"/>
      <c r="T163" s="121"/>
      <c r="U163" s="118"/>
      <c r="V163" s="419"/>
      <c r="W163" s="419"/>
      <c r="X163" s="419"/>
      <c r="Y163" s="419"/>
      <c r="Z163" s="419"/>
      <c r="AA163" s="419"/>
      <c r="AB163" s="419"/>
      <c r="AC163" s="118"/>
      <c r="AD163" s="118"/>
      <c r="AE163" s="118"/>
      <c r="AF163" s="118"/>
      <c r="AG163" s="118"/>
      <c r="AH163" s="118"/>
      <c r="AI163" s="118"/>
      <c r="AJ163" s="118"/>
      <c r="AK163" s="118"/>
    </row>
    <row r="164" spans="1:37" ht="14.4" thickTop="1">
      <c r="A164" s="108"/>
      <c r="B164" s="123"/>
      <c r="C164" s="6" t="s">
        <v>72</v>
      </c>
      <c r="D164" s="124"/>
      <c r="F164" s="125" t="s">
        <v>158</v>
      </c>
      <c r="G164" s="126"/>
      <c r="H164" s="34">
        <v>1</v>
      </c>
      <c r="O164" s="110"/>
      <c r="R164" s="111">
        <f>SUMIF($P107:$P162,1,R107:R162)</f>
        <v>4.32</v>
      </c>
      <c r="T164" s="111">
        <f>SUMIF($P107:$P162,1,T107:T162)</f>
        <v>1.04</v>
      </c>
    </row>
    <row r="165" spans="1:37">
      <c r="A165" s="108"/>
      <c r="B165" s="123"/>
      <c r="C165" s="6" t="s">
        <v>72</v>
      </c>
      <c r="D165" s="124"/>
      <c r="F165" s="125" t="s">
        <v>159</v>
      </c>
      <c r="G165" s="126"/>
      <c r="H165" s="34">
        <v>2</v>
      </c>
      <c r="O165" s="110"/>
      <c r="R165" s="111">
        <f>SUMIF($P107:$P162,2,R107:R162)</f>
        <v>186.6</v>
      </c>
      <c r="T165" s="111">
        <f>SUMIF($P107:$P162,2,T107:T162)</f>
        <v>0.30000000000000004</v>
      </c>
    </row>
    <row r="166" spans="1:37">
      <c r="A166" s="108"/>
      <c r="B166" s="123"/>
      <c r="C166" s="6" t="s">
        <v>72</v>
      </c>
      <c r="D166" s="124"/>
      <c r="F166" s="125" t="s">
        <v>160</v>
      </c>
      <c r="G166" s="126"/>
      <c r="H166" s="34">
        <v>2</v>
      </c>
      <c r="O166" s="110"/>
      <c r="R166" s="111">
        <f>SUMIF($P107:$P162,3,R107:R162)</f>
        <v>0</v>
      </c>
      <c r="T166" s="111">
        <f>SUMIF($P107:$P162,3,T107:T162)</f>
        <v>1.5</v>
      </c>
    </row>
    <row r="167" spans="1:37">
      <c r="A167" s="108"/>
      <c r="B167" s="123"/>
      <c r="C167" s="6" t="s">
        <v>72</v>
      </c>
      <c r="D167" s="124"/>
      <c r="F167" s="125" t="s">
        <v>161</v>
      </c>
      <c r="G167" s="126"/>
      <c r="H167" s="34">
        <v>3</v>
      </c>
      <c r="O167" s="110"/>
      <c r="R167" s="111">
        <f>SUMIF($P107:$P162,4,R107:R162)</f>
        <v>0</v>
      </c>
      <c r="T167" s="111">
        <f>SUMIF($P107:$P162,4,T107:T162)</f>
        <v>0</v>
      </c>
    </row>
    <row r="168" spans="1:37" ht="14.4" thickBot="1">
      <c r="A168" s="114"/>
      <c r="B168" s="127"/>
      <c r="C168" s="116" t="s">
        <v>72</v>
      </c>
      <c r="D168" s="128"/>
      <c r="E168" s="118"/>
      <c r="F168" s="129" t="s">
        <v>162</v>
      </c>
      <c r="G168" s="130"/>
      <c r="H168" s="131"/>
      <c r="I168" s="131"/>
      <c r="J168" s="131"/>
      <c r="K168" s="131"/>
      <c r="L168" s="131"/>
      <c r="M168" s="131"/>
      <c r="N168" s="131"/>
      <c r="O168" s="132"/>
      <c r="P168" s="131"/>
      <c r="Q168" s="131"/>
      <c r="R168" s="133">
        <f>SUM(R164:R167)</f>
        <v>190.92</v>
      </c>
      <c r="S168" s="134"/>
      <c r="T168" s="133">
        <f>SUM(T164:T167)</f>
        <v>2.84</v>
      </c>
      <c r="U168" s="118"/>
      <c r="V168" s="419"/>
      <c r="W168" s="419"/>
      <c r="X168" s="419"/>
      <c r="Y168" s="419"/>
      <c r="Z168" s="419"/>
      <c r="AA168" s="419"/>
      <c r="AB168" s="419"/>
      <c r="AC168" s="118"/>
      <c r="AD168" s="118"/>
      <c r="AE168" s="118"/>
      <c r="AF168" s="118"/>
      <c r="AG168" s="118"/>
      <c r="AH168" s="118"/>
      <c r="AI168" s="118"/>
      <c r="AJ168" s="118"/>
      <c r="AK168" s="118"/>
    </row>
    <row r="169" spans="1:37" ht="14.4" thickTop="1"/>
  </sheetData>
  <sheetProtection formatCells="0" formatColumns="0" formatRows="0" insertColumns="0" insertRows="0" insertHyperlinks="0" deleteColumns="0" deleteRows="0" sort="0" autoFilter="0" pivotTables="0"/>
  <phoneticPr fontId="34"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76"/>
  <sheetViews>
    <sheetView tabSelected="1" topLeftCell="A18" workbookViewId="0">
      <selection activeCell="Q44" sqref="Q44"/>
    </sheetView>
  </sheetViews>
  <sheetFormatPr defaultColWidth="9.109375" defaultRowHeight="13.2"/>
  <cols>
    <col min="1" max="1" width="8.33203125" style="34" customWidth="1"/>
    <col min="2" max="2" width="12.44140625" style="145" customWidth="1"/>
    <col min="3" max="3" width="6.6640625" style="34" hidden="1" customWidth="1"/>
    <col min="4" max="4" width="11.5546875" style="34" customWidth="1"/>
    <col min="5" max="5" width="13" style="34" customWidth="1"/>
    <col min="6" max="6" width="13.109375" style="34" customWidth="1"/>
    <col min="7" max="7" width="10" style="34" hidden="1" customWidth="1"/>
    <col min="8" max="14" width="8.6640625" style="34" hidden="1" customWidth="1"/>
    <col min="15" max="15" width="5.33203125" style="34" hidden="1" customWidth="1"/>
    <col min="16" max="16" width="7.6640625" style="34" hidden="1" customWidth="1"/>
    <col min="17" max="17" width="8" style="34" customWidth="1"/>
    <col min="18" max="18" width="12.109375" style="34" customWidth="1"/>
    <col min="19" max="19" width="11.109375" style="34" customWidth="1"/>
    <col min="20" max="20" width="10.5546875" style="34" customWidth="1"/>
    <col min="21" max="21" width="8.6640625" style="34" customWidth="1"/>
    <col min="22" max="22" width="9.6640625" style="34" customWidth="1"/>
    <col min="23" max="23" width="6.6640625" style="34" customWidth="1"/>
    <col min="24" max="24" width="11.44140625" style="34" customWidth="1"/>
    <col min="25" max="16384" width="9.109375" style="34"/>
  </cols>
  <sheetData>
    <row r="1" spans="1:30" ht="19.5" customHeight="1">
      <c r="B1" s="476" t="s">
        <v>0</v>
      </c>
      <c r="C1" s="473">
        <v>1</v>
      </c>
      <c r="D1" s="735" t="s">
        <v>415</v>
      </c>
      <c r="E1" s="735"/>
      <c r="G1" s="474" t="b">
        <v>1</v>
      </c>
      <c r="H1" s="474" t="b">
        <v>1</v>
      </c>
      <c r="I1" s="275">
        <v>1</v>
      </c>
      <c r="J1" s="276">
        <f t="shared" ref="J1:J10" si="0">$Q109</f>
        <v>1</v>
      </c>
      <c r="K1" s="276">
        <f t="shared" ref="K1:K10" si="1">$Q119</f>
        <v>1</v>
      </c>
      <c r="L1" s="276">
        <f t="shared" ref="L1:L10" si="2">$Q129</f>
        <v>1</v>
      </c>
      <c r="M1" s="276">
        <f t="shared" ref="M1:M10" si="3">$Q139</f>
        <v>1</v>
      </c>
      <c r="N1" s="276">
        <f t="shared" ref="N1:N9" si="4">$Q149</f>
        <v>1</v>
      </c>
      <c r="O1" s="276">
        <f t="shared" ref="O1:O6" si="5">$Q159</f>
        <v>1</v>
      </c>
      <c r="P1" s="10"/>
      <c r="Q1" s="446" t="str">
        <f>IF(C1=1,"€","Curr?")</f>
        <v>€</v>
      </c>
      <c r="R1" s="372" t="s">
        <v>213</v>
      </c>
      <c r="S1" s="464" t="str">
        <f>IF($S$39="PRINT","R","Do Not Print")</f>
        <v>R</v>
      </c>
      <c r="T1" s="502">
        <v>1</v>
      </c>
      <c r="V1" s="138">
        <f t="array" ref="V1">IF(OR(X1=AREAS),1,0)</f>
        <v>1</v>
      </c>
      <c r="W1" s="461" t="s">
        <v>179</v>
      </c>
      <c r="X1" s="139" t="s">
        <v>176</v>
      </c>
      <c r="Y1" s="139" t="s">
        <v>176</v>
      </c>
      <c r="Z1" s="139" t="s">
        <v>176</v>
      </c>
      <c r="AA1" s="139" t="s">
        <v>176</v>
      </c>
      <c r="AB1" s="139" t="s">
        <v>176</v>
      </c>
      <c r="AC1" s="139" t="s">
        <v>176</v>
      </c>
      <c r="AD1" s="139" t="s">
        <v>176</v>
      </c>
    </row>
    <row r="2" spans="1:30" ht="21.75" customHeight="1">
      <c r="A2" s="466"/>
      <c r="B2" s="476" t="s">
        <v>2</v>
      </c>
      <c r="C2" s="472">
        <f>IF($D$6="VAT INCLUDED",1.18,1)*(1-$Q2)*$C$1</f>
        <v>1</v>
      </c>
      <c r="D2" s="735" t="s">
        <v>416</v>
      </c>
      <c r="E2" s="735"/>
      <c r="F2" s="365" t="s">
        <v>194</v>
      </c>
      <c r="G2" s="474" t="b">
        <v>1</v>
      </c>
      <c r="I2" s="275">
        <v>2</v>
      </c>
      <c r="J2" s="276">
        <f t="shared" si="0"/>
        <v>1</v>
      </c>
      <c r="K2" s="276">
        <f t="shared" si="1"/>
        <v>1</v>
      </c>
      <c r="L2" s="276">
        <f t="shared" si="2"/>
        <v>1</v>
      </c>
      <c r="M2" s="276">
        <f t="shared" si="3"/>
        <v>1</v>
      </c>
      <c r="N2" s="276">
        <f t="shared" si="4"/>
        <v>1</v>
      </c>
      <c r="O2" s="276">
        <f t="shared" si="5"/>
        <v>1</v>
      </c>
      <c r="P2" s="10"/>
      <c r="Q2" s="315"/>
      <c r="R2" s="329" t="str">
        <f>"A) " &amp; IF($S2=0,"",ROUND($S2,2) &amp; "-" &amp; ROUND($T2/$D$9,2))</f>
        <v>A) 1.3-1.3</v>
      </c>
      <c r="S2" s="306">
        <v>1.3</v>
      </c>
      <c r="T2" s="306">
        <f>$S2*$D$9</f>
        <v>35.698</v>
      </c>
      <c r="V2" s="142"/>
      <c r="W2" s="142"/>
      <c r="X2" s="139" t="s">
        <v>176</v>
      </c>
      <c r="Y2" s="139" t="s">
        <v>176</v>
      </c>
      <c r="Z2" s="139" t="s">
        <v>176</v>
      </c>
      <c r="AA2" s="139" t="s">
        <v>176</v>
      </c>
      <c r="AB2" s="139" t="s">
        <v>176</v>
      </c>
      <c r="AC2" s="139" t="s">
        <v>176</v>
      </c>
      <c r="AD2" s="139" t="s">
        <v>176</v>
      </c>
    </row>
    <row r="3" spans="1:30" ht="21" customHeight="1">
      <c r="A3" s="467"/>
      <c r="B3" s="476" t="s">
        <v>4</v>
      </c>
      <c r="C3" s="472">
        <f t="shared" ref="C3:C12" si="6">IF($D$6="VAT INCLUDED",1.18,1)*(1-$Q3)*$C$1</f>
        <v>1</v>
      </c>
      <c r="D3" s="735" t="s">
        <v>418</v>
      </c>
      <c r="E3" s="735"/>
      <c r="F3" s="365" t="s">
        <v>431</v>
      </c>
      <c r="G3" s="474" t="b">
        <v>1</v>
      </c>
      <c r="I3" s="275">
        <v>3</v>
      </c>
      <c r="J3" s="276">
        <f t="shared" si="0"/>
        <v>1</v>
      </c>
      <c r="K3" s="276">
        <f t="shared" si="1"/>
        <v>1</v>
      </c>
      <c r="L3" s="276">
        <f t="shared" si="2"/>
        <v>1</v>
      </c>
      <c r="M3" s="276">
        <f t="shared" si="3"/>
        <v>1</v>
      </c>
      <c r="N3" s="276">
        <f t="shared" si="4"/>
        <v>1</v>
      </c>
      <c r="O3" s="276">
        <f t="shared" si="5"/>
        <v>1</v>
      </c>
      <c r="P3" s="10"/>
      <c r="Q3" s="315"/>
      <c r="R3" s="330" t="str">
        <f>"B) " &amp; IF($S3=0,"",ROUND($S3,2) &amp; "-" &amp; ROUND($T3/$D$9,2))</f>
        <v>B) 1.3-1.3</v>
      </c>
      <c r="S3" s="306">
        <v>1.3</v>
      </c>
      <c r="T3" s="306">
        <f t="shared" ref="T3:T11" si="7">$S3*$D$9</f>
        <v>35.698</v>
      </c>
      <c r="V3" s="142"/>
      <c r="W3" s="142"/>
      <c r="X3" s="139" t="s">
        <v>176</v>
      </c>
      <c r="Y3" s="139" t="s">
        <v>176</v>
      </c>
      <c r="Z3" s="139" t="s">
        <v>176</v>
      </c>
      <c r="AA3" s="139" t="s">
        <v>176</v>
      </c>
      <c r="AB3" s="139" t="s">
        <v>176</v>
      </c>
      <c r="AC3" s="139" t="s">
        <v>176</v>
      </c>
      <c r="AD3" s="139" t="s">
        <v>176</v>
      </c>
    </row>
    <row r="4" spans="1:30" ht="15.75" customHeight="1">
      <c r="A4" s="468"/>
      <c r="B4" s="477" t="s">
        <v>247</v>
      </c>
      <c r="C4" s="386">
        <f t="shared" si="6"/>
        <v>1</v>
      </c>
      <c r="D4" s="12" t="s">
        <v>460</v>
      </c>
      <c r="E4" s="292"/>
      <c r="F4" s="365"/>
      <c r="G4" s="474" t="b">
        <v>1</v>
      </c>
      <c r="I4" s="275">
        <v>4</v>
      </c>
      <c r="J4" s="276">
        <f t="shared" si="0"/>
        <v>1</v>
      </c>
      <c r="K4" s="276">
        <f t="shared" si="1"/>
        <v>1</v>
      </c>
      <c r="L4" s="276">
        <f t="shared" si="2"/>
        <v>1</v>
      </c>
      <c r="M4" s="276">
        <f t="shared" si="3"/>
        <v>1</v>
      </c>
      <c r="N4" s="276">
        <f t="shared" si="4"/>
        <v>1</v>
      </c>
      <c r="O4" s="276">
        <f t="shared" si="5"/>
        <v>1</v>
      </c>
      <c r="P4" s="10"/>
      <c r="Q4" s="315"/>
      <c r="R4" s="331" t="str">
        <f>"C) " &amp; IF($S4=0,"",ROUND($S4,2) &amp; "-" &amp; ROUND($T4/$D$9,2))</f>
        <v xml:space="preserve">C) </v>
      </c>
      <c r="S4" s="306"/>
      <c r="T4" s="306">
        <f>$S4*$D$10</f>
        <v>0</v>
      </c>
      <c r="V4" s="142"/>
      <c r="W4" s="142"/>
      <c r="X4" s="139" t="s">
        <v>176</v>
      </c>
      <c r="Y4" s="139" t="s">
        <v>176</v>
      </c>
      <c r="Z4" s="139" t="s">
        <v>176</v>
      </c>
      <c r="AA4" s="139" t="s">
        <v>176</v>
      </c>
      <c r="AB4" s="139" t="s">
        <v>176</v>
      </c>
      <c r="AC4" s="139" t="s">
        <v>176</v>
      </c>
      <c r="AD4" s="139" t="s">
        <v>176</v>
      </c>
    </row>
    <row r="5" spans="1:30" ht="13.8">
      <c r="A5" s="466"/>
      <c r="B5" s="478" t="s">
        <v>189</v>
      </c>
      <c r="C5" s="386">
        <f t="shared" si="6"/>
        <v>1</v>
      </c>
      <c r="D5" s="12" t="s">
        <v>417</v>
      </c>
      <c r="E5" s="316"/>
      <c r="F5" s="365"/>
      <c r="G5" s="474" t="b">
        <v>1</v>
      </c>
      <c r="I5" s="275">
        <v>5</v>
      </c>
      <c r="J5" s="276">
        <f t="shared" si="0"/>
        <v>1</v>
      </c>
      <c r="K5" s="276">
        <f t="shared" si="1"/>
        <v>1</v>
      </c>
      <c r="L5" s="276">
        <f t="shared" si="2"/>
        <v>1</v>
      </c>
      <c r="M5" s="276">
        <f t="shared" si="3"/>
        <v>1</v>
      </c>
      <c r="N5" s="276">
        <f t="shared" si="4"/>
        <v>1</v>
      </c>
      <c r="O5" s="276">
        <f t="shared" si="5"/>
        <v>1</v>
      </c>
      <c r="P5" s="11"/>
      <c r="Q5" s="315"/>
      <c r="R5" s="332" t="str">
        <f>"D) " &amp; IF($S5=0,"",ROUND($S5,2) &amp; "-" &amp; ROUND($T5/$D$9,2))</f>
        <v xml:space="preserve">D) </v>
      </c>
      <c r="S5" s="306"/>
      <c r="T5" s="306">
        <f t="shared" si="7"/>
        <v>0</v>
      </c>
      <c r="V5" s="142"/>
      <c r="W5" s="142"/>
      <c r="X5" s="139" t="s">
        <v>176</v>
      </c>
      <c r="Y5" s="139" t="s">
        <v>176</v>
      </c>
      <c r="Z5" s="139" t="s">
        <v>176</v>
      </c>
      <c r="AA5" s="139" t="s">
        <v>176</v>
      </c>
      <c r="AB5" s="139" t="s">
        <v>176</v>
      </c>
      <c r="AC5" s="139" t="s">
        <v>176</v>
      </c>
      <c r="AD5" s="139" t="s">
        <v>176</v>
      </c>
    </row>
    <row r="6" spans="1:30" ht="13.8">
      <c r="A6" s="468"/>
      <c r="B6" s="478" t="s">
        <v>243</v>
      </c>
      <c r="C6" s="386">
        <f t="shared" si="6"/>
        <v>1</v>
      </c>
      <c r="D6" s="387" t="s">
        <v>208</v>
      </c>
      <c r="E6"/>
      <c r="F6" s="365"/>
      <c r="G6" s="474" t="b">
        <v>1</v>
      </c>
      <c r="I6" s="275">
        <v>6</v>
      </c>
      <c r="J6" s="276">
        <f t="shared" si="0"/>
        <v>1</v>
      </c>
      <c r="K6" s="276">
        <f t="shared" si="1"/>
        <v>1</v>
      </c>
      <c r="L6" s="276">
        <f t="shared" si="2"/>
        <v>1</v>
      </c>
      <c r="M6" s="276">
        <f t="shared" si="3"/>
        <v>1</v>
      </c>
      <c r="N6" s="276">
        <f t="shared" si="4"/>
        <v>1</v>
      </c>
      <c r="O6" s="276">
        <f t="shared" si="5"/>
        <v>1</v>
      </c>
      <c r="P6" s="11"/>
      <c r="Q6" s="315"/>
      <c r="R6" s="333" t="str">
        <f>"E) " &amp; IF($S6=0,"",ROUND($S6,2) &amp; "-" &amp; ROUND($T6/$D$9,2))</f>
        <v xml:space="preserve">E) </v>
      </c>
      <c r="S6" s="306"/>
      <c r="T6" s="306">
        <f t="shared" si="7"/>
        <v>0</v>
      </c>
      <c r="V6" s="142"/>
      <c r="W6" s="142"/>
      <c r="X6" s="139" t="s">
        <v>176</v>
      </c>
      <c r="Y6" s="139" t="s">
        <v>176</v>
      </c>
      <c r="Z6" s="139" t="s">
        <v>176</v>
      </c>
      <c r="AA6" s="139" t="s">
        <v>176</v>
      </c>
      <c r="AB6" s="139" t="s">
        <v>176</v>
      </c>
      <c r="AC6" s="139" t="s">
        <v>176</v>
      </c>
      <c r="AD6" s="139" t="s">
        <v>176</v>
      </c>
    </row>
    <row r="7" spans="1:30" ht="13.8">
      <c r="A7" s="468"/>
      <c r="B7" s="478" t="s">
        <v>12</v>
      </c>
      <c r="C7" s="386">
        <f t="shared" si="6"/>
        <v>1</v>
      </c>
      <c r="D7" s="13">
        <v>45971</v>
      </c>
      <c r="E7"/>
      <c r="F7" s="365"/>
      <c r="G7" s="474" t="b">
        <v>1</v>
      </c>
      <c r="I7" s="275">
        <v>7</v>
      </c>
      <c r="J7" s="276">
        <f t="shared" si="0"/>
        <v>1</v>
      </c>
      <c r="K7" s="276">
        <f t="shared" si="1"/>
        <v>1</v>
      </c>
      <c r="L7" s="276">
        <f t="shared" si="2"/>
        <v>1</v>
      </c>
      <c r="M7" s="276">
        <f t="shared" si="3"/>
        <v>1</v>
      </c>
      <c r="N7" s="276">
        <f t="shared" si="4"/>
        <v>1</v>
      </c>
      <c r="O7" s="276"/>
      <c r="P7" s="144"/>
      <c r="Q7" s="315"/>
      <c r="R7" s="334" t="str">
        <f>"F) " &amp; IF($S7=0,"",ROUND($S7,2) &amp; "-" &amp; ROUND($T7/$D$9,2))</f>
        <v xml:space="preserve">F) </v>
      </c>
      <c r="S7" s="306"/>
      <c r="T7" s="306">
        <f t="shared" si="7"/>
        <v>0</v>
      </c>
      <c r="V7" s="142"/>
      <c r="W7" s="142"/>
      <c r="X7" s="139" t="s">
        <v>176</v>
      </c>
      <c r="Y7" s="139" t="s">
        <v>176</v>
      </c>
      <c r="Z7" s="139" t="s">
        <v>176</v>
      </c>
      <c r="AA7" s="139" t="s">
        <v>176</v>
      </c>
      <c r="AB7" s="139" t="s">
        <v>176</v>
      </c>
      <c r="AC7" s="139" t="s">
        <v>176</v>
      </c>
      <c r="AD7" s="139" t="s">
        <v>176</v>
      </c>
    </row>
    <row r="8" spans="1:30" ht="13.8">
      <c r="A8" s="466"/>
      <c r="B8" s="478" t="s">
        <v>14</v>
      </c>
      <c r="C8" s="386">
        <f t="shared" si="6"/>
        <v>1</v>
      </c>
      <c r="D8" s="14" t="s">
        <v>419</v>
      </c>
      <c r="E8"/>
      <c r="F8" s="365"/>
      <c r="G8" s="474" t="b">
        <v>1</v>
      </c>
      <c r="I8" s="275">
        <v>8</v>
      </c>
      <c r="J8" s="276">
        <f t="shared" si="0"/>
        <v>1</v>
      </c>
      <c r="K8" s="276">
        <f t="shared" si="1"/>
        <v>1</v>
      </c>
      <c r="L8" s="276">
        <f t="shared" si="2"/>
        <v>1</v>
      </c>
      <c r="M8" s="276">
        <f t="shared" si="3"/>
        <v>1</v>
      </c>
      <c r="N8" s="276">
        <f t="shared" si="4"/>
        <v>1</v>
      </c>
      <c r="O8" s="276"/>
      <c r="P8" s="15"/>
      <c r="Q8" s="315"/>
      <c r="R8" s="335" t="str">
        <f>"G) " &amp; IF($S8=0,"",ROUND($S8,2) &amp; "-" &amp; ROUND($T8/$D$9,2))</f>
        <v xml:space="preserve">G) </v>
      </c>
      <c r="S8" s="306"/>
      <c r="T8" s="306">
        <f>$S8*$D$9</f>
        <v>0</v>
      </c>
      <c r="V8" s="142"/>
      <c r="W8" s="142"/>
      <c r="X8" s="139" t="s">
        <v>176</v>
      </c>
      <c r="Y8" s="139" t="s">
        <v>176</v>
      </c>
      <c r="Z8" s="139" t="s">
        <v>176</v>
      </c>
      <c r="AA8" s="139" t="s">
        <v>176</v>
      </c>
      <c r="AB8" s="139" t="s">
        <v>176</v>
      </c>
      <c r="AC8" s="139" t="s">
        <v>176</v>
      </c>
      <c r="AD8" s="139" t="s">
        <v>176</v>
      </c>
    </row>
    <row r="9" spans="1:30" ht="13.8">
      <c r="A9" s="468"/>
      <c r="B9" s="478" t="s">
        <v>244</v>
      </c>
      <c r="C9" s="386">
        <f t="shared" si="6"/>
        <v>1</v>
      </c>
      <c r="D9" s="611">
        <v>27.46</v>
      </c>
      <c r="E9" s="141"/>
      <c r="F9" s="365"/>
      <c r="G9" s="474" t="b">
        <v>1</v>
      </c>
      <c r="I9" s="275">
        <v>9</v>
      </c>
      <c r="J9" s="276">
        <f t="shared" si="0"/>
        <v>1</v>
      </c>
      <c r="K9" s="276">
        <f t="shared" si="1"/>
        <v>1</v>
      </c>
      <c r="L9" s="276">
        <f t="shared" si="2"/>
        <v>1</v>
      </c>
      <c r="M9" s="276">
        <f t="shared" si="3"/>
        <v>1</v>
      </c>
      <c r="N9" s="276">
        <f t="shared" si="4"/>
        <v>1</v>
      </c>
      <c r="O9" s="276"/>
      <c r="P9" s="15"/>
      <c r="Q9" s="315"/>
      <c r="R9" s="336" t="str">
        <f>"H) " &amp; IF($S9=0,"",ROUND($S9,2) &amp; "-" &amp; ROUND($T9/$D$9,2))</f>
        <v xml:space="preserve">H) </v>
      </c>
      <c r="S9" s="306"/>
      <c r="T9" s="306">
        <f t="shared" si="7"/>
        <v>0</v>
      </c>
      <c r="V9" s="613"/>
      <c r="W9" s="142"/>
      <c r="X9" s="139" t="s">
        <v>176</v>
      </c>
      <c r="Y9" s="139" t="s">
        <v>176</v>
      </c>
      <c r="Z9" s="139" t="s">
        <v>176</v>
      </c>
      <c r="AA9" s="139" t="s">
        <v>176</v>
      </c>
      <c r="AB9" s="139" t="s">
        <v>176</v>
      </c>
      <c r="AC9" s="139" t="s">
        <v>176</v>
      </c>
      <c r="AD9" s="139" t="s">
        <v>176</v>
      </c>
    </row>
    <row r="10" spans="1:30" ht="13.8">
      <c r="A10" s="468"/>
      <c r="B10" s="479"/>
      <c r="C10" s="386">
        <f t="shared" si="6"/>
        <v>1</v>
      </c>
      <c r="D10"/>
      <c r="E10"/>
      <c r="F10" s="365"/>
      <c r="G10" s="474" t="b">
        <v>1</v>
      </c>
      <c r="I10" s="275">
        <v>10</v>
      </c>
      <c r="J10" s="276">
        <f t="shared" si="0"/>
        <v>1</v>
      </c>
      <c r="K10" s="276">
        <f t="shared" si="1"/>
        <v>1</v>
      </c>
      <c r="L10" s="276">
        <f t="shared" si="2"/>
        <v>1</v>
      </c>
      <c r="M10" s="276">
        <f t="shared" si="3"/>
        <v>1</v>
      </c>
      <c r="N10" s="276">
        <f>$Q158</f>
        <v>1</v>
      </c>
      <c r="O10" s="276">
        <f>Q108</f>
        <v>1</v>
      </c>
      <c r="P10" s="15"/>
      <c r="Q10" s="315"/>
      <c r="R10" s="337" t="str">
        <f>" I) " &amp; IF($S10=0,"",ROUND($S10,2) &amp; "-" &amp; ROUND($T10/$D$9,2))</f>
        <v xml:space="preserve"> I) </v>
      </c>
      <c r="S10" s="306"/>
      <c r="T10" s="306">
        <f t="shared" si="7"/>
        <v>0</v>
      </c>
      <c r="V10" s="142"/>
      <c r="W10" s="142"/>
      <c r="X10" s="139" t="s">
        <v>176</v>
      </c>
      <c r="Y10" s="139" t="s">
        <v>176</v>
      </c>
      <c r="Z10" s="139" t="s">
        <v>176</v>
      </c>
      <c r="AA10" s="139" t="s">
        <v>176</v>
      </c>
      <c r="AB10" s="139" t="s">
        <v>176</v>
      </c>
      <c r="AC10" s="139" t="s">
        <v>176</v>
      </c>
      <c r="AD10" s="139" t="s">
        <v>176</v>
      </c>
    </row>
    <row r="11" spans="1:30" ht="13.8">
      <c r="A11" s="469"/>
      <c r="B11" s="480"/>
      <c r="C11" s="386">
        <f t="shared" si="6"/>
        <v>1</v>
      </c>
      <c r="D11"/>
      <c r="E11"/>
      <c r="F11" s="470"/>
      <c r="H11"/>
      <c r="I11" s="277"/>
      <c r="J11" s="277"/>
      <c r="K11" s="277"/>
      <c r="L11" s="277"/>
      <c r="M11" s="277"/>
      <c r="N11" s="277"/>
      <c r="O11" s="277"/>
      <c r="P11" s="140"/>
      <c r="Q11" s="315"/>
      <c r="R11" s="338" t="str">
        <f>"J) " &amp; IF($S11=0,"",ROUND($S11,2) &amp; "-" &amp; ROUND($T11/$D$9,2))</f>
        <v xml:space="preserve">J) </v>
      </c>
      <c r="S11" s="306"/>
      <c r="T11" s="306">
        <f t="shared" si="7"/>
        <v>0</v>
      </c>
      <c r="X11" s="139" t="s">
        <v>176</v>
      </c>
      <c r="Y11" s="139" t="s">
        <v>176</v>
      </c>
      <c r="Z11" s="139" t="s">
        <v>176</v>
      </c>
      <c r="AA11" s="139" t="s">
        <v>176</v>
      </c>
      <c r="AB11" s="139" t="s">
        <v>176</v>
      </c>
      <c r="AC11" s="139" t="s">
        <v>176</v>
      </c>
      <c r="AD11" s="139" t="s">
        <v>176</v>
      </c>
    </row>
    <row r="12" spans="1:30" ht="12.75" customHeight="1" thickBot="1">
      <c r="A12" s="466"/>
      <c r="B12"/>
      <c r="C12" s="386">
        <f t="shared" si="6"/>
        <v>1</v>
      </c>
      <c r="D12" s="321"/>
      <c r="E12" s="322"/>
      <c r="F12" s="366"/>
      <c r="G12" s="291" t="s">
        <v>28</v>
      </c>
      <c r="H12" s="291" t="s">
        <v>28</v>
      </c>
      <c r="I12" s="291" t="s">
        <v>28</v>
      </c>
      <c r="J12" s="291" t="s">
        <v>28</v>
      </c>
      <c r="K12" s="291" t="s">
        <v>28</v>
      </c>
      <c r="L12" s="291" t="s">
        <v>28</v>
      </c>
      <c r="M12" s="291" t="s">
        <v>28</v>
      </c>
      <c r="N12" s="291" t="s">
        <v>28</v>
      </c>
      <c r="O12" s="291" t="s">
        <v>28</v>
      </c>
      <c r="P12" s="291" t="s">
        <v>28</v>
      </c>
      <c r="Q12" s="403"/>
      <c r="R12" s="370" t="s">
        <v>214</v>
      </c>
      <c r="S12" s="447" t="s">
        <v>30</v>
      </c>
      <c r="T12" s="448" t="s">
        <v>31</v>
      </c>
      <c r="X12" s="139" t="s">
        <v>176</v>
      </c>
      <c r="Y12" s="139" t="s">
        <v>176</v>
      </c>
      <c r="Z12" s="139" t="s">
        <v>176</v>
      </c>
      <c r="AA12" s="139" t="s">
        <v>176</v>
      </c>
      <c r="AB12" s="139" t="s">
        <v>176</v>
      </c>
      <c r="AC12" s="139" t="s">
        <v>176</v>
      </c>
      <c r="AD12" s="139" t="s">
        <v>176</v>
      </c>
    </row>
    <row r="13" spans="1:30" ht="17.25" customHeight="1" thickBot="1">
      <c r="A13" s="397"/>
      <c r="B13" s="398" t="s">
        <v>221</v>
      </c>
      <c r="C13" s="399"/>
      <c r="D13" s="400"/>
      <c r="E13" s="401"/>
      <c r="F13" s="402"/>
      <c r="G13" s="323" t="s">
        <v>202</v>
      </c>
      <c r="H13" s="324" t="s">
        <v>203</v>
      </c>
      <c r="I13" s="325" t="s">
        <v>20</v>
      </c>
      <c r="J13" s="325" t="s">
        <v>21</v>
      </c>
      <c r="K13" s="326" t="s">
        <v>22</v>
      </c>
      <c r="L13" s="323" t="s">
        <v>23</v>
      </c>
      <c r="M13" s="323" t="s">
        <v>24</v>
      </c>
      <c r="N13" s="324" t="s">
        <v>204</v>
      </c>
      <c r="O13" s="323" t="s">
        <v>26</v>
      </c>
      <c r="P13" s="327" t="s">
        <v>27</v>
      </c>
      <c r="Q13" s="395" t="s">
        <v>200</v>
      </c>
      <c r="R13" s="371" t="s">
        <v>215</v>
      </c>
      <c r="S13" s="449" t="s">
        <v>239</v>
      </c>
      <c r="T13" s="481">
        <f>SUM(Q108:Q164)/57</f>
        <v>1</v>
      </c>
      <c r="X13" s="139"/>
      <c r="Y13" s="139"/>
      <c r="Z13" s="139"/>
      <c r="AA13" s="139"/>
      <c r="AB13" s="139"/>
      <c r="AC13" s="139"/>
      <c r="AD13" s="139"/>
    </row>
    <row r="14" spans="1:30" ht="27.75" customHeight="1">
      <c r="A14" s="143"/>
      <c r="B14" s="737" t="str">
        <f>IF($D$6&lt;&gt;"VAT EXCL.", "QUOTE ISSUED WITH                    VAT INCLUDED", "")</f>
        <v/>
      </c>
      <c r="C14" s="737"/>
      <c r="D14" s="737"/>
      <c r="E14" s="737"/>
      <c r="F14" s="7"/>
      <c r="G14" s="7"/>
      <c r="H14" s="7"/>
      <c r="I14" s="7"/>
      <c r="J14" s="7"/>
      <c r="K14" s="7"/>
      <c r="L14" s="7"/>
      <c r="M14" s="7"/>
      <c r="N14" s="7"/>
      <c r="O14" s="7"/>
      <c r="P14" s="7"/>
      <c r="Q14" s="7"/>
      <c r="R14" s="146"/>
      <c r="S14"/>
      <c r="T14" s="147"/>
      <c r="X14" s="139" t="s">
        <v>176</v>
      </c>
      <c r="Y14" s="139" t="s">
        <v>176</v>
      </c>
      <c r="Z14" s="139" t="s">
        <v>176</v>
      </c>
      <c r="AA14" s="139" t="s">
        <v>176</v>
      </c>
      <c r="AB14" s="139" t="s">
        <v>176</v>
      </c>
      <c r="AC14" s="139" t="s">
        <v>176</v>
      </c>
      <c r="AD14" s="139" t="s">
        <v>176</v>
      </c>
    </row>
    <row r="15" spans="1:30" ht="14.25" customHeight="1">
      <c r="A15" s="314"/>
      <c r="B15" s="737"/>
      <c r="C15" s="737"/>
      <c r="D15" s="737"/>
      <c r="E15" s="737"/>
      <c r="F15" s="314"/>
      <c r="G15" s="314"/>
      <c r="H15" s="314"/>
      <c r="I15" s="314"/>
      <c r="J15" s="314"/>
      <c r="K15" s="314"/>
      <c r="L15" s="314"/>
      <c r="M15" s="314"/>
      <c r="N15" s="314"/>
      <c r="O15" s="314"/>
      <c r="P15" s="314"/>
      <c r="Q15" s="415">
        <f>(C72-F35)/C72</f>
        <v>0</v>
      </c>
      <c r="R15" s="301" t="s">
        <v>219</v>
      </c>
      <c r="S15" s="299"/>
      <c r="T15" s="300"/>
      <c r="X15" s="139" t="s">
        <v>176</v>
      </c>
      <c r="Y15" s="139" t="s">
        <v>176</v>
      </c>
      <c r="Z15" s="139" t="s">
        <v>176</v>
      </c>
      <c r="AA15" s="139" t="s">
        <v>176</v>
      </c>
      <c r="AB15" s="139" t="s">
        <v>176</v>
      </c>
      <c r="AC15" s="139" t="s">
        <v>176</v>
      </c>
      <c r="AD15" s="139" t="s">
        <v>176</v>
      </c>
    </row>
    <row r="16" spans="1:30" ht="13.5" customHeight="1">
      <c r="A16" s="143"/>
      <c r="B16" s="736" t="str">
        <f>IF($W$1&lt;&gt;"BOQ", "DIFF SET TO " &amp; W1,"")</f>
        <v/>
      </c>
      <c r="C16" s="736"/>
      <c r="D16" s="736"/>
      <c r="E16" s="736"/>
      <c r="F16" s="141"/>
      <c r="G16" s="141"/>
      <c r="H16" s="141"/>
      <c r="I16" s="141"/>
      <c r="J16" s="141"/>
      <c r="K16" s="141"/>
      <c r="L16" s="141"/>
      <c r="M16" s="141"/>
      <c r="N16" s="141"/>
      <c r="O16" s="141"/>
      <c r="P16" s="141"/>
      <c r="Q16" s="416">
        <f>(F35-E35)/F35</f>
        <v>0</v>
      </c>
      <c r="R16" s="307" t="s">
        <v>220</v>
      </c>
      <c r="S16" s="308"/>
      <c r="T16" s="309"/>
      <c r="X16" s="139" t="s">
        <v>176</v>
      </c>
      <c r="Y16" s="139" t="s">
        <v>176</v>
      </c>
      <c r="Z16" s="139" t="s">
        <v>176</v>
      </c>
      <c r="AA16" s="139" t="s">
        <v>176</v>
      </c>
      <c r="AB16" s="139" t="s">
        <v>176</v>
      </c>
      <c r="AC16" s="139" t="s">
        <v>176</v>
      </c>
      <c r="AD16" s="139" t="s">
        <v>176</v>
      </c>
    </row>
    <row r="17" spans="1:24" ht="13.5" customHeight="1">
      <c r="B17" s="736"/>
      <c r="C17" s="736"/>
      <c r="D17" s="736"/>
      <c r="E17" s="736"/>
      <c r="G17" s="8"/>
      <c r="H17" s="8"/>
      <c r="I17" s="8"/>
      <c r="J17" s="8"/>
      <c r="K17" s="8"/>
      <c r="L17" s="8"/>
      <c r="M17" s="8"/>
      <c r="N17" s="8"/>
      <c r="O17" s="8"/>
      <c r="P17" s="8"/>
      <c r="Q17" s="417">
        <f>F74</f>
        <v>0</v>
      </c>
      <c r="R17" s="310" t="s">
        <v>217</v>
      </c>
      <c r="S17" s="311"/>
      <c r="T17" s="354"/>
    </row>
    <row r="18" spans="1:24" ht="18.75" customHeight="1">
      <c r="A18" s="374"/>
      <c r="B18" s="738" t="str">
        <f>IF(AND(G1,G2,G3,G4,G5,G6,G7,G8,G9,G10,H1)=TRUE, "", "CHECKLIST INCOMPLETE !" )</f>
        <v/>
      </c>
      <c r="C18" s="738"/>
      <c r="D18" s="738"/>
      <c r="E18" s="738"/>
      <c r="F18" s="374"/>
      <c r="G18"/>
      <c r="H18"/>
      <c r="I18"/>
      <c r="J18"/>
      <c r="K18"/>
      <c r="L18"/>
      <c r="M18"/>
      <c r="N18"/>
      <c r="O18"/>
      <c r="P18"/>
      <c r="Q18" s="750"/>
      <c r="R18" s="750"/>
      <c r="S18" s="750"/>
      <c r="T18" s="750"/>
      <c r="V18" s="610"/>
    </row>
    <row r="19" spans="1:24" ht="18" customHeight="1">
      <c r="B19" s="751" t="str">
        <f>IF(ABS(SUM(A23:A32))&gt;100,"[Discy A-J] are high, Check it out."," ")</f>
        <v xml:space="preserve"> </v>
      </c>
      <c r="C19" s="751"/>
      <c r="D19" s="751"/>
      <c r="E19" s="751"/>
      <c r="G19"/>
      <c r="H19"/>
      <c r="I19"/>
      <c r="J19"/>
      <c r="K19"/>
      <c r="L19"/>
      <c r="M19"/>
      <c r="N19"/>
      <c r="O19"/>
      <c r="P19"/>
      <c r="Q19" s="418">
        <f>R83</f>
        <v>1.3000062475270209</v>
      </c>
      <c r="R19" s="310" t="s">
        <v>218</v>
      </c>
      <c r="S19" s="381"/>
      <c r="T19" s="382"/>
    </row>
    <row r="20" spans="1:24" ht="12.75" customHeight="1">
      <c r="A20" s="471"/>
      <c r="B20" s="471"/>
      <c r="C20" s="471"/>
      <c r="D20" s="471"/>
      <c r="E20" s="471"/>
      <c r="F20"/>
      <c r="G20"/>
      <c r="H20"/>
      <c r="I20"/>
      <c r="J20"/>
      <c r="K20"/>
      <c r="L20"/>
      <c r="M20"/>
      <c r="N20"/>
      <c r="O20"/>
      <c r="P20"/>
      <c r="Q20"/>
      <c r="R20"/>
      <c r="S20"/>
      <c r="T20"/>
    </row>
    <row r="21" spans="1:24" ht="13.8">
      <c r="A21"/>
      <c r="B21" s="149"/>
      <c r="C21" s="150"/>
      <c r="D21" s="302"/>
      <c r="E21" s="312" t="s">
        <v>196</v>
      </c>
      <c r="F21" s="293" t="s">
        <v>32</v>
      </c>
      <c r="G21" s="123"/>
      <c r="H21" s="123"/>
      <c r="I21" s="123"/>
      <c r="J21" s="123"/>
      <c r="K21" s="123"/>
      <c r="L21" s="123"/>
      <c r="M21" s="123"/>
      <c r="N21" s="123"/>
      <c r="O21" s="123"/>
      <c r="P21" s="123"/>
      <c r="Q21" s="303" t="s">
        <v>198</v>
      </c>
      <c r="R21" s="293" t="s">
        <v>33</v>
      </c>
      <c r="S21" s="123"/>
      <c r="T21" s="293" t="s">
        <v>34</v>
      </c>
      <c r="V21"/>
      <c r="W21"/>
      <c r="X21"/>
    </row>
    <row r="22" spans="1:24">
      <c r="A22" s="368" t="s">
        <v>209</v>
      </c>
      <c r="B22" s="328" t="s">
        <v>199</v>
      </c>
      <c r="C22"/>
      <c r="D22" s="302"/>
      <c r="E22" s="313" t="str">
        <f>"SELLING  " &amp; $Q$1</f>
        <v>SELLING  €</v>
      </c>
      <c r="F22" s="433" t="str">
        <f>$Q$1</f>
        <v>€</v>
      </c>
      <c r="G22" s="295" t="s">
        <v>256</v>
      </c>
      <c r="H22" s="539" t="s">
        <v>253</v>
      </c>
      <c r="I22" s="539" t="s">
        <v>254</v>
      </c>
      <c r="J22" s="540" t="s">
        <v>255</v>
      </c>
      <c r="K22" s="295"/>
      <c r="L22" s="295"/>
      <c r="M22" s="295"/>
      <c r="N22" s="295"/>
      <c r="O22" s="295"/>
      <c r="P22" s="295"/>
      <c r="Q22" s="304" t="s">
        <v>197</v>
      </c>
      <c r="R22" s="296" t="s">
        <v>233</v>
      </c>
      <c r="S22" s="295"/>
      <c r="T22" s="294" t="s">
        <v>234</v>
      </c>
      <c r="V22"/>
      <c r="W22"/>
      <c r="X22"/>
    </row>
    <row r="23" spans="1:24">
      <c r="A23" s="383">
        <f>IF($F23=0,"",($F23/$C2)-($R23*$S2+$T23*$T2))</f>
        <v>1.6800000000216642E-3</v>
      </c>
      <c r="B23" s="329" t="str">
        <f>IF(F23=0,"",IF(R23=0,"A) "&amp;"---,    "&amp;ROUND(($F23/$C2-($R23*$S2))/$T23,2),IF(T23=0,"A) "&amp;ROUND(($F23/$C2)/$R23,2),"A) "&amp;ROUND(($F23/$C2-($T23*$T2))/$R23,2)&amp;", "
&amp;ROUND(($F23/$C2-($R23*$S2))/$T23,2))))</f>
        <v>A) 1.3, 35.7</v>
      </c>
      <c r="C23"/>
      <c r="D23" s="367" t="str">
        <f>IF($F2="","",$F2)</f>
        <v>Electrical</v>
      </c>
      <c r="E23" s="719">
        <f>F23*(1-Q23)</f>
        <v>115.58000000000001</v>
      </c>
      <c r="F23" s="719">
        <f>Elec_Est!F86</f>
        <v>115.58000000000001</v>
      </c>
      <c r="G23" s="282">
        <f>C2</f>
        <v>1</v>
      </c>
      <c r="H23" s="369">
        <f>$S2</f>
        <v>1.3</v>
      </c>
      <c r="I23" s="369">
        <f>$T2</f>
        <v>35.698</v>
      </c>
      <c r="J23" s="282">
        <f>$D$9</f>
        <v>27.46</v>
      </c>
      <c r="K23" s="282"/>
      <c r="L23" s="282"/>
      <c r="M23" s="282"/>
      <c r="N23" s="282"/>
      <c r="O23" s="282"/>
      <c r="P23" s="282"/>
      <c r="Q23" s="305"/>
      <c r="R23" s="483">
        <f>Elec_Est!R86</f>
        <v>10.920000000000002</v>
      </c>
      <c r="S23" s="282"/>
      <c r="T23" s="486">
        <f>Elec_Est!T86</f>
        <v>2.84</v>
      </c>
      <c r="V23"/>
      <c r="W23"/>
      <c r="X23"/>
    </row>
    <row r="24" spans="1:24">
      <c r="A24" s="384">
        <f t="shared" ref="A24:A32" si="8">IF($F24=0,"",($F24/$C3)-($R24*$S3+$T24*$T3))</f>
        <v>0</v>
      </c>
      <c r="B24" s="330" t="str">
        <f t="shared" ref="B24:B32" si="9">IF(F24=0,"",IF(R24=0,"A) "&amp;"---,    "&amp;ROUND(($F24/$C3-($R24*$S3))/$T24,2),IF(T24=0,"A) "&amp;ROUND(($F24/$C3)/$R24,2),"A) "&amp;ROUND(($F24/$C3-($T24*$T3))/$R24,2)&amp;", "
&amp;ROUND(($F24/$C3-($R24*$S3))/$T24,2))))</f>
        <v>A) 1.3</v>
      </c>
      <c r="C24"/>
      <c r="D24" s="367" t="str">
        <f t="shared" ref="D24:D32" si="10">IF($F3="","",$F3)</f>
        <v>Controls Section (Guy)</v>
      </c>
      <c r="E24" s="719">
        <f t="shared" ref="E24:E32" si="11">F24*(1-Q24)</f>
        <v>234</v>
      </c>
      <c r="F24" s="719">
        <f>Elec_Est!F87</f>
        <v>234</v>
      </c>
      <c r="G24" s="282">
        <f t="shared" ref="G24:G32" si="12">C3</f>
        <v>1</v>
      </c>
      <c r="H24" s="369">
        <f t="shared" ref="H24:H32" si="13">$S3</f>
        <v>1.3</v>
      </c>
      <c r="I24" s="369">
        <f t="shared" ref="I24:I32" si="14">$T3</f>
        <v>35.698</v>
      </c>
      <c r="J24" s="282">
        <f t="shared" ref="J24:J32" si="15">$D$9</f>
        <v>27.46</v>
      </c>
      <c r="K24" s="282"/>
      <c r="L24" s="282"/>
      <c r="M24" s="282"/>
      <c r="N24" s="282"/>
      <c r="O24" s="282"/>
      <c r="P24" s="282"/>
      <c r="Q24" s="305"/>
      <c r="R24" s="483">
        <f>Elec_Est!R87</f>
        <v>180</v>
      </c>
      <c r="S24" s="282"/>
      <c r="T24" s="485">
        <f>Elec_Est!T87</f>
        <v>0</v>
      </c>
      <c r="V24"/>
      <c r="W24"/>
      <c r="X24"/>
    </row>
    <row r="25" spans="1:24">
      <c r="A25" s="384" t="str">
        <f t="shared" si="8"/>
        <v/>
      </c>
      <c r="B25" s="331" t="str">
        <f t="shared" si="9"/>
        <v/>
      </c>
      <c r="C25"/>
      <c r="D25" s="367" t="str">
        <f t="shared" si="10"/>
        <v/>
      </c>
      <c r="E25" s="719">
        <f t="shared" si="11"/>
        <v>0</v>
      </c>
      <c r="F25" s="719">
        <f>Elec_Est!F88</f>
        <v>0</v>
      </c>
      <c r="G25" s="282">
        <f t="shared" si="12"/>
        <v>1</v>
      </c>
      <c r="H25" s="369">
        <f t="shared" si="13"/>
        <v>0</v>
      </c>
      <c r="I25" s="369">
        <f t="shared" si="14"/>
        <v>0</v>
      </c>
      <c r="J25" s="282">
        <f t="shared" si="15"/>
        <v>27.46</v>
      </c>
      <c r="K25" s="282"/>
      <c r="L25" s="282"/>
      <c r="M25" s="282"/>
      <c r="N25" s="282"/>
      <c r="O25" s="282"/>
      <c r="P25" s="282"/>
      <c r="Q25" s="305"/>
      <c r="R25" s="483">
        <f>Elec_Est!R88</f>
        <v>0</v>
      </c>
      <c r="S25" s="282"/>
      <c r="T25" s="485">
        <f>Elec_Est!T88</f>
        <v>0</v>
      </c>
      <c r="V25"/>
      <c r="W25"/>
      <c r="X25"/>
    </row>
    <row r="26" spans="1:24">
      <c r="A26" s="384" t="str">
        <f t="shared" si="8"/>
        <v/>
      </c>
      <c r="B26" s="332" t="str">
        <f t="shared" si="9"/>
        <v/>
      </c>
      <c r="C26"/>
      <c r="D26" s="367" t="str">
        <f t="shared" si="10"/>
        <v/>
      </c>
      <c r="E26" s="719">
        <f t="shared" si="11"/>
        <v>0</v>
      </c>
      <c r="F26" s="719">
        <f>Elec_Est!F89</f>
        <v>0</v>
      </c>
      <c r="G26" s="282">
        <f t="shared" si="12"/>
        <v>1</v>
      </c>
      <c r="H26" s="369">
        <f t="shared" si="13"/>
        <v>0</v>
      </c>
      <c r="I26" s="369">
        <f t="shared" si="14"/>
        <v>0</v>
      </c>
      <c r="J26" s="282">
        <f t="shared" si="15"/>
        <v>27.46</v>
      </c>
      <c r="K26" s="282"/>
      <c r="L26" s="282"/>
      <c r="M26" s="282"/>
      <c r="N26" s="282"/>
      <c r="O26" s="282"/>
      <c r="P26" s="282"/>
      <c r="Q26" s="305"/>
      <c r="R26" s="483">
        <f>Elec_Est!R89</f>
        <v>0</v>
      </c>
      <c r="S26" s="282"/>
      <c r="T26" s="485">
        <f>Elec_Est!T89</f>
        <v>0</v>
      </c>
      <c r="V26"/>
      <c r="W26"/>
      <c r="X26"/>
    </row>
    <row r="27" spans="1:24">
      <c r="A27" s="384" t="str">
        <f t="shared" si="8"/>
        <v/>
      </c>
      <c r="B27" s="333" t="str">
        <f t="shared" si="9"/>
        <v/>
      </c>
      <c r="C27"/>
      <c r="D27" s="367" t="str">
        <f t="shared" si="10"/>
        <v/>
      </c>
      <c r="E27" s="719">
        <f t="shared" si="11"/>
        <v>0</v>
      </c>
      <c r="F27" s="719">
        <f>Elec_Est!F90</f>
        <v>0</v>
      </c>
      <c r="G27" s="282">
        <f t="shared" si="12"/>
        <v>1</v>
      </c>
      <c r="H27" s="369">
        <f t="shared" si="13"/>
        <v>0</v>
      </c>
      <c r="I27" s="369">
        <f t="shared" si="14"/>
        <v>0</v>
      </c>
      <c r="J27" s="282">
        <f t="shared" si="15"/>
        <v>27.46</v>
      </c>
      <c r="K27" s="282"/>
      <c r="L27" s="282"/>
      <c r="M27" s="282"/>
      <c r="N27" s="282"/>
      <c r="O27" s="282"/>
      <c r="P27" s="282"/>
      <c r="Q27" s="305"/>
      <c r="R27" s="483">
        <f>Elec_Est!R90</f>
        <v>0</v>
      </c>
      <c r="S27" s="282"/>
      <c r="T27" s="485">
        <f>Elec_Est!T90</f>
        <v>0</v>
      </c>
      <c r="V27"/>
      <c r="W27"/>
      <c r="X27"/>
    </row>
    <row r="28" spans="1:24">
      <c r="A28" s="384" t="str">
        <f t="shared" si="8"/>
        <v/>
      </c>
      <c r="B28" s="334" t="str">
        <f t="shared" si="9"/>
        <v/>
      </c>
      <c r="C28"/>
      <c r="D28" s="367" t="str">
        <f t="shared" si="10"/>
        <v/>
      </c>
      <c r="E28" s="719">
        <f t="shared" si="11"/>
        <v>0</v>
      </c>
      <c r="F28" s="719">
        <f>Elec_Est!F91</f>
        <v>0</v>
      </c>
      <c r="G28" s="282">
        <f t="shared" si="12"/>
        <v>1</v>
      </c>
      <c r="H28" s="369">
        <f t="shared" si="13"/>
        <v>0</v>
      </c>
      <c r="I28" s="369">
        <f t="shared" si="14"/>
        <v>0</v>
      </c>
      <c r="J28" s="282">
        <f t="shared" si="15"/>
        <v>27.46</v>
      </c>
      <c r="K28" s="282"/>
      <c r="L28" s="282"/>
      <c r="M28" s="282"/>
      <c r="N28" s="282"/>
      <c r="O28" s="282"/>
      <c r="P28" s="282"/>
      <c r="Q28" s="305"/>
      <c r="R28" s="483">
        <f>Elec_Est!R91</f>
        <v>0</v>
      </c>
      <c r="S28" s="282"/>
      <c r="T28" s="485">
        <f>Elec_Est!T91</f>
        <v>0</v>
      </c>
      <c r="V28"/>
      <c r="W28"/>
      <c r="X28"/>
    </row>
    <row r="29" spans="1:24">
      <c r="A29" s="384" t="str">
        <f t="shared" si="8"/>
        <v/>
      </c>
      <c r="B29" s="335" t="str">
        <f t="shared" si="9"/>
        <v/>
      </c>
      <c r="C29"/>
      <c r="D29" s="367" t="str">
        <f t="shared" si="10"/>
        <v/>
      </c>
      <c r="E29" s="719">
        <f t="shared" si="11"/>
        <v>0</v>
      </c>
      <c r="F29" s="719">
        <f>Elec_Est!F92</f>
        <v>0</v>
      </c>
      <c r="G29" s="282">
        <f t="shared" si="12"/>
        <v>1</v>
      </c>
      <c r="H29" s="369">
        <f t="shared" si="13"/>
        <v>0</v>
      </c>
      <c r="I29" s="369">
        <f t="shared" si="14"/>
        <v>0</v>
      </c>
      <c r="J29" s="282">
        <f t="shared" si="15"/>
        <v>27.46</v>
      </c>
      <c r="K29" s="282"/>
      <c r="L29" s="282"/>
      <c r="M29" s="282"/>
      <c r="N29" s="282"/>
      <c r="O29" s="282"/>
      <c r="P29" s="282"/>
      <c r="Q29" s="305"/>
      <c r="R29" s="483">
        <f>Elec_Est!R92</f>
        <v>0</v>
      </c>
      <c r="S29" s="282"/>
      <c r="T29" s="484">
        <f>Elec_Est!T92</f>
        <v>0</v>
      </c>
      <c r="V29"/>
      <c r="W29"/>
      <c r="X29"/>
    </row>
    <row r="30" spans="1:24">
      <c r="A30" s="384" t="str">
        <f t="shared" si="8"/>
        <v/>
      </c>
      <c r="B30" s="336" t="str">
        <f t="shared" si="9"/>
        <v/>
      </c>
      <c r="C30"/>
      <c r="D30" s="367" t="str">
        <f t="shared" si="10"/>
        <v/>
      </c>
      <c r="E30" s="719">
        <f t="shared" si="11"/>
        <v>0</v>
      </c>
      <c r="F30" s="719">
        <f>Elec_Est!F93</f>
        <v>0</v>
      </c>
      <c r="G30" s="282">
        <f t="shared" si="12"/>
        <v>1</v>
      </c>
      <c r="H30" s="369">
        <f t="shared" si="13"/>
        <v>0</v>
      </c>
      <c r="I30" s="369">
        <f t="shared" si="14"/>
        <v>0</v>
      </c>
      <c r="J30" s="282">
        <f t="shared" si="15"/>
        <v>27.46</v>
      </c>
      <c r="K30" s="282"/>
      <c r="L30" s="282"/>
      <c r="M30" s="282"/>
      <c r="N30" s="282"/>
      <c r="O30" s="282"/>
      <c r="P30" s="282"/>
      <c r="Q30" s="305"/>
      <c r="R30" s="483">
        <f>Elec_Est!R93</f>
        <v>0</v>
      </c>
      <c r="S30" s="282"/>
      <c r="T30" s="484">
        <f>Elec_Est!T93</f>
        <v>0</v>
      </c>
      <c r="V30"/>
      <c r="W30"/>
      <c r="X30"/>
    </row>
    <row r="31" spans="1:24">
      <c r="A31" s="384" t="str">
        <f t="shared" si="8"/>
        <v/>
      </c>
      <c r="B31" s="337" t="str">
        <f t="shared" si="9"/>
        <v/>
      </c>
      <c r="C31"/>
      <c r="D31" s="367" t="str">
        <f t="shared" si="10"/>
        <v/>
      </c>
      <c r="E31" s="719">
        <f t="shared" si="11"/>
        <v>0</v>
      </c>
      <c r="F31" s="719">
        <f>Elec_Est!F94</f>
        <v>0</v>
      </c>
      <c r="G31" s="282">
        <f t="shared" si="12"/>
        <v>1</v>
      </c>
      <c r="H31" s="369">
        <f t="shared" si="13"/>
        <v>0</v>
      </c>
      <c r="I31" s="369">
        <f t="shared" si="14"/>
        <v>0</v>
      </c>
      <c r="J31" s="282">
        <f t="shared" si="15"/>
        <v>27.46</v>
      </c>
      <c r="K31" s="282"/>
      <c r="L31" s="282"/>
      <c r="M31" s="282"/>
      <c r="N31" s="282"/>
      <c r="O31" s="282"/>
      <c r="P31" s="282"/>
      <c r="Q31" s="305"/>
      <c r="R31" s="483">
        <f>Elec_Est!R94</f>
        <v>0</v>
      </c>
      <c r="S31" s="282"/>
      <c r="T31" s="484">
        <f>Elec_Est!T94</f>
        <v>0</v>
      </c>
      <c r="V31"/>
      <c r="W31"/>
      <c r="X31"/>
    </row>
    <row r="32" spans="1:24">
      <c r="A32" s="385" t="str">
        <f t="shared" si="8"/>
        <v/>
      </c>
      <c r="B32" s="450" t="str">
        <f t="shared" si="9"/>
        <v/>
      </c>
      <c r="C32"/>
      <c r="D32" s="367" t="str">
        <f t="shared" si="10"/>
        <v/>
      </c>
      <c r="E32" s="719">
        <f t="shared" si="11"/>
        <v>0</v>
      </c>
      <c r="F32" s="719">
        <f>Elec_Est!F95</f>
        <v>0</v>
      </c>
      <c r="G32" s="282">
        <f t="shared" si="12"/>
        <v>1</v>
      </c>
      <c r="H32" s="369">
        <f t="shared" si="13"/>
        <v>0</v>
      </c>
      <c r="I32" s="369">
        <f t="shared" si="14"/>
        <v>0</v>
      </c>
      <c r="J32" s="282">
        <f t="shared" si="15"/>
        <v>27.46</v>
      </c>
      <c r="K32" s="282"/>
      <c r="L32" s="282"/>
      <c r="M32" s="282"/>
      <c r="N32" s="282"/>
      <c r="O32" s="282"/>
      <c r="P32" s="282"/>
      <c r="Q32" s="305"/>
      <c r="R32" s="483">
        <f ca="1">Elec_Est!R95</f>
        <v>0</v>
      </c>
      <c r="S32" s="282"/>
      <c r="T32" s="484">
        <f>Elec_Est!T95</f>
        <v>0</v>
      </c>
      <c r="V32"/>
      <c r="W32"/>
      <c r="X32"/>
    </row>
    <row r="33" spans="1:24">
      <c r="B33"/>
      <c r="C33" s="344" t="s">
        <v>205</v>
      </c>
      <c r="D33"/>
      <c r="E33" s="607"/>
      <c r="F33" s="720"/>
      <c r="G33" s="282"/>
      <c r="H33" s="282"/>
      <c r="I33" s="282"/>
      <c r="J33" s="282"/>
      <c r="K33" s="282"/>
      <c r="L33" s="282"/>
      <c r="M33" s="282"/>
      <c r="N33" s="282"/>
      <c r="O33" s="282"/>
      <c r="P33" s="282"/>
      <c r="R33" s="344"/>
      <c r="S33" s="282"/>
      <c r="T33" s="343"/>
      <c r="V33"/>
      <c r="W33"/>
      <c r="X33"/>
    </row>
    <row r="34" spans="1:24" ht="13.8" thickBot="1">
      <c r="B34" s="34"/>
      <c r="C34"/>
      <c r="E34" s="610"/>
      <c r="F34" s="610"/>
      <c r="R34" s="290"/>
      <c r="S34" s="290"/>
      <c r="T34" s="290"/>
      <c r="V34"/>
      <c r="W34"/>
      <c r="X34"/>
    </row>
    <row r="35" spans="1:24">
      <c r="A35" s="451" t="s">
        <v>210</v>
      </c>
      <c r="B35" s="455">
        <f>'MUR MEP BOQ'!H255</f>
        <v>349.58000000000004</v>
      </c>
      <c r="E35" s="719">
        <f>SUM(E23:E32)</f>
        <v>349.58000000000004</v>
      </c>
      <c r="F35" s="719">
        <f>SUM(F23:F32)</f>
        <v>349.58000000000004</v>
      </c>
      <c r="G35" s="283"/>
      <c r="H35" s="283"/>
      <c r="I35" s="283"/>
      <c r="J35" s="283"/>
      <c r="K35" s="283"/>
      <c r="L35" s="283"/>
      <c r="M35" s="283"/>
      <c r="N35" s="283"/>
      <c r="O35" s="283"/>
      <c r="P35" s="283"/>
      <c r="Q35" s="284"/>
      <c r="R35" s="288">
        <f ca="1">SUM(R23:R32)</f>
        <v>190.92000000000002</v>
      </c>
      <c r="S35" s="285"/>
      <c r="T35" s="288">
        <f>SUM(T23:T32)</f>
        <v>2.84</v>
      </c>
      <c r="V35"/>
      <c r="W35"/>
      <c r="X35"/>
    </row>
    <row r="36" spans="1:24" ht="14.4" thickBot="1">
      <c r="A36" s="452" t="str">
        <f xml:space="preserve"> IF(A39=0,"0.00",A39-(A38*A37))</f>
        <v>0.00</v>
      </c>
      <c r="B36" s="454" t="s">
        <v>240</v>
      </c>
      <c r="E36" s="538" t="str">
        <f>"ESTIM TOTAL (" &amp; $Q$1 &amp; ")"</f>
        <v>ESTIM TOTAL (€)</v>
      </c>
      <c r="G36" s="283"/>
      <c r="H36" s="283"/>
      <c r="I36" s="283"/>
      <c r="J36" s="283"/>
      <c r="K36" s="283"/>
      <c r="L36" s="283"/>
      <c r="M36" s="283"/>
      <c r="N36" s="283"/>
      <c r="O36" s="283"/>
      <c r="P36" s="283"/>
      <c r="Q36" s="284"/>
      <c r="V36"/>
      <c r="W36"/>
      <c r="X36"/>
    </row>
    <row r="37" spans="1:24" ht="13.8">
      <c r="A37" s="376">
        <v>1.125</v>
      </c>
      <c r="B37" s="453" t="s">
        <v>231</v>
      </c>
      <c r="C37" s="265"/>
      <c r="D37"/>
      <c r="E37" s="380"/>
      <c r="G37"/>
      <c r="H37"/>
      <c r="I37"/>
      <c r="J37"/>
      <c r="K37"/>
      <c r="L37"/>
      <c r="M37"/>
      <c r="N37"/>
      <c r="O37"/>
      <c r="P37"/>
      <c r="Q37"/>
      <c r="R37" s="435">
        <f>R165</f>
        <v>190.92</v>
      </c>
      <c r="S37" s="436" t="s">
        <v>201</v>
      </c>
      <c r="T37" s="434">
        <f>T165</f>
        <v>2.84</v>
      </c>
      <c r="V37"/>
      <c r="W37"/>
      <c r="X37"/>
    </row>
    <row r="38" spans="1:24">
      <c r="A38" s="378"/>
      <c r="B38" s="377" t="s">
        <v>229</v>
      </c>
      <c r="C38"/>
      <c r="D38"/>
      <c r="G38"/>
      <c r="H38"/>
      <c r="I38"/>
      <c r="J38"/>
      <c r="K38"/>
      <c r="L38"/>
      <c r="M38"/>
      <c r="N38"/>
      <c r="O38"/>
      <c r="P38"/>
      <c r="Q38"/>
      <c r="R38"/>
      <c r="S38"/>
      <c r="T38"/>
    </row>
    <row r="39" spans="1:24">
      <c r="A39" s="379"/>
      <c r="B39" s="377" t="s">
        <v>230</v>
      </c>
      <c r="C39"/>
      <c r="D39"/>
      <c r="E39"/>
      <c r="F39"/>
      <c r="G39" s="264"/>
      <c r="H39" s="264"/>
      <c r="I39" s="264"/>
      <c r="J39" s="264"/>
      <c r="K39" s="264"/>
      <c r="L39" s="264"/>
      <c r="M39" s="264"/>
      <c r="N39" s="264"/>
      <c r="O39" s="264"/>
      <c r="P39" s="264"/>
      <c r="Q39" s="375" t="s">
        <v>211</v>
      </c>
      <c r="R39" s="437">
        <f ca="1">R37-R35</f>
        <v>0</v>
      </c>
      <c r="S39" s="465" t="s">
        <v>242</v>
      </c>
      <c r="T39" s="438">
        <f>T37-T35</f>
        <v>0</v>
      </c>
    </row>
    <row r="40" spans="1:24" ht="14.25" customHeight="1">
      <c r="S40" s="475"/>
    </row>
    <row r="41" spans="1:24">
      <c r="B41" s="439" t="s">
        <v>232</v>
      </c>
      <c r="C41" s="440"/>
      <c r="D41" s="428">
        <v>45971</v>
      </c>
      <c r="E41" s="441"/>
      <c r="F41" s="441"/>
      <c r="G41" s="442"/>
      <c r="H41" s="442"/>
      <c r="I41" s="442"/>
      <c r="J41" s="442"/>
      <c r="K41" s="442"/>
      <c r="L41" s="442"/>
      <c r="M41" s="442"/>
      <c r="N41" s="442"/>
      <c r="O41" s="442"/>
      <c r="P41" s="442"/>
      <c r="Q41" s="443"/>
      <c r="R41" s="441">
        <v>190.92000000000002</v>
      </c>
      <c r="S41" s="443"/>
      <c r="T41" s="441">
        <v>2.84</v>
      </c>
    </row>
    <row r="42" spans="1:24" ht="13.8">
      <c r="B42" s="427"/>
      <c r="C42"/>
      <c r="D42" s="429"/>
      <c r="E42" s="345"/>
      <c r="F42" s="345"/>
      <c r="G42" s="345"/>
      <c r="H42" s="345"/>
      <c r="I42" s="345"/>
      <c r="J42" s="345"/>
      <c r="K42" s="345"/>
      <c r="L42" s="345"/>
      <c r="M42" s="345"/>
      <c r="N42" s="345"/>
      <c r="O42" s="345"/>
      <c r="P42" s="345"/>
      <c r="Q42" s="345"/>
      <c r="R42" s="345"/>
      <c r="S42" s="345"/>
      <c r="T42" s="345"/>
    </row>
    <row r="43" spans="1:24" ht="13.8">
      <c r="B43" s="427"/>
      <c r="C43"/>
      <c r="D43" s="430" t="s">
        <v>7</v>
      </c>
      <c r="E43" s="345"/>
      <c r="F43" s="345"/>
      <c r="G43" s="345"/>
      <c r="H43" s="345"/>
      <c r="I43" s="345"/>
      <c r="J43" s="345"/>
      <c r="K43" s="345"/>
      <c r="L43" s="345"/>
      <c r="M43" s="345"/>
      <c r="N43" s="345"/>
      <c r="O43" s="345"/>
      <c r="P43" s="345"/>
      <c r="Q43" s="345"/>
      <c r="R43" s="345"/>
      <c r="S43" s="345"/>
      <c r="T43" s="345"/>
    </row>
    <row r="44" spans="1:24">
      <c r="B44" s="266"/>
      <c r="C44" s="267"/>
      <c r="D44" s="267"/>
    </row>
    <row r="45" spans="1:24" s="158" customFormat="1" ht="14.25" customHeight="1">
      <c r="A45" s="154"/>
      <c r="B45" s="155"/>
      <c r="C45" s="152"/>
      <c r="D45" s="152"/>
    </row>
    <row r="46" spans="1:24" s="158" customFormat="1" ht="13.8">
      <c r="A46" s="373" t="s">
        <v>35</v>
      </c>
      <c r="C46" s="34"/>
      <c r="D46" s="34"/>
    </row>
    <row r="47" spans="1:24" s="158" customFormat="1" ht="14.25" customHeight="1">
      <c r="A47" s="749" t="s">
        <v>216</v>
      </c>
      <c r="B47" s="749"/>
      <c r="C47" s="749"/>
      <c r="D47" s="749"/>
      <c r="E47" s="749"/>
      <c r="F47" s="749"/>
      <c r="G47" s="749"/>
      <c r="H47" s="749"/>
      <c r="I47" s="749"/>
      <c r="J47" s="749"/>
      <c r="K47" s="749"/>
      <c r="L47" s="749"/>
      <c r="M47" s="749"/>
      <c r="N47" s="749"/>
      <c r="O47" s="749"/>
      <c r="P47" s="749"/>
      <c r="Q47" s="749"/>
      <c r="R47" s="749"/>
      <c r="S47" s="749"/>
    </row>
    <row r="48" spans="1:24" s="158" customFormat="1" ht="14.25" customHeight="1">
      <c r="A48" s="749"/>
      <c r="B48" s="749"/>
      <c r="C48" s="749"/>
      <c r="D48" s="749"/>
      <c r="E48" s="749"/>
      <c r="F48" s="749"/>
      <c r="G48" s="749"/>
      <c r="H48" s="749"/>
      <c r="I48" s="749"/>
      <c r="J48" s="749"/>
      <c r="K48" s="749"/>
      <c r="L48" s="749"/>
      <c r="M48" s="749"/>
      <c r="N48" s="749"/>
      <c r="O48" s="749"/>
      <c r="P48" s="749"/>
      <c r="Q48" s="749"/>
      <c r="R48" s="749"/>
      <c r="S48" s="749"/>
      <c r="T48" s="34"/>
    </row>
    <row r="49" spans="1:20" s="158" customFormat="1" ht="13.8">
      <c r="A49" s="34"/>
      <c r="B49" s="145"/>
      <c r="C49" s="34"/>
      <c r="D49" s="34"/>
      <c r="E49" s="34"/>
      <c r="F49" s="34"/>
      <c r="G49" s="34"/>
      <c r="H49" s="34"/>
      <c r="I49" s="34"/>
      <c r="J49" s="34"/>
      <c r="K49" s="34"/>
      <c r="L49" s="34"/>
      <c r="M49" s="34"/>
      <c r="N49" s="34"/>
      <c r="O49" s="34"/>
      <c r="P49" s="34"/>
      <c r="Q49" s="34"/>
      <c r="R49" s="34"/>
      <c r="S49" s="34"/>
      <c r="T49" s="34"/>
    </row>
    <row r="50" spans="1:20" s="158" customFormat="1" ht="13.5" customHeight="1">
      <c r="A50" s="141"/>
      <c r="B50" s="152"/>
      <c r="C50" s="141"/>
      <c r="D50" s="141"/>
      <c r="E50" s="141"/>
      <c r="F50" s="141"/>
      <c r="G50" s="141"/>
      <c r="H50" s="141"/>
      <c r="I50" s="141"/>
      <c r="J50" s="141"/>
      <c r="K50" s="141"/>
      <c r="L50" s="141"/>
      <c r="M50" s="141"/>
      <c r="N50" s="141"/>
      <c r="O50" s="141"/>
      <c r="P50" s="141"/>
      <c r="Q50" s="141"/>
      <c r="R50" s="141"/>
      <c r="S50" s="141"/>
      <c r="T50" s="141"/>
    </row>
    <row r="51" spans="1:20" s="158" customFormat="1" ht="13.5" customHeight="1" thickBot="1">
      <c r="A51" s="159" t="s">
        <v>36</v>
      </c>
      <c r="B51" s="160"/>
      <c r="C51" s="161"/>
      <c r="D51" s="161" t="str">
        <f>D8</f>
        <v>R.Farrugia</v>
      </c>
      <c r="E51" s="141"/>
      <c r="F51" s="162"/>
      <c r="G51" s="163"/>
      <c r="H51" s="163"/>
      <c r="I51" s="163"/>
      <c r="J51" s="163"/>
      <c r="K51" s="163"/>
      <c r="L51" s="163"/>
      <c r="M51" s="141"/>
      <c r="N51" s="141"/>
      <c r="O51" s="141"/>
      <c r="P51" s="141"/>
      <c r="Q51" s="159" t="s">
        <v>37</v>
      </c>
      <c r="R51" s="161"/>
      <c r="S51" s="161"/>
      <c r="T51" s="161"/>
    </row>
    <row r="52" spans="1:20" s="158" customFormat="1" ht="13.5" customHeight="1" thickTop="1">
      <c r="A52" s="164"/>
      <c r="B52" s="152"/>
      <c r="C52" s="141"/>
      <c r="D52" s="141"/>
      <c r="E52" s="141"/>
      <c r="F52" s="141"/>
      <c r="G52" s="141"/>
      <c r="H52" s="141"/>
      <c r="I52" s="141"/>
      <c r="J52" s="141"/>
      <c r="K52" s="141"/>
      <c r="L52" s="141"/>
      <c r="M52" s="141"/>
      <c r="N52" s="141"/>
      <c r="O52" s="141"/>
      <c r="P52" s="141"/>
      <c r="Q52" s="164"/>
      <c r="R52" s="141"/>
      <c r="S52" s="141"/>
      <c r="T52" s="141"/>
    </row>
    <row r="53" spans="1:20" s="158" customFormat="1" ht="13.5" customHeight="1" thickBot="1">
      <c r="A53" s="165" t="s">
        <v>38</v>
      </c>
      <c r="B53" s="161"/>
      <c r="C53" s="161"/>
      <c r="D53" s="161"/>
      <c r="E53" s="141"/>
      <c r="F53" s="162"/>
      <c r="G53" s="163"/>
      <c r="H53" s="163"/>
      <c r="I53" s="163"/>
      <c r="J53" s="163"/>
      <c r="K53" s="163"/>
      <c r="L53" s="163"/>
      <c r="M53" s="141"/>
      <c r="N53" s="141"/>
      <c r="O53" s="141"/>
      <c r="P53" s="141"/>
      <c r="Q53" s="164" t="s">
        <v>39</v>
      </c>
      <c r="R53" s="141"/>
      <c r="S53" s="161"/>
      <c r="T53" s="161"/>
    </row>
    <row r="54" spans="1:20" s="158" customFormat="1" ht="13.5" customHeight="1" thickTop="1">
      <c r="A54" s="165"/>
      <c r="B54" s="152"/>
      <c r="C54" s="141"/>
      <c r="D54" s="141"/>
      <c r="E54" s="141"/>
      <c r="F54" s="162"/>
      <c r="G54" s="141"/>
      <c r="H54" s="141"/>
      <c r="I54" s="141"/>
      <c r="J54" s="141"/>
      <c r="K54" s="141"/>
      <c r="L54" s="141"/>
      <c r="M54" s="141"/>
      <c r="N54" s="141"/>
      <c r="O54" s="141"/>
      <c r="P54" s="141"/>
      <c r="Q54" s="164"/>
      <c r="R54" s="141"/>
      <c r="S54" s="141"/>
      <c r="T54" s="141"/>
    </row>
    <row r="55" spans="1:20" s="158" customFormat="1" ht="13.5" customHeight="1">
      <c r="A55" s="748" t="s">
        <v>188</v>
      </c>
      <c r="B55" s="748"/>
      <c r="C55" s="11"/>
      <c r="D55" s="362" t="str">
        <f ca="1" xml:space="preserve"> CELL("filename")</f>
        <v>K:\est\Sunny Coast Hotel\Estimates\[ELM25_0699_Mock_Up_Room_Elec_for_Mech.xlsx]ML_Sum</v>
      </c>
      <c r="E55" s="267"/>
      <c r="F55" s="363"/>
      <c r="G55" s="267"/>
      <c r="H55" s="267"/>
      <c r="I55" s="267"/>
      <c r="J55" s="267"/>
      <c r="K55" s="267"/>
      <c r="L55" s="267"/>
      <c r="M55" s="267"/>
      <c r="N55" s="267"/>
      <c r="O55" s="267"/>
      <c r="P55" s="267"/>
      <c r="Q55" s="364"/>
      <c r="R55" s="141"/>
      <c r="S55" s="141"/>
      <c r="T55" s="141"/>
    </row>
    <row r="56" spans="1:20" s="158" customFormat="1" ht="12.75" customHeight="1">
      <c r="A56" s="278"/>
      <c r="B56" s="278"/>
      <c r="C56" s="11"/>
      <c r="D56" s="12"/>
      <c r="E56" s="141"/>
      <c r="F56" s="162"/>
      <c r="G56" s="141"/>
      <c r="H56" s="141"/>
      <c r="I56" s="141"/>
      <c r="J56" s="141"/>
      <c r="K56" s="141"/>
      <c r="L56" s="141"/>
      <c r="M56" s="141"/>
      <c r="N56" s="141"/>
      <c r="O56" s="141"/>
      <c r="P56" s="141"/>
      <c r="Q56" s="164"/>
      <c r="R56" s="141"/>
      <c r="S56" s="141"/>
      <c r="T56" s="141"/>
    </row>
    <row r="57" spans="1:20" ht="21" customHeight="1">
      <c r="B57" s="741" t="s">
        <v>40</v>
      </c>
      <c r="C57" s="742"/>
      <c r="D57" s="742"/>
      <c r="E57" s="742"/>
      <c r="F57" s="742"/>
      <c r="G57" s="742"/>
      <c r="H57" s="742"/>
      <c r="I57" s="742"/>
      <c r="J57" s="742"/>
      <c r="K57" s="742"/>
      <c r="L57" s="742"/>
      <c r="M57" s="742"/>
      <c r="N57" s="742"/>
      <c r="O57" s="742"/>
      <c r="P57" s="742"/>
      <c r="Q57" s="742"/>
      <c r="R57" s="742"/>
      <c r="S57" s="742"/>
      <c r="T57" s="743"/>
    </row>
    <row r="58" spans="1:20" ht="18" customHeight="1">
      <c r="B58" s="744" t="s">
        <v>41</v>
      </c>
      <c r="C58" s="745"/>
      <c r="D58" s="745"/>
      <c r="E58" s="745"/>
      <c r="F58" s="745"/>
      <c r="G58" s="745"/>
      <c r="H58" s="745"/>
      <c r="I58" s="745"/>
      <c r="J58" s="745"/>
      <c r="K58" s="745"/>
      <c r="L58" s="745"/>
      <c r="M58" s="745"/>
      <c r="N58" s="745"/>
      <c r="O58" s="745"/>
      <c r="P58" s="745"/>
      <c r="Q58" s="745"/>
      <c r="R58" s="745"/>
      <c r="S58" s="746"/>
      <c r="T58" s="747"/>
    </row>
    <row r="59" spans="1:20">
      <c r="B59" s="166"/>
      <c r="S59" s="167" t="s">
        <v>42</v>
      </c>
      <c r="T59" s="153"/>
    </row>
    <row r="60" spans="1:20">
      <c r="B60" s="166"/>
      <c r="D60" s="168" t="s">
        <v>43</v>
      </c>
      <c r="E60" s="268" t="str">
        <f>D1</f>
        <v>SUNCREST HOTELS plc</v>
      </c>
      <c r="F60" s="269"/>
      <c r="G60" s="135"/>
      <c r="H60" s="135"/>
      <c r="I60" s="135"/>
      <c r="J60" s="135"/>
      <c r="K60" s="135"/>
      <c r="L60" s="135"/>
      <c r="M60" s="135"/>
      <c r="N60" s="135"/>
      <c r="O60" s="135"/>
      <c r="P60" s="135"/>
      <c r="Q60" s="270"/>
      <c r="R60" s="135"/>
      <c r="S60" s="167" t="s">
        <v>454</v>
      </c>
      <c r="T60" s="153"/>
    </row>
    <row r="61" spans="1:20">
      <c r="B61" s="166"/>
      <c r="D61" s="169" t="s">
        <v>44</v>
      </c>
      <c r="E61" s="268" t="str">
        <f>D2</f>
        <v>Sunny Cost and Lido Redevelopment</v>
      </c>
      <c r="F61" s="269"/>
      <c r="G61" s="135"/>
      <c r="H61" s="135"/>
      <c r="I61" s="135"/>
      <c r="J61" s="135"/>
      <c r="K61" s="135"/>
      <c r="L61" s="135"/>
      <c r="M61" s="135"/>
      <c r="N61" s="135"/>
      <c r="O61" s="135"/>
      <c r="P61" s="135"/>
      <c r="Q61" s="270"/>
      <c r="R61" s="135"/>
      <c r="S61" s="167" t="s">
        <v>265</v>
      </c>
      <c r="T61" s="153"/>
    </row>
    <row r="62" spans="1:20">
      <c r="B62" s="166"/>
      <c r="D62" s="168" t="s">
        <v>45</v>
      </c>
      <c r="E62" s="268" t="str">
        <f>D3</f>
        <v>Sample Room - Electrical for Mechanical</v>
      </c>
      <c r="F62" s="269"/>
      <c r="G62" s="135"/>
      <c r="H62" s="135"/>
      <c r="I62" s="135"/>
      <c r="J62" s="135"/>
      <c r="K62" s="135"/>
      <c r="L62" s="135"/>
      <c r="M62" s="135"/>
      <c r="N62" s="135"/>
      <c r="O62" s="135"/>
      <c r="P62" s="135"/>
      <c r="Q62" s="270"/>
      <c r="R62" s="135"/>
      <c r="S62" s="167" t="s">
        <v>270</v>
      </c>
      <c r="T62" s="153"/>
    </row>
    <row r="63" spans="1:20">
      <c r="B63" s="166"/>
      <c r="D63" s="170" t="s">
        <v>48</v>
      </c>
      <c r="E63" s="268" t="str">
        <f>D4</f>
        <v>ELM25-0699</v>
      </c>
      <c r="F63" s="269"/>
      <c r="G63" s="135"/>
      <c r="H63" s="135"/>
      <c r="I63" s="135"/>
      <c r="J63" s="135"/>
      <c r="K63" s="135"/>
      <c r="L63" s="135"/>
      <c r="M63" s="135"/>
      <c r="N63" s="135"/>
      <c r="O63" s="135"/>
      <c r="P63" s="135"/>
      <c r="Q63" s="270"/>
      <c r="R63" s="135"/>
      <c r="S63" s="167"/>
      <c r="T63" s="153"/>
    </row>
    <row r="64" spans="1:20">
      <c r="B64" s="166"/>
      <c r="D64" s="170" t="s">
        <v>49</v>
      </c>
      <c r="E64" s="268" t="str">
        <f>D5</f>
        <v>Sample Room</v>
      </c>
      <c r="F64" s="269"/>
      <c r="G64" s="135"/>
      <c r="H64" s="135"/>
      <c r="I64" s="135"/>
      <c r="J64" s="135"/>
      <c r="K64" s="135"/>
      <c r="L64" s="135"/>
      <c r="M64" s="135"/>
      <c r="N64" s="135"/>
      <c r="O64" s="135"/>
      <c r="P64" s="135"/>
      <c r="Q64" s="270"/>
      <c r="R64" s="135"/>
      <c r="S64" s="167"/>
      <c r="T64" s="153"/>
    </row>
    <row r="65" spans="2:20">
      <c r="B65" s="166"/>
      <c r="S65" s="167" t="s">
        <v>47</v>
      </c>
      <c r="T65" s="153"/>
    </row>
    <row r="66" spans="2:20">
      <c r="B66" s="166"/>
      <c r="D66" s="170" t="s">
        <v>46</v>
      </c>
      <c r="E66" s="171"/>
      <c r="F66" s="171"/>
      <c r="G66" s="172"/>
      <c r="H66" s="172"/>
      <c r="I66" s="172"/>
      <c r="J66" s="172"/>
      <c r="K66" s="172"/>
      <c r="L66" s="172"/>
      <c r="M66" s="172"/>
      <c r="N66" s="172"/>
      <c r="O66" s="172"/>
      <c r="P66" s="172"/>
      <c r="S66" s="173"/>
      <c r="T66" s="174"/>
    </row>
    <row r="67" spans="2:20">
      <c r="B67" s="166"/>
      <c r="D67" s="170" t="s">
        <v>246</v>
      </c>
      <c r="E67" s="171"/>
      <c r="F67" s="171"/>
      <c r="G67" s="172"/>
      <c r="H67" s="172"/>
      <c r="I67" s="172"/>
      <c r="J67" s="172"/>
      <c r="K67" s="172"/>
      <c r="L67" s="172"/>
      <c r="M67" s="172"/>
      <c r="N67" s="172"/>
      <c r="O67" s="172"/>
      <c r="P67" s="172"/>
      <c r="S67" s="173"/>
      <c r="T67" s="174"/>
    </row>
    <row r="68" spans="2:20">
      <c r="B68" s="175"/>
      <c r="C68" s="103"/>
      <c r="D68" s="103"/>
      <c r="E68" s="103"/>
      <c r="F68" s="103"/>
      <c r="G68" s="103"/>
      <c r="H68" s="103"/>
      <c r="I68" s="103"/>
      <c r="J68" s="103"/>
      <c r="K68" s="103"/>
      <c r="L68" s="103"/>
      <c r="M68" s="103"/>
      <c r="N68" s="103"/>
      <c r="O68" s="103"/>
      <c r="P68" s="103"/>
      <c r="Q68" s="103"/>
      <c r="R68" s="103"/>
      <c r="S68" s="103"/>
      <c r="T68" s="176"/>
    </row>
    <row r="69" spans="2:20" ht="14.25" customHeight="1">
      <c r="B69" s="166"/>
      <c r="T69" s="174"/>
    </row>
    <row r="70" spans="2:20" ht="15.6">
      <c r="B70" s="166"/>
      <c r="E70" s="177" t="s">
        <v>195</v>
      </c>
      <c r="F70" s="151"/>
      <c r="G70" s="151"/>
      <c r="H70" s="151"/>
      <c r="I70" s="151"/>
      <c r="J70" s="151"/>
      <c r="K70" s="151"/>
      <c r="L70" s="151"/>
      <c r="M70" s="151"/>
      <c r="N70" s="151"/>
      <c r="O70" s="151"/>
      <c r="P70" s="151"/>
      <c r="Q70" s="151"/>
      <c r="R70" s="151"/>
      <c r="S70" s="113"/>
      <c r="T70" s="174"/>
    </row>
    <row r="71" spans="2:20">
      <c r="B71" s="166"/>
      <c r="E71" s="179"/>
      <c r="F71" s="151"/>
      <c r="G71" s="151"/>
      <c r="H71" s="151"/>
      <c r="I71" s="151"/>
      <c r="J71" s="151"/>
      <c r="K71" s="151"/>
      <c r="L71" s="151"/>
      <c r="M71" s="151"/>
      <c r="N71" s="151"/>
      <c r="O71" s="151"/>
      <c r="P71" s="151"/>
      <c r="Q71" s="151"/>
      <c r="R71" s="151"/>
      <c r="S71" s="113"/>
      <c r="T71" s="174"/>
    </row>
    <row r="72" spans="2:20">
      <c r="B72" s="297"/>
      <c r="C72" s="342">
        <f>IF($A$33="MIXED",F23/(1-Q2)+F24/(1-Q3)+F25/(1-Q4)+F26/(1-Q5)+F27/(1-Q6)+F28/(1-Q7)+F29/(1-Q8)+F30/(1-Q9)+F31/(1-Q10)+F32/(1-Q11)-SUM(A23:A32),   F23/(1-Q2)+F24/(1-Q3)+F25/(1-Q4)+F26/(1-Q5)+F27/(1-Q6)+F28/(1-Q7)+F29/(1-Q8)+F30/(1-Q9)+F31/(1-Q10)+F32/(1-Q11))</f>
        <v>349.58000000000004</v>
      </c>
      <c r="E72" s="148" t="s">
        <v>237</v>
      </c>
      <c r="F72" s="405">
        <f>IF(D6="VAT INCLUDED",C72/($C$1*1.18),C72/$C$1)</f>
        <v>349.58000000000004</v>
      </c>
      <c r="G72" s="151"/>
      <c r="H72" s="151"/>
      <c r="I72" s="151"/>
      <c r="J72" s="151"/>
      <c r="K72" s="151"/>
      <c r="L72" s="151"/>
      <c r="M72" s="151"/>
      <c r="N72" s="151"/>
      <c r="O72" s="151"/>
      <c r="P72" s="151"/>
      <c r="Q72" s="151"/>
      <c r="R72" s="151"/>
      <c r="S72" s="113"/>
      <c r="T72" s="174"/>
    </row>
    <row r="73" spans="2:20">
      <c r="B73" s="166"/>
      <c r="F73" s="411"/>
      <c r="G73" s="151"/>
      <c r="H73" s="151"/>
      <c r="I73" s="151"/>
      <c r="J73" s="151"/>
      <c r="K73" s="151"/>
      <c r="L73" s="151"/>
      <c r="M73" s="151"/>
      <c r="N73" s="151"/>
      <c r="O73" s="151"/>
      <c r="P73" s="151"/>
      <c r="Q73" s="151"/>
      <c r="R73" s="151"/>
      <c r="S73" s="113"/>
      <c r="T73" s="174"/>
    </row>
    <row r="74" spans="2:20" ht="15" customHeight="1">
      <c r="B74" s="297"/>
      <c r="E74" s="414" t="s">
        <v>238</v>
      </c>
      <c r="F74" s="412">
        <f>(F72-F75)/F72</f>
        <v>0</v>
      </c>
      <c r="G74" s="180"/>
      <c r="H74" s="180"/>
      <c r="I74" s="180"/>
      <c r="J74" s="180"/>
      <c r="K74" s="180"/>
      <c r="L74" s="180"/>
      <c r="M74" s="180"/>
      <c r="N74" s="180"/>
      <c r="O74" s="180"/>
      <c r="P74" s="180"/>
      <c r="Q74" s="181"/>
      <c r="T74" s="174"/>
    </row>
    <row r="75" spans="2:20">
      <c r="B75" s="298"/>
      <c r="E75" s="169" t="s">
        <v>236</v>
      </c>
      <c r="F75" s="413">
        <f>IF(D6="VAT INCLUDED",E35/($C$1*1.18),E35/$C$1)</f>
        <v>349.58000000000004</v>
      </c>
      <c r="T75" s="174"/>
    </row>
    <row r="76" spans="2:20" ht="14.25" customHeight="1">
      <c r="B76" s="166"/>
      <c r="E76" s="148"/>
      <c r="F76" s="271"/>
      <c r="R76" s="148"/>
      <c r="T76" s="174"/>
    </row>
    <row r="77" spans="2:20" ht="15.6">
      <c r="B77" s="182"/>
      <c r="C77" s="183"/>
      <c r="E77" s="184" t="s">
        <v>190</v>
      </c>
      <c r="F77" s="445">
        <f>$D$9</f>
        <v>27.46</v>
      </c>
      <c r="G77" s="185"/>
      <c r="H77" s="186"/>
      <c r="I77" s="187"/>
      <c r="J77" s="188"/>
      <c r="K77" s="188"/>
      <c r="L77" s="188"/>
      <c r="M77" s="188"/>
      <c r="N77" s="188"/>
      <c r="O77" s="188"/>
      <c r="P77" s="188"/>
      <c r="Q77" s="189"/>
      <c r="R77" s="148" t="s">
        <v>171</v>
      </c>
      <c r="S77" s="178"/>
      <c r="T77" s="174"/>
    </row>
    <row r="78" spans="2:20" ht="15.6">
      <c r="B78" s="182"/>
      <c r="C78" s="183"/>
      <c r="E78" s="190"/>
      <c r="F78" s="191"/>
      <c r="G78" s="192"/>
      <c r="H78" s="193"/>
      <c r="I78" s="194"/>
      <c r="J78" s="189"/>
      <c r="K78" s="189"/>
      <c r="L78" s="189"/>
      <c r="M78" s="189"/>
      <c r="N78" s="189"/>
      <c r="O78" s="189"/>
      <c r="P78" s="189"/>
      <c r="Q78" s="189"/>
      <c r="T78" s="174"/>
    </row>
    <row r="79" spans="2:20" ht="15.6">
      <c r="B79" s="182"/>
      <c r="C79" s="183"/>
      <c r="E79" s="190"/>
      <c r="F79" s="191"/>
      <c r="G79" s="192"/>
      <c r="H79" s="193"/>
      <c r="I79" s="194"/>
      <c r="J79" s="189"/>
      <c r="K79" s="189"/>
      <c r="L79" s="189"/>
      <c r="M79" s="189"/>
      <c r="N79" s="189"/>
      <c r="O79" s="189"/>
      <c r="P79" s="189"/>
      <c r="Q79" s="189"/>
      <c r="T79" s="174"/>
    </row>
    <row r="80" spans="2:20" ht="15">
      <c r="B80" s="182"/>
      <c r="C80" s="183"/>
      <c r="D80" s="195" t="s">
        <v>50</v>
      </c>
      <c r="E80" s="196" t="s">
        <v>67</v>
      </c>
      <c r="F80" s="197" t="s">
        <v>51</v>
      </c>
      <c r="G80" s="198"/>
      <c r="H80" s="198"/>
      <c r="I80" s="198"/>
      <c r="J80" s="198"/>
      <c r="K80" s="198"/>
      <c r="L80" s="198"/>
      <c r="M80" s="198"/>
      <c r="N80" s="198"/>
      <c r="O80" s="198"/>
      <c r="P80" s="198"/>
      <c r="Q80" s="198"/>
      <c r="R80" s="196" t="s">
        <v>228</v>
      </c>
      <c r="S80" s="199"/>
      <c r="T80" s="174"/>
    </row>
    <row r="81" spans="2:20" ht="13.8">
      <c r="B81" s="166"/>
      <c r="D81" s="200" t="s">
        <v>233</v>
      </c>
      <c r="E81" s="123" t="s">
        <v>235</v>
      </c>
      <c r="F81" s="201" t="s">
        <v>233</v>
      </c>
      <c r="R81" s="280"/>
      <c r="S81" s="174"/>
      <c r="T81" s="202"/>
    </row>
    <row r="82" spans="2:20">
      <c r="B82" s="166"/>
      <c r="D82" s="203"/>
      <c r="S82" s="204"/>
      <c r="T82" s="174"/>
    </row>
    <row r="83" spans="2:20">
      <c r="B83" s="166"/>
      <c r="D83" s="406">
        <f>R165</f>
        <v>190.92</v>
      </c>
      <c r="E83" s="407">
        <f>T165</f>
        <v>2.84</v>
      </c>
      <c r="F83" s="408">
        <f>R165+S165</f>
        <v>268.90639999999996</v>
      </c>
      <c r="G83" s="409"/>
      <c r="H83" s="409"/>
      <c r="I83" s="409"/>
      <c r="J83" s="409"/>
      <c r="K83" s="409"/>
      <c r="L83" s="409"/>
      <c r="M83" s="409"/>
      <c r="N83" s="409"/>
      <c r="O83" s="409"/>
      <c r="P83" s="409"/>
      <c r="Q83" s="409"/>
      <c r="R83" s="410">
        <f>IF(F83=0,0,F75/F83)</f>
        <v>1.3000062475270209</v>
      </c>
      <c r="S83" s="204"/>
      <c r="T83" s="174"/>
    </row>
    <row r="84" spans="2:20">
      <c r="B84" s="166"/>
      <c r="D84" s="739" t="s">
        <v>172</v>
      </c>
      <c r="E84" s="740"/>
      <c r="S84" s="174"/>
      <c r="T84" s="204"/>
    </row>
    <row r="85" spans="2:20" ht="15">
      <c r="B85" s="166"/>
      <c r="D85" s="205"/>
      <c r="E85" s="103"/>
      <c r="F85" s="103"/>
      <c r="G85" s="103"/>
      <c r="H85" s="206"/>
      <c r="I85" s="207"/>
      <c r="J85" s="103"/>
      <c r="K85" s="103"/>
      <c r="L85" s="103"/>
      <c r="M85" s="103"/>
      <c r="N85" s="103"/>
      <c r="O85" s="103"/>
      <c r="P85" s="103"/>
      <c r="Q85" s="103"/>
      <c r="R85" s="103"/>
      <c r="S85" s="176"/>
      <c r="T85" s="174"/>
    </row>
    <row r="86" spans="2:20" ht="15">
      <c r="B86" s="166"/>
      <c r="H86" s="208"/>
      <c r="I86" s="183"/>
      <c r="T86" s="174"/>
    </row>
    <row r="87" spans="2:20" ht="15">
      <c r="B87" s="166"/>
      <c r="H87" s="208"/>
      <c r="I87" s="183"/>
      <c r="R87" s="148" t="s">
        <v>52</v>
      </c>
      <c r="S87" s="209"/>
      <c r="T87" s="174"/>
    </row>
    <row r="88" spans="2:20" ht="15">
      <c r="B88" s="166"/>
      <c r="H88" s="208"/>
      <c r="I88" s="183"/>
      <c r="R88" s="148" t="s">
        <v>53</v>
      </c>
      <c r="S88" s="209"/>
      <c r="T88" s="174"/>
    </row>
    <row r="89" spans="2:20" ht="15">
      <c r="B89" s="166"/>
      <c r="H89" s="208"/>
      <c r="I89" s="183"/>
      <c r="R89" s="148"/>
      <c r="S89" s="210"/>
      <c r="T89" s="174"/>
    </row>
    <row r="90" spans="2:20" ht="15">
      <c r="B90" s="166"/>
      <c r="H90" s="208"/>
      <c r="I90" s="183"/>
      <c r="R90" s="148" t="s">
        <v>54</v>
      </c>
      <c r="S90" s="211"/>
      <c r="T90" s="174"/>
    </row>
    <row r="91" spans="2:20" ht="15">
      <c r="B91" s="166"/>
      <c r="I91" s="183"/>
      <c r="R91" s="148" t="s">
        <v>55</v>
      </c>
      <c r="S91" s="212"/>
      <c r="T91" s="174"/>
    </row>
    <row r="92" spans="2:20" ht="15">
      <c r="B92" s="166"/>
      <c r="I92" s="183"/>
      <c r="J92" s="213"/>
      <c r="K92" s="214"/>
      <c r="L92" s="214"/>
      <c r="M92" s="214"/>
      <c r="N92" s="214"/>
      <c r="O92" s="214"/>
      <c r="P92" s="214"/>
      <c r="Q92" s="214"/>
      <c r="R92" s="148" t="s">
        <v>56</v>
      </c>
      <c r="S92" s="212"/>
      <c r="T92" s="174"/>
    </row>
    <row r="93" spans="2:20" ht="15">
      <c r="B93" s="166"/>
      <c r="D93" s="34" t="s">
        <v>57</v>
      </c>
      <c r="G93" s="215"/>
      <c r="I93" s="183"/>
      <c r="J93" s="213"/>
      <c r="K93" s="214"/>
      <c r="L93" s="214"/>
      <c r="M93" s="214"/>
      <c r="N93" s="214"/>
      <c r="O93" s="214"/>
      <c r="P93" s="214"/>
      <c r="Q93" s="214"/>
      <c r="R93" s="148"/>
      <c r="T93" s="174"/>
    </row>
    <row r="94" spans="2:20" ht="15.6">
      <c r="B94" s="166"/>
      <c r="D94" s="216" t="s">
        <v>455</v>
      </c>
      <c r="G94" s="215"/>
      <c r="I94" s="183"/>
      <c r="J94" s="213"/>
      <c r="K94" s="214"/>
      <c r="L94" s="214"/>
      <c r="M94" s="214"/>
      <c r="N94" s="214"/>
      <c r="O94" s="214"/>
      <c r="P94" s="214"/>
      <c r="Q94" s="214"/>
      <c r="R94" s="148" t="s">
        <v>58</v>
      </c>
      <c r="S94" s="212"/>
      <c r="T94" s="174"/>
    </row>
    <row r="95" spans="2:20" ht="15">
      <c r="B95" s="166"/>
      <c r="D95" s="263">
        <f>D15</f>
        <v>0</v>
      </c>
      <c r="G95" s="215"/>
      <c r="I95" s="183"/>
      <c r="J95" s="213"/>
      <c r="K95" s="214"/>
      <c r="L95" s="214"/>
      <c r="M95" s="214"/>
      <c r="N95" s="214"/>
      <c r="O95" s="214"/>
      <c r="P95" s="214"/>
      <c r="Q95" s="214"/>
      <c r="R95" s="214"/>
      <c r="T95" s="174"/>
    </row>
    <row r="96" spans="2:20" s="221" customFormat="1" ht="15">
      <c r="B96" s="175"/>
      <c r="C96" s="103"/>
      <c r="D96" s="103"/>
      <c r="E96" s="103"/>
      <c r="F96" s="103"/>
      <c r="G96" s="103"/>
      <c r="H96" s="103"/>
      <c r="I96" s="207"/>
      <c r="J96" s="217"/>
      <c r="K96" s="218"/>
      <c r="L96" s="218"/>
      <c r="M96" s="218"/>
      <c r="N96" s="218"/>
      <c r="O96" s="218"/>
      <c r="P96" s="218"/>
      <c r="Q96" s="218"/>
      <c r="R96" s="218"/>
      <c r="S96" s="219"/>
      <c r="T96" s="220"/>
    </row>
    <row r="97" spans="1:20" s="221" customFormat="1" ht="12" customHeight="1">
      <c r="B97" s="145"/>
      <c r="C97" s="34"/>
      <c r="D97" s="34"/>
      <c r="E97" s="34"/>
      <c r="F97" s="34"/>
      <c r="G97" s="34"/>
      <c r="H97" s="183"/>
      <c r="I97" s="183"/>
      <c r="J97" s="213"/>
      <c r="K97" s="214"/>
      <c r="L97" s="214"/>
      <c r="M97" s="214"/>
      <c r="N97" s="214"/>
      <c r="O97" s="214"/>
      <c r="P97" s="214"/>
      <c r="Q97" s="214"/>
      <c r="R97" s="214"/>
      <c r="S97" s="158"/>
      <c r="T97" s="158"/>
    </row>
    <row r="98" spans="1:20" ht="21" customHeight="1">
      <c r="B98" s="222"/>
      <c r="C98" s="223"/>
      <c r="D98" s="223" t="s">
        <v>40</v>
      </c>
      <c r="E98" s="224"/>
      <c r="F98" s="224"/>
      <c r="G98" s="224"/>
      <c r="H98" s="225"/>
      <c r="I98" s="226"/>
      <c r="J98" s="227"/>
      <c r="K98" s="227"/>
      <c r="L98" s="227"/>
      <c r="M98" s="227"/>
      <c r="N98" s="227"/>
      <c r="O98" s="227"/>
      <c r="P98" s="227"/>
      <c r="Q98" s="227"/>
      <c r="R98" s="227"/>
      <c r="S98" s="228"/>
      <c r="T98" s="229"/>
    </row>
    <row r="99" spans="1:20" ht="15">
      <c r="B99" s="230"/>
      <c r="C99" s="231"/>
      <c r="D99" s="231" t="s">
        <v>59</v>
      </c>
      <c r="E99" s="232"/>
      <c r="F99" s="232"/>
      <c r="G99" s="232"/>
      <c r="H99" s="233"/>
      <c r="I99" s="206"/>
      <c r="J99" s="234"/>
      <c r="K99" s="234"/>
      <c r="L99" s="234"/>
      <c r="M99" s="234"/>
      <c r="N99" s="234"/>
      <c r="O99" s="234"/>
      <c r="P99" s="234"/>
      <c r="Q99" s="234"/>
      <c r="R99" s="234"/>
      <c r="S99" s="234"/>
      <c r="T99" s="235"/>
    </row>
    <row r="100" spans="1:20" ht="15">
      <c r="B100" s="236"/>
      <c r="C100" s="237"/>
      <c r="D100" s="238"/>
      <c r="E100" s="151"/>
      <c r="F100" s="151"/>
      <c r="G100" s="151"/>
      <c r="H100" s="215"/>
      <c r="I100" s="208"/>
      <c r="J100" s="239"/>
      <c r="K100" s="239"/>
      <c r="L100" s="239"/>
      <c r="M100" s="239"/>
      <c r="N100" s="239"/>
      <c r="O100" s="239"/>
      <c r="P100" s="239"/>
      <c r="Q100" s="239"/>
      <c r="R100" s="239"/>
      <c r="S100" s="239"/>
      <c r="T100" s="240"/>
    </row>
    <row r="101" spans="1:20" ht="15">
      <c r="B101" s="166"/>
      <c r="D101" s="241" t="s">
        <v>60</v>
      </c>
      <c r="E101" s="272" t="str">
        <f>E61</f>
        <v>Sunny Cost and Lido Redevelopment</v>
      </c>
      <c r="F101" s="270"/>
      <c r="G101" s="273"/>
      <c r="H101" s="274"/>
      <c r="I101" s="274"/>
      <c r="J101" s="270"/>
      <c r="K101" s="270"/>
      <c r="L101" s="270"/>
      <c r="M101" s="270"/>
      <c r="N101" s="270"/>
      <c r="O101" s="270"/>
      <c r="P101" s="270"/>
      <c r="Q101" s="270"/>
      <c r="R101" s="270"/>
      <c r="S101" s="135"/>
      <c r="T101" s="174"/>
    </row>
    <row r="102" spans="1:20" ht="15">
      <c r="B102" s="166"/>
      <c r="D102" s="241" t="s">
        <v>61</v>
      </c>
      <c r="E102" s="272" t="str">
        <f>E62</f>
        <v>Sample Room - Electrical for Mechanical</v>
      </c>
      <c r="F102" s="270"/>
      <c r="G102" s="273"/>
      <c r="H102" s="274"/>
      <c r="I102" s="274"/>
      <c r="J102" s="270"/>
      <c r="K102" s="270"/>
      <c r="L102" s="270"/>
      <c r="M102" s="270"/>
      <c r="N102" s="270"/>
      <c r="O102" s="270"/>
      <c r="P102" s="270"/>
      <c r="Q102" s="270"/>
      <c r="R102" s="270"/>
      <c r="S102" s="135"/>
      <c r="T102" s="174"/>
    </row>
    <row r="103" spans="1:20" ht="15">
      <c r="B103" s="242"/>
      <c r="C103" s="243"/>
      <c r="D103" s="170" t="s">
        <v>49</v>
      </c>
      <c r="E103" s="272" t="str">
        <f>E64</f>
        <v>Sample Room</v>
      </c>
      <c r="F103" s="135"/>
      <c r="G103" s="135"/>
      <c r="H103" s="274"/>
      <c r="I103" s="274"/>
      <c r="J103" s="135"/>
      <c r="K103" s="135"/>
      <c r="L103" s="135"/>
      <c r="M103" s="135"/>
      <c r="N103" s="135"/>
      <c r="O103" s="135"/>
      <c r="P103" s="135"/>
      <c r="Q103" s="135"/>
      <c r="R103" s="135"/>
      <c r="S103" s="135"/>
      <c r="T103" s="174"/>
    </row>
    <row r="104" spans="1:20" ht="15">
      <c r="B104" s="242"/>
      <c r="C104" s="243"/>
      <c r="D104" s="244"/>
      <c r="F104" s="245"/>
      <c r="G104" s="143"/>
      <c r="H104" s="183"/>
      <c r="I104" s="183"/>
      <c r="T104" s="246"/>
    </row>
    <row r="105" spans="1:20">
      <c r="B105" s="247"/>
      <c r="C105" s="198"/>
      <c r="D105" s="198"/>
      <c r="E105" s="198"/>
      <c r="F105" s="248"/>
      <c r="G105" s="198"/>
      <c r="H105" s="198"/>
      <c r="I105" s="198"/>
      <c r="J105" s="198"/>
      <c r="K105" s="198"/>
      <c r="L105" s="198"/>
      <c r="M105" s="198"/>
      <c r="N105" s="198"/>
      <c r="O105" s="198"/>
      <c r="P105" s="198"/>
      <c r="Q105" s="248"/>
      <c r="R105" s="199"/>
      <c r="S105" s="199"/>
      <c r="T105" s="199"/>
    </row>
    <row r="106" spans="1:20">
      <c r="B106" s="166"/>
      <c r="D106" s="124" t="s">
        <v>62</v>
      </c>
      <c r="F106" s="390" t="s">
        <v>63</v>
      </c>
      <c r="G106" s="391"/>
      <c r="H106" s="392"/>
      <c r="I106" s="392"/>
      <c r="J106" s="392"/>
      <c r="K106" s="392"/>
      <c r="L106" s="392"/>
      <c r="M106" s="392"/>
      <c r="N106" s="392"/>
      <c r="O106" s="392"/>
      <c r="P106" s="393"/>
      <c r="Q106" s="390" t="s">
        <v>64</v>
      </c>
      <c r="R106" s="389" t="s">
        <v>65</v>
      </c>
      <c r="S106" s="389" t="s">
        <v>66</v>
      </c>
      <c r="T106" s="389" t="s">
        <v>67</v>
      </c>
    </row>
    <row r="107" spans="1:20" ht="13.8">
      <c r="B107" s="249"/>
      <c r="C107" s="250"/>
      <c r="D107" s="6"/>
      <c r="F107" s="390" t="s">
        <v>68</v>
      </c>
      <c r="G107" s="391"/>
      <c r="H107" s="392"/>
      <c r="I107" s="392"/>
      <c r="J107" s="392"/>
      <c r="K107" s="392"/>
      <c r="L107" s="392"/>
      <c r="M107" s="392"/>
      <c r="N107" s="392"/>
      <c r="O107" s="392"/>
      <c r="P107" s="394"/>
      <c r="Q107" s="390" t="s">
        <v>69</v>
      </c>
      <c r="R107" s="251" t="s">
        <v>233</v>
      </c>
      <c r="S107" s="432">
        <f>$D$9</f>
        <v>27.46</v>
      </c>
      <c r="T107" s="251" t="s">
        <v>235</v>
      </c>
    </row>
    <row r="108" spans="1:20">
      <c r="B108" s="482" t="s">
        <v>70</v>
      </c>
      <c r="C108" s="103"/>
      <c r="D108" s="341" t="s">
        <v>212</v>
      </c>
      <c r="E108" s="103"/>
      <c r="F108" s="252"/>
      <c r="P108" s="353" t="s">
        <v>26</v>
      </c>
      <c r="Q108" s="289">
        <v>1</v>
      </c>
      <c r="R108" s="176"/>
      <c r="S108" s="176"/>
      <c r="T108" s="176"/>
    </row>
    <row r="109" spans="1:20">
      <c r="A109" s="174"/>
      <c r="B109" s="499" t="s">
        <v>71</v>
      </c>
      <c r="C109" s="6" t="s">
        <v>72</v>
      </c>
      <c r="D109" s="34" t="s">
        <v>73</v>
      </c>
      <c r="E109" s="174"/>
      <c r="F109" s="361">
        <v>501</v>
      </c>
      <c r="G109" s="109"/>
      <c r="P109" s="351">
        <v>1</v>
      </c>
      <c r="Q109" s="253">
        <v>1</v>
      </c>
      <c r="R109" s="287">
        <f>Elec_Est!R107</f>
        <v>0</v>
      </c>
      <c r="S109" s="388">
        <f>T109*$D$9</f>
        <v>0</v>
      </c>
      <c r="T109" s="287">
        <f>Elec_Est!T107</f>
        <v>0</v>
      </c>
    </row>
    <row r="110" spans="1:20">
      <c r="A110" s="174"/>
      <c r="B110" s="499">
        <v>2</v>
      </c>
      <c r="C110" s="6" t="s">
        <v>72</v>
      </c>
      <c r="D110" s="34" t="s">
        <v>74</v>
      </c>
      <c r="E110" s="174"/>
      <c r="F110" s="361">
        <v>505</v>
      </c>
      <c r="G110" s="109"/>
      <c r="P110" s="351">
        <v>1</v>
      </c>
      <c r="Q110" s="253">
        <v>1</v>
      </c>
      <c r="R110" s="287">
        <f>Elec_Est!R108</f>
        <v>0</v>
      </c>
      <c r="S110" s="388">
        <f t="shared" ref="S110:S164" si="16">T110*$D$9</f>
        <v>0</v>
      </c>
      <c r="T110" s="287">
        <f>Elec_Est!T108</f>
        <v>0</v>
      </c>
    </row>
    <row r="111" spans="1:20">
      <c r="A111" s="174"/>
      <c r="B111" s="499">
        <v>3</v>
      </c>
      <c r="C111" s="6" t="s">
        <v>72</v>
      </c>
      <c r="D111" s="34" t="s">
        <v>75</v>
      </c>
      <c r="E111" s="174"/>
      <c r="F111" s="361">
        <v>510</v>
      </c>
      <c r="G111" s="109"/>
      <c r="P111" s="351">
        <v>2</v>
      </c>
      <c r="Q111" s="253">
        <v>1</v>
      </c>
      <c r="R111" s="287">
        <f>Elec_Est!R109</f>
        <v>0</v>
      </c>
      <c r="S111" s="388">
        <f t="shared" si="16"/>
        <v>0</v>
      </c>
      <c r="T111" s="287">
        <f>Elec_Est!T109</f>
        <v>0</v>
      </c>
    </row>
    <row r="112" spans="1:20">
      <c r="A112" s="174"/>
      <c r="B112" s="499">
        <v>4</v>
      </c>
      <c r="C112" s="6" t="s">
        <v>72</v>
      </c>
      <c r="D112" s="34" t="s">
        <v>76</v>
      </c>
      <c r="E112" s="174"/>
      <c r="F112" s="361">
        <v>511</v>
      </c>
      <c r="G112" s="109"/>
      <c r="P112" s="351">
        <v>2</v>
      </c>
      <c r="Q112" s="253">
        <v>1</v>
      </c>
      <c r="R112" s="287">
        <f>Elec_Est!R110</f>
        <v>0</v>
      </c>
      <c r="S112" s="388">
        <f t="shared" si="16"/>
        <v>0</v>
      </c>
      <c r="T112" s="287">
        <f>Elec_Est!T110</f>
        <v>0</v>
      </c>
    </row>
    <row r="113" spans="1:20">
      <c r="A113" s="174"/>
      <c r="B113" s="499">
        <v>5</v>
      </c>
      <c r="C113" s="6" t="s">
        <v>72</v>
      </c>
      <c r="D113" s="34" t="s">
        <v>77</v>
      </c>
      <c r="E113" s="174"/>
      <c r="F113" s="361">
        <v>512</v>
      </c>
      <c r="G113" s="109"/>
      <c r="P113" s="351">
        <v>2</v>
      </c>
      <c r="Q113" s="253">
        <v>1</v>
      </c>
      <c r="R113" s="287">
        <f>Elec_Est!R111</f>
        <v>180</v>
      </c>
      <c r="S113" s="388">
        <f t="shared" si="16"/>
        <v>0</v>
      </c>
      <c r="T113" s="287">
        <f>Elec_Est!T111</f>
        <v>0</v>
      </c>
    </row>
    <row r="114" spans="1:20">
      <c r="A114" s="174"/>
      <c r="B114" s="499">
        <v>6</v>
      </c>
      <c r="C114" s="6" t="s">
        <v>72</v>
      </c>
      <c r="D114" s="34" t="s">
        <v>78</v>
      </c>
      <c r="E114" s="174"/>
      <c r="F114" s="361">
        <v>520</v>
      </c>
      <c r="G114" s="109"/>
      <c r="P114" s="351">
        <v>1</v>
      </c>
      <c r="Q114" s="253">
        <v>1</v>
      </c>
      <c r="R114" s="287">
        <f>Elec_Est!R112</f>
        <v>0</v>
      </c>
      <c r="S114" s="388">
        <f t="shared" si="16"/>
        <v>0</v>
      </c>
      <c r="T114" s="287">
        <f>Elec_Est!T112</f>
        <v>0</v>
      </c>
    </row>
    <row r="115" spans="1:20">
      <c r="A115" s="174"/>
      <c r="B115" s="499">
        <v>7</v>
      </c>
      <c r="C115" s="6" t="s">
        <v>72</v>
      </c>
      <c r="D115" s="34" t="s">
        <v>79</v>
      </c>
      <c r="E115" s="174"/>
      <c r="F115" s="361">
        <v>530</v>
      </c>
      <c r="G115" s="109"/>
      <c r="P115" s="351">
        <v>2</v>
      </c>
      <c r="Q115" s="253">
        <v>1</v>
      </c>
      <c r="R115" s="287">
        <f>Elec_Est!R113</f>
        <v>0</v>
      </c>
      <c r="S115" s="388">
        <f t="shared" si="16"/>
        <v>0</v>
      </c>
      <c r="T115" s="287">
        <f>Elec_Est!T113</f>
        <v>0</v>
      </c>
    </row>
    <row r="116" spans="1:20">
      <c r="A116" s="174"/>
      <c r="B116" s="499">
        <v>8</v>
      </c>
      <c r="C116" s="6" t="s">
        <v>72</v>
      </c>
      <c r="D116" s="34" t="s">
        <v>80</v>
      </c>
      <c r="E116" s="174"/>
      <c r="F116" s="361">
        <v>550</v>
      </c>
      <c r="G116" s="109"/>
      <c r="P116" s="351">
        <v>2</v>
      </c>
      <c r="Q116" s="253">
        <v>1</v>
      </c>
      <c r="R116" s="287">
        <f>Elec_Est!R114</f>
        <v>0</v>
      </c>
      <c r="S116" s="388">
        <f t="shared" si="16"/>
        <v>0</v>
      </c>
      <c r="T116" s="287">
        <f>Elec_Est!T114</f>
        <v>0</v>
      </c>
    </row>
    <row r="117" spans="1:20">
      <c r="A117" s="174"/>
      <c r="B117" s="499">
        <v>9</v>
      </c>
      <c r="C117" s="6" t="s">
        <v>72</v>
      </c>
      <c r="D117" s="34" t="s">
        <v>81</v>
      </c>
      <c r="E117" s="174"/>
      <c r="F117" s="361">
        <v>570</v>
      </c>
      <c r="G117" s="109"/>
      <c r="P117" s="351">
        <v>2</v>
      </c>
      <c r="Q117" s="253">
        <v>1</v>
      </c>
      <c r="R117" s="287">
        <f>Elec_Est!R115</f>
        <v>0</v>
      </c>
      <c r="S117" s="388">
        <f t="shared" si="16"/>
        <v>0</v>
      </c>
      <c r="T117" s="287">
        <f>Elec_Est!T115</f>
        <v>0</v>
      </c>
    </row>
    <row r="118" spans="1:20">
      <c r="A118" s="174"/>
      <c r="B118" s="499">
        <v>10</v>
      </c>
      <c r="C118" s="6" t="s">
        <v>72</v>
      </c>
      <c r="D118" s="34" t="s">
        <v>82</v>
      </c>
      <c r="E118" s="174"/>
      <c r="F118" s="361">
        <v>615</v>
      </c>
      <c r="G118" s="109"/>
      <c r="P118" s="351">
        <v>2</v>
      </c>
      <c r="Q118" s="253">
        <v>1</v>
      </c>
      <c r="R118" s="287">
        <f>Elec_Est!R116</f>
        <v>6.6000000000000005</v>
      </c>
      <c r="S118" s="388">
        <f t="shared" si="16"/>
        <v>8.2380000000000013</v>
      </c>
      <c r="T118" s="287">
        <f>Elec_Est!T116</f>
        <v>0.30000000000000004</v>
      </c>
    </row>
    <row r="119" spans="1:20">
      <c r="A119" s="174"/>
      <c r="B119" s="499" t="s">
        <v>83</v>
      </c>
      <c r="C119" s="6" t="s">
        <v>72</v>
      </c>
      <c r="D119" s="34" t="s">
        <v>84</v>
      </c>
      <c r="E119" s="174"/>
      <c r="F119" s="361">
        <v>616</v>
      </c>
      <c r="G119" s="109"/>
      <c r="P119" s="351">
        <v>2</v>
      </c>
      <c r="Q119" s="253">
        <v>1</v>
      </c>
      <c r="R119" s="287">
        <f>Elec_Est!R117</f>
        <v>0</v>
      </c>
      <c r="S119" s="388">
        <f t="shared" si="16"/>
        <v>0</v>
      </c>
      <c r="T119" s="287">
        <f>Elec_Est!T117</f>
        <v>0</v>
      </c>
    </row>
    <row r="120" spans="1:20">
      <c r="A120" s="174"/>
      <c r="B120" s="499">
        <v>12</v>
      </c>
      <c r="C120" s="6" t="s">
        <v>72</v>
      </c>
      <c r="D120" s="34" t="s">
        <v>85</v>
      </c>
      <c r="E120" s="174"/>
      <c r="F120" s="361">
        <v>617</v>
      </c>
      <c r="G120" s="109"/>
      <c r="P120" s="351">
        <v>2</v>
      </c>
      <c r="Q120" s="253">
        <v>1</v>
      </c>
      <c r="R120" s="287">
        <f>Elec_Est!R118</f>
        <v>0</v>
      </c>
      <c r="S120" s="388">
        <f t="shared" si="16"/>
        <v>0</v>
      </c>
      <c r="T120" s="287">
        <f>Elec_Est!T118</f>
        <v>0</v>
      </c>
    </row>
    <row r="121" spans="1:20">
      <c r="A121" s="174"/>
      <c r="B121" s="499">
        <v>13</v>
      </c>
      <c r="C121" s="6" t="s">
        <v>72</v>
      </c>
      <c r="D121" s="34" t="s">
        <v>86</v>
      </c>
      <c r="E121" s="174"/>
      <c r="F121" s="361">
        <v>620</v>
      </c>
      <c r="G121" s="109"/>
      <c r="P121" s="351">
        <v>2</v>
      </c>
      <c r="Q121" s="253">
        <v>1</v>
      </c>
      <c r="R121" s="287">
        <f>Elec_Est!R119</f>
        <v>0</v>
      </c>
      <c r="S121" s="388">
        <f t="shared" si="16"/>
        <v>0</v>
      </c>
      <c r="T121" s="287">
        <f>Elec_Est!T119</f>
        <v>0</v>
      </c>
    </row>
    <row r="122" spans="1:20">
      <c r="A122" s="174"/>
      <c r="B122" s="499">
        <v>14</v>
      </c>
      <c r="C122" s="6" t="s">
        <v>72</v>
      </c>
      <c r="D122" s="34" t="s">
        <v>87</v>
      </c>
      <c r="E122" s="174"/>
      <c r="F122" s="361">
        <v>650</v>
      </c>
      <c r="G122" s="109"/>
      <c r="P122" s="351">
        <v>1</v>
      </c>
      <c r="Q122" s="253">
        <v>1</v>
      </c>
      <c r="R122" s="287">
        <f>Elec_Est!R120</f>
        <v>0</v>
      </c>
      <c r="S122" s="388">
        <f t="shared" si="16"/>
        <v>0</v>
      </c>
      <c r="T122" s="287">
        <f>Elec_Est!T120</f>
        <v>0</v>
      </c>
    </row>
    <row r="123" spans="1:20">
      <c r="A123" s="174"/>
      <c r="B123" s="499">
        <v>15</v>
      </c>
      <c r="C123" s="6" t="s">
        <v>72</v>
      </c>
      <c r="D123" s="34" t="s">
        <v>88</v>
      </c>
      <c r="E123" s="174"/>
      <c r="F123" s="361">
        <v>651</v>
      </c>
      <c r="G123" s="109"/>
      <c r="P123" s="351">
        <v>1</v>
      </c>
      <c r="Q123" s="253">
        <v>1</v>
      </c>
      <c r="R123" s="287">
        <f>Elec_Est!R121</f>
        <v>0</v>
      </c>
      <c r="S123" s="388">
        <f t="shared" si="16"/>
        <v>0</v>
      </c>
      <c r="T123" s="287">
        <f>Elec_Est!T121</f>
        <v>0</v>
      </c>
    </row>
    <row r="124" spans="1:20">
      <c r="A124" s="174"/>
      <c r="B124" s="499">
        <v>16</v>
      </c>
      <c r="C124" s="6" t="s">
        <v>72</v>
      </c>
      <c r="D124" s="34" t="s">
        <v>89</v>
      </c>
      <c r="E124" s="174"/>
      <c r="F124" s="361">
        <v>652</v>
      </c>
      <c r="G124" s="109"/>
      <c r="P124" s="351">
        <v>1</v>
      </c>
      <c r="Q124" s="253">
        <v>1</v>
      </c>
      <c r="R124" s="287">
        <f>Elec_Est!R122</f>
        <v>0</v>
      </c>
      <c r="S124" s="388">
        <f t="shared" si="16"/>
        <v>0</v>
      </c>
      <c r="T124" s="287">
        <f>Elec_Est!T122</f>
        <v>0</v>
      </c>
    </row>
    <row r="125" spans="1:20">
      <c r="A125" s="174"/>
      <c r="B125" s="499">
        <v>17</v>
      </c>
      <c r="C125" s="6" t="s">
        <v>72</v>
      </c>
      <c r="D125" s="34" t="s">
        <v>90</v>
      </c>
      <c r="E125" s="174"/>
      <c r="F125" s="361">
        <v>654</v>
      </c>
      <c r="G125" s="109"/>
      <c r="P125" s="351">
        <v>1</v>
      </c>
      <c r="Q125" s="253">
        <v>1</v>
      </c>
      <c r="R125" s="287">
        <f>Elec_Est!R123</f>
        <v>0</v>
      </c>
      <c r="S125" s="388">
        <f t="shared" si="16"/>
        <v>0</v>
      </c>
      <c r="T125" s="287">
        <f>Elec_Est!T123</f>
        <v>0</v>
      </c>
    </row>
    <row r="126" spans="1:20">
      <c r="A126" s="174"/>
      <c r="B126" s="499">
        <v>18</v>
      </c>
      <c r="C126" s="6" t="s">
        <v>72</v>
      </c>
      <c r="D126" s="34" t="s">
        <v>91</v>
      </c>
      <c r="E126" s="174"/>
      <c r="F126" s="361">
        <v>675</v>
      </c>
      <c r="G126" s="109"/>
      <c r="P126" s="351">
        <v>1</v>
      </c>
      <c r="Q126" s="253">
        <v>1</v>
      </c>
      <c r="R126" s="287">
        <f>Elec_Est!R124</f>
        <v>0</v>
      </c>
      <c r="S126" s="388">
        <f t="shared" si="16"/>
        <v>0</v>
      </c>
      <c r="T126" s="287">
        <f>Elec_Est!T124</f>
        <v>0</v>
      </c>
    </row>
    <row r="127" spans="1:20">
      <c r="A127" s="174"/>
      <c r="B127" s="499">
        <v>19</v>
      </c>
      <c r="C127" s="6" t="s">
        <v>72</v>
      </c>
      <c r="D127" s="34" t="s">
        <v>92</v>
      </c>
      <c r="E127" s="174"/>
      <c r="F127" s="361">
        <v>676</v>
      </c>
      <c r="G127" s="109"/>
      <c r="P127" s="351">
        <v>1</v>
      </c>
      <c r="Q127" s="253">
        <v>1</v>
      </c>
      <c r="R127" s="287">
        <f>Elec_Est!R125</f>
        <v>0</v>
      </c>
      <c r="S127" s="388">
        <f t="shared" si="16"/>
        <v>0</v>
      </c>
      <c r="T127" s="287">
        <f>Elec_Est!T125</f>
        <v>0</v>
      </c>
    </row>
    <row r="128" spans="1:20">
      <c r="A128" s="174"/>
      <c r="B128" s="499">
        <v>20</v>
      </c>
      <c r="C128" s="6" t="s">
        <v>72</v>
      </c>
      <c r="D128" s="34" t="s">
        <v>93</v>
      </c>
      <c r="E128" s="174"/>
      <c r="F128" s="361">
        <v>680</v>
      </c>
      <c r="G128" s="109"/>
      <c r="P128" s="351">
        <v>1</v>
      </c>
      <c r="Q128" s="253">
        <v>1</v>
      </c>
      <c r="R128" s="287">
        <f>Elec_Est!R126</f>
        <v>0</v>
      </c>
      <c r="S128" s="388">
        <f t="shared" si="16"/>
        <v>0</v>
      </c>
      <c r="T128" s="287">
        <f>Elec_Est!T126</f>
        <v>0</v>
      </c>
    </row>
    <row r="129" spans="1:20">
      <c r="A129" s="174"/>
      <c r="B129" s="499" t="s">
        <v>94</v>
      </c>
      <c r="C129" s="6" t="s">
        <v>72</v>
      </c>
      <c r="D129" s="34" t="s">
        <v>95</v>
      </c>
      <c r="E129" s="174"/>
      <c r="F129" s="361">
        <v>681</v>
      </c>
      <c r="G129" s="109"/>
      <c r="P129" s="351">
        <v>1</v>
      </c>
      <c r="Q129" s="253">
        <v>1</v>
      </c>
      <c r="R129" s="287">
        <f>Elec_Est!R127</f>
        <v>0</v>
      </c>
      <c r="S129" s="388">
        <f t="shared" si="16"/>
        <v>0</v>
      </c>
      <c r="T129" s="287">
        <f>Elec_Est!T127</f>
        <v>0</v>
      </c>
    </row>
    <row r="130" spans="1:20">
      <c r="A130" s="174"/>
      <c r="B130" s="499">
        <v>22</v>
      </c>
      <c r="C130" s="6" t="s">
        <v>72</v>
      </c>
      <c r="D130" s="34" t="s">
        <v>96</v>
      </c>
      <c r="E130" s="174"/>
      <c r="F130" s="361">
        <v>690</v>
      </c>
      <c r="G130" s="109"/>
      <c r="P130" s="351">
        <v>1</v>
      </c>
      <c r="Q130" s="253">
        <v>1</v>
      </c>
      <c r="R130" s="287">
        <f>Elec_Est!R128</f>
        <v>0</v>
      </c>
      <c r="S130" s="388">
        <f t="shared" si="16"/>
        <v>0</v>
      </c>
      <c r="T130" s="287">
        <f>Elec_Est!T128</f>
        <v>0</v>
      </c>
    </row>
    <row r="131" spans="1:20">
      <c r="A131" s="174"/>
      <c r="B131" s="499">
        <v>23</v>
      </c>
      <c r="C131" s="6" t="s">
        <v>72</v>
      </c>
      <c r="D131" s="34" t="s">
        <v>97</v>
      </c>
      <c r="E131" s="174"/>
      <c r="F131" s="361">
        <v>700</v>
      </c>
      <c r="G131" s="109"/>
      <c r="P131" s="351">
        <v>1</v>
      </c>
      <c r="Q131" s="253">
        <v>1</v>
      </c>
      <c r="R131" s="287">
        <f>Elec_Est!R129</f>
        <v>4.32</v>
      </c>
      <c r="S131" s="388">
        <f t="shared" si="16"/>
        <v>28.558400000000002</v>
      </c>
      <c r="T131" s="287">
        <f>Elec_Est!T129</f>
        <v>1.04</v>
      </c>
    </row>
    <row r="132" spans="1:20">
      <c r="A132" s="174"/>
      <c r="B132" s="499">
        <v>24</v>
      </c>
      <c r="C132" s="6" t="s">
        <v>72</v>
      </c>
      <c r="D132" s="34" t="s">
        <v>98</v>
      </c>
      <c r="E132" s="174"/>
      <c r="F132" s="361">
        <v>705</v>
      </c>
      <c r="G132" s="109"/>
      <c r="P132" s="351">
        <v>3</v>
      </c>
      <c r="Q132" s="253">
        <v>1</v>
      </c>
      <c r="R132" s="287">
        <f>Elec_Est!R130</f>
        <v>0</v>
      </c>
      <c r="S132" s="388">
        <f t="shared" si="16"/>
        <v>0</v>
      </c>
      <c r="T132" s="287">
        <f>Elec_Est!T130</f>
        <v>0</v>
      </c>
    </row>
    <row r="133" spans="1:20">
      <c r="A133" s="174"/>
      <c r="B133" s="499">
        <v>25</v>
      </c>
      <c r="C133" s="6" t="s">
        <v>72</v>
      </c>
      <c r="D133" s="34" t="s">
        <v>99</v>
      </c>
      <c r="E133" s="174"/>
      <c r="F133" s="361">
        <v>706</v>
      </c>
      <c r="G133" s="109"/>
      <c r="P133" s="351">
        <v>3</v>
      </c>
      <c r="Q133" s="253">
        <v>1</v>
      </c>
      <c r="R133" s="287">
        <f>Elec_Est!R131</f>
        <v>0</v>
      </c>
      <c r="S133" s="388">
        <f t="shared" si="16"/>
        <v>0</v>
      </c>
      <c r="T133" s="287">
        <f>Elec_Est!T131</f>
        <v>0</v>
      </c>
    </row>
    <row r="134" spans="1:20">
      <c r="A134" s="174"/>
      <c r="B134" s="499">
        <v>26</v>
      </c>
      <c r="C134" s="6" t="s">
        <v>72</v>
      </c>
      <c r="D134" s="34" t="s">
        <v>100</v>
      </c>
      <c r="E134" s="174"/>
      <c r="F134" s="361">
        <v>725</v>
      </c>
      <c r="G134" s="109"/>
      <c r="P134" s="351">
        <v>3</v>
      </c>
      <c r="Q134" s="253">
        <v>1</v>
      </c>
      <c r="R134" s="287">
        <f>Elec_Est!R132</f>
        <v>0</v>
      </c>
      <c r="S134" s="388">
        <f t="shared" si="16"/>
        <v>0</v>
      </c>
      <c r="T134" s="287">
        <f>Elec_Est!T132</f>
        <v>0</v>
      </c>
    </row>
    <row r="135" spans="1:20">
      <c r="A135" s="174"/>
      <c r="B135" s="499">
        <v>27</v>
      </c>
      <c r="C135" s="6" t="s">
        <v>72</v>
      </c>
      <c r="D135" s="34" t="s">
        <v>101</v>
      </c>
      <c r="E135" s="174"/>
      <c r="F135" s="361">
        <v>726</v>
      </c>
      <c r="G135" s="109"/>
      <c r="P135" s="351">
        <v>3</v>
      </c>
      <c r="Q135" s="253">
        <v>1</v>
      </c>
      <c r="R135" s="287">
        <f>Elec_Est!R133</f>
        <v>0</v>
      </c>
      <c r="S135" s="388">
        <f t="shared" si="16"/>
        <v>0</v>
      </c>
      <c r="T135" s="287">
        <f>Elec_Est!T133</f>
        <v>0</v>
      </c>
    </row>
    <row r="136" spans="1:20">
      <c r="A136" s="174"/>
      <c r="B136" s="499">
        <v>28</v>
      </c>
      <c r="C136" s="6" t="s">
        <v>72</v>
      </c>
      <c r="D136" s="34" t="s">
        <v>102</v>
      </c>
      <c r="E136" s="174"/>
      <c r="F136" s="361">
        <v>750</v>
      </c>
      <c r="G136" s="109"/>
      <c r="P136" s="351">
        <v>3</v>
      </c>
      <c r="Q136" s="253">
        <v>1</v>
      </c>
      <c r="R136" s="287">
        <f>Elec_Est!R134</f>
        <v>0</v>
      </c>
      <c r="S136" s="388">
        <f t="shared" si="16"/>
        <v>0</v>
      </c>
      <c r="T136" s="287">
        <f>Elec_Est!T134</f>
        <v>0</v>
      </c>
    </row>
    <row r="137" spans="1:20">
      <c r="A137" s="174"/>
      <c r="B137" s="499">
        <v>29</v>
      </c>
      <c r="C137" s="6" t="s">
        <v>72</v>
      </c>
      <c r="D137" s="34" t="s">
        <v>103</v>
      </c>
      <c r="E137" s="174"/>
      <c r="F137" s="361">
        <v>751</v>
      </c>
      <c r="G137" s="109"/>
      <c r="P137" s="351">
        <v>3</v>
      </c>
      <c r="Q137" s="253">
        <v>1</v>
      </c>
      <c r="R137" s="287">
        <f>Elec_Est!R135</f>
        <v>0</v>
      </c>
      <c r="S137" s="388">
        <f t="shared" si="16"/>
        <v>0</v>
      </c>
      <c r="T137" s="287">
        <f>Elec_Est!T135</f>
        <v>0</v>
      </c>
    </row>
    <row r="138" spans="1:20">
      <c r="A138" s="174"/>
      <c r="B138" s="499">
        <v>30</v>
      </c>
      <c r="C138" s="6" t="s">
        <v>72</v>
      </c>
      <c r="D138" s="34" t="s">
        <v>104</v>
      </c>
      <c r="E138" s="174"/>
      <c r="F138" s="361">
        <v>752</v>
      </c>
      <c r="G138" s="109"/>
      <c r="P138" s="351">
        <v>3</v>
      </c>
      <c r="Q138" s="253">
        <v>1</v>
      </c>
      <c r="R138" s="287">
        <f>Elec_Est!R136</f>
        <v>0</v>
      </c>
      <c r="S138" s="388">
        <f t="shared" si="16"/>
        <v>0</v>
      </c>
      <c r="T138" s="287">
        <f>Elec_Est!T136</f>
        <v>0</v>
      </c>
    </row>
    <row r="139" spans="1:20">
      <c r="A139" s="174"/>
      <c r="B139" s="499" t="s">
        <v>105</v>
      </c>
      <c r="C139" s="6" t="s">
        <v>72</v>
      </c>
      <c r="D139" s="610" t="s">
        <v>264</v>
      </c>
      <c r="E139" s="174"/>
      <c r="F139" s="361">
        <v>753</v>
      </c>
      <c r="G139" s="109"/>
      <c r="P139" s="351">
        <v>3</v>
      </c>
      <c r="Q139" s="253">
        <v>1</v>
      </c>
      <c r="R139" s="287">
        <f>Elec_Est!R137</f>
        <v>0</v>
      </c>
      <c r="S139" s="388">
        <f t="shared" si="16"/>
        <v>0</v>
      </c>
      <c r="T139" s="287">
        <f>Elec_Est!T137</f>
        <v>0</v>
      </c>
    </row>
    <row r="140" spans="1:20">
      <c r="A140" s="174"/>
      <c r="B140" s="499">
        <v>32</v>
      </c>
      <c r="C140" s="6" t="s">
        <v>72</v>
      </c>
      <c r="D140" s="34" t="s">
        <v>106</v>
      </c>
      <c r="E140" s="174"/>
      <c r="F140" s="361">
        <v>770</v>
      </c>
      <c r="G140" s="109"/>
      <c r="P140" s="351">
        <v>3</v>
      </c>
      <c r="Q140" s="253">
        <v>1</v>
      </c>
      <c r="R140" s="287">
        <f>Elec_Est!R138</f>
        <v>0</v>
      </c>
      <c r="S140" s="388">
        <f t="shared" si="16"/>
        <v>0</v>
      </c>
      <c r="T140" s="287">
        <f>Elec_Est!T138</f>
        <v>0</v>
      </c>
    </row>
    <row r="141" spans="1:20">
      <c r="A141" s="174"/>
      <c r="B141" s="499">
        <v>33</v>
      </c>
      <c r="C141" s="6" t="s">
        <v>72</v>
      </c>
      <c r="D141" s="34" t="s">
        <v>107</v>
      </c>
      <c r="E141" s="174"/>
      <c r="F141" s="361">
        <v>790</v>
      </c>
      <c r="G141" s="109"/>
      <c r="P141" s="351">
        <v>3</v>
      </c>
      <c r="Q141" s="253">
        <v>1</v>
      </c>
      <c r="R141" s="287">
        <f>Elec_Est!R139</f>
        <v>0</v>
      </c>
      <c r="S141" s="388">
        <f t="shared" si="16"/>
        <v>0</v>
      </c>
      <c r="T141" s="287">
        <f>Elec_Est!T139</f>
        <v>0</v>
      </c>
    </row>
    <row r="142" spans="1:20">
      <c r="A142" s="174"/>
      <c r="B142" s="499">
        <v>34</v>
      </c>
      <c r="C142" s="6" t="s">
        <v>72</v>
      </c>
      <c r="D142" s="34" t="s">
        <v>108</v>
      </c>
      <c r="E142" s="174"/>
      <c r="F142" s="361">
        <v>791</v>
      </c>
      <c r="G142" s="109"/>
      <c r="P142" s="351">
        <v>3</v>
      </c>
      <c r="Q142" s="253">
        <v>1</v>
      </c>
      <c r="R142" s="287">
        <f>Elec_Est!R140</f>
        <v>0</v>
      </c>
      <c r="S142" s="388">
        <f t="shared" si="16"/>
        <v>0</v>
      </c>
      <c r="T142" s="287">
        <f>Elec_Est!T140</f>
        <v>0</v>
      </c>
    </row>
    <row r="143" spans="1:20">
      <c r="A143" s="174"/>
      <c r="B143" s="499">
        <v>35</v>
      </c>
      <c r="C143" s="6" t="s">
        <v>72</v>
      </c>
      <c r="D143" s="34" t="s">
        <v>109</v>
      </c>
      <c r="E143" s="174"/>
      <c r="F143" s="361">
        <v>810</v>
      </c>
      <c r="G143" s="109"/>
      <c r="P143" s="351">
        <v>3</v>
      </c>
      <c r="Q143" s="253">
        <v>1</v>
      </c>
      <c r="R143" s="287">
        <f>Elec_Est!R141</f>
        <v>0</v>
      </c>
      <c r="S143" s="388">
        <f t="shared" si="16"/>
        <v>0</v>
      </c>
      <c r="T143" s="287">
        <f>Elec_Est!T141</f>
        <v>0</v>
      </c>
    </row>
    <row r="144" spans="1:20">
      <c r="A144" s="174"/>
      <c r="B144" s="499">
        <v>36</v>
      </c>
      <c r="C144" s="6" t="s">
        <v>72</v>
      </c>
      <c r="D144" s="34" t="s">
        <v>110</v>
      </c>
      <c r="E144" s="174"/>
      <c r="F144" s="361">
        <v>815</v>
      </c>
      <c r="G144" s="109"/>
      <c r="P144" s="351">
        <v>3</v>
      </c>
      <c r="Q144" s="253">
        <v>1</v>
      </c>
      <c r="R144" s="287">
        <f>Elec_Est!R142</f>
        <v>0</v>
      </c>
      <c r="S144" s="388">
        <f t="shared" si="16"/>
        <v>0</v>
      </c>
      <c r="T144" s="287">
        <f>Elec_Est!T142</f>
        <v>0</v>
      </c>
    </row>
    <row r="145" spans="1:20">
      <c r="A145" s="174"/>
      <c r="B145" s="499">
        <v>37</v>
      </c>
      <c r="C145" s="6" t="s">
        <v>72</v>
      </c>
      <c r="D145" s="34" t="s">
        <v>111</v>
      </c>
      <c r="E145" s="174"/>
      <c r="F145" s="361">
        <v>820</v>
      </c>
      <c r="G145" s="109"/>
      <c r="P145" s="351">
        <v>2</v>
      </c>
      <c r="Q145" s="253">
        <v>1</v>
      </c>
      <c r="R145" s="287">
        <f>Elec_Est!R143</f>
        <v>0</v>
      </c>
      <c r="S145" s="388">
        <f t="shared" si="16"/>
        <v>0</v>
      </c>
      <c r="T145" s="287">
        <f>Elec_Est!T143</f>
        <v>0</v>
      </c>
    </row>
    <row r="146" spans="1:20">
      <c r="A146" s="174"/>
      <c r="B146" s="499">
        <v>38</v>
      </c>
      <c r="C146" s="6" t="s">
        <v>72</v>
      </c>
      <c r="D146" s="34" t="s">
        <v>112</v>
      </c>
      <c r="E146" s="174"/>
      <c r="F146" s="361">
        <v>821</v>
      </c>
      <c r="G146" s="109"/>
      <c r="P146" s="351">
        <v>3</v>
      </c>
      <c r="Q146" s="253">
        <v>1</v>
      </c>
      <c r="R146" s="287">
        <f>Elec_Est!R144</f>
        <v>0</v>
      </c>
      <c r="S146" s="388">
        <f t="shared" si="16"/>
        <v>0</v>
      </c>
      <c r="T146" s="287">
        <f>Elec_Est!T144</f>
        <v>0</v>
      </c>
    </row>
    <row r="147" spans="1:20">
      <c r="A147" s="174"/>
      <c r="B147" s="499">
        <v>39</v>
      </c>
      <c r="C147" s="6" t="s">
        <v>72</v>
      </c>
      <c r="D147" s="34" t="s">
        <v>113</v>
      </c>
      <c r="E147" s="174"/>
      <c r="F147" s="361">
        <v>835</v>
      </c>
      <c r="G147" s="109"/>
      <c r="P147" s="351">
        <v>3</v>
      </c>
      <c r="Q147" s="253">
        <v>1</v>
      </c>
      <c r="R147" s="287">
        <f>Elec_Est!R145</f>
        <v>0</v>
      </c>
      <c r="S147" s="388">
        <f t="shared" si="16"/>
        <v>0</v>
      </c>
      <c r="T147" s="287">
        <f>Elec_Est!T145</f>
        <v>0</v>
      </c>
    </row>
    <row r="148" spans="1:20">
      <c r="A148" s="174"/>
      <c r="B148" s="499">
        <v>40</v>
      </c>
      <c r="C148" s="6" t="s">
        <v>72</v>
      </c>
      <c r="D148" s="34" t="s">
        <v>114</v>
      </c>
      <c r="E148" s="174"/>
      <c r="F148" s="361">
        <v>845</v>
      </c>
      <c r="G148" s="109"/>
      <c r="P148" s="351">
        <v>2</v>
      </c>
      <c r="Q148" s="253">
        <v>1</v>
      </c>
      <c r="R148" s="287">
        <f>Elec_Est!R146</f>
        <v>0</v>
      </c>
      <c r="S148" s="388">
        <f t="shared" si="16"/>
        <v>0</v>
      </c>
      <c r="T148" s="287">
        <f>Elec_Est!T146</f>
        <v>0</v>
      </c>
    </row>
    <row r="149" spans="1:20">
      <c r="A149" s="174"/>
      <c r="B149" s="499" t="s">
        <v>115</v>
      </c>
      <c r="C149" s="6" t="s">
        <v>72</v>
      </c>
      <c r="D149" s="34" t="s">
        <v>116</v>
      </c>
      <c r="E149" s="174"/>
      <c r="F149" s="361">
        <v>855</v>
      </c>
      <c r="G149" s="109"/>
      <c r="P149" s="351">
        <v>3</v>
      </c>
      <c r="Q149" s="253">
        <v>1</v>
      </c>
      <c r="R149" s="287">
        <f>Elec_Est!R147</f>
        <v>0</v>
      </c>
      <c r="S149" s="388">
        <f t="shared" si="16"/>
        <v>0</v>
      </c>
      <c r="T149" s="287">
        <f>Elec_Est!T147</f>
        <v>0</v>
      </c>
    </row>
    <row r="150" spans="1:20">
      <c r="A150" s="174"/>
      <c r="B150" s="499">
        <v>42</v>
      </c>
      <c r="C150" s="6" t="s">
        <v>72</v>
      </c>
      <c r="D150" s="34" t="s">
        <v>117</v>
      </c>
      <c r="E150" s="174"/>
      <c r="F150" s="361">
        <v>856</v>
      </c>
      <c r="G150" s="109"/>
      <c r="P150" s="351">
        <v>3</v>
      </c>
      <c r="Q150" s="253">
        <v>1</v>
      </c>
      <c r="R150" s="287">
        <f>Elec_Est!R148</f>
        <v>0</v>
      </c>
      <c r="S150" s="388">
        <f t="shared" si="16"/>
        <v>0</v>
      </c>
      <c r="T150" s="287">
        <f>Elec_Est!T148</f>
        <v>0</v>
      </c>
    </row>
    <row r="151" spans="1:20">
      <c r="A151" s="174"/>
      <c r="B151" s="499">
        <v>43</v>
      </c>
      <c r="C151" s="6" t="s">
        <v>72</v>
      </c>
      <c r="D151" s="34" t="s">
        <v>245</v>
      </c>
      <c r="E151" s="174"/>
      <c r="F151" s="361">
        <v>857</v>
      </c>
      <c r="G151" s="109"/>
      <c r="P151" s="351">
        <v>4</v>
      </c>
      <c r="Q151" s="253">
        <v>1</v>
      </c>
      <c r="R151" s="287">
        <f>Elec_Est!R149</f>
        <v>0</v>
      </c>
      <c r="S151" s="388">
        <f t="shared" si="16"/>
        <v>0</v>
      </c>
      <c r="T151" s="287">
        <f>Elec_Est!T149</f>
        <v>0</v>
      </c>
    </row>
    <row r="152" spans="1:20">
      <c r="A152" s="174"/>
      <c r="B152" s="499">
        <v>44</v>
      </c>
      <c r="C152" s="6" t="s">
        <v>72</v>
      </c>
      <c r="D152" s="34" t="s">
        <v>118</v>
      </c>
      <c r="E152" s="174"/>
      <c r="F152" s="361">
        <v>858</v>
      </c>
      <c r="G152" s="109"/>
      <c r="P152" s="351">
        <v>3</v>
      </c>
      <c r="Q152" s="253">
        <v>1</v>
      </c>
      <c r="R152" s="287">
        <f>Elec_Est!R150</f>
        <v>0</v>
      </c>
      <c r="S152" s="388">
        <f t="shared" si="16"/>
        <v>0</v>
      </c>
      <c r="T152" s="287">
        <f>Elec_Est!T150</f>
        <v>0</v>
      </c>
    </row>
    <row r="153" spans="1:20">
      <c r="A153" s="174"/>
      <c r="B153" s="499">
        <v>45</v>
      </c>
      <c r="C153" s="6" t="s">
        <v>72</v>
      </c>
      <c r="D153" s="34" t="s">
        <v>119</v>
      </c>
      <c r="E153" s="174"/>
      <c r="F153" s="361">
        <v>865</v>
      </c>
      <c r="G153" s="109"/>
      <c r="P153" s="351">
        <v>3</v>
      </c>
      <c r="Q153" s="253">
        <v>1</v>
      </c>
      <c r="R153" s="287">
        <f>Elec_Est!R151</f>
        <v>0</v>
      </c>
      <c r="S153" s="388">
        <f t="shared" si="16"/>
        <v>0</v>
      </c>
      <c r="T153" s="287">
        <f>Elec_Est!T151</f>
        <v>0</v>
      </c>
    </row>
    <row r="154" spans="1:20">
      <c r="A154" s="174"/>
      <c r="B154" s="499">
        <v>46</v>
      </c>
      <c r="C154" s="6" t="s">
        <v>72</v>
      </c>
      <c r="D154" s="34" t="s">
        <v>120</v>
      </c>
      <c r="E154" s="174"/>
      <c r="F154" s="361">
        <v>870</v>
      </c>
      <c r="G154" s="109"/>
      <c r="P154" s="351">
        <v>4</v>
      </c>
      <c r="Q154" s="253">
        <v>1</v>
      </c>
      <c r="R154" s="287">
        <f>Elec_Est!R152</f>
        <v>0</v>
      </c>
      <c r="S154" s="388">
        <f t="shared" si="16"/>
        <v>0</v>
      </c>
      <c r="T154" s="287">
        <f>Elec_Est!T152</f>
        <v>0</v>
      </c>
    </row>
    <row r="155" spans="1:20">
      <c r="A155" s="174"/>
      <c r="B155" s="499">
        <v>47</v>
      </c>
      <c r="C155" s="6" t="s">
        <v>72</v>
      </c>
      <c r="D155" s="34" t="s">
        <v>121</v>
      </c>
      <c r="E155" s="174"/>
      <c r="F155" s="361">
        <v>875</v>
      </c>
      <c r="G155" s="109"/>
      <c r="P155" s="351">
        <v>1</v>
      </c>
      <c r="Q155" s="253">
        <v>1</v>
      </c>
      <c r="R155" s="287">
        <f>Elec_Est!R153</f>
        <v>0</v>
      </c>
      <c r="S155" s="388">
        <f t="shared" si="16"/>
        <v>0</v>
      </c>
      <c r="T155" s="287">
        <f>Elec_Est!T153</f>
        <v>0</v>
      </c>
    </row>
    <row r="156" spans="1:20">
      <c r="A156" s="174"/>
      <c r="B156" s="499">
        <v>48</v>
      </c>
      <c r="C156" s="6" t="s">
        <v>72</v>
      </c>
      <c r="D156" s="34" t="s">
        <v>122</v>
      </c>
      <c r="E156" s="174"/>
      <c r="F156" s="361">
        <v>880</v>
      </c>
      <c r="G156" s="109"/>
      <c r="P156" s="351">
        <v>3</v>
      </c>
      <c r="Q156" s="253">
        <v>1</v>
      </c>
      <c r="R156" s="287">
        <f>Elec_Est!R154</f>
        <v>0</v>
      </c>
      <c r="S156" s="388">
        <f t="shared" si="16"/>
        <v>0</v>
      </c>
      <c r="T156" s="287">
        <f>Elec_Est!T154</f>
        <v>0</v>
      </c>
    </row>
    <row r="157" spans="1:20">
      <c r="A157" s="174"/>
      <c r="B157" s="499">
        <v>49</v>
      </c>
      <c r="C157" s="6" t="s">
        <v>72</v>
      </c>
      <c r="D157" s="34" t="s">
        <v>123</v>
      </c>
      <c r="E157" s="174"/>
      <c r="F157" s="361">
        <v>885</v>
      </c>
      <c r="G157" s="109"/>
      <c r="P157" s="351">
        <v>4</v>
      </c>
      <c r="Q157" s="253">
        <v>1</v>
      </c>
      <c r="R157" s="287">
        <f>Elec_Est!R155</f>
        <v>0</v>
      </c>
      <c r="S157" s="388">
        <f t="shared" si="16"/>
        <v>0</v>
      </c>
      <c r="T157" s="287">
        <f>Elec_Est!T155</f>
        <v>0</v>
      </c>
    </row>
    <row r="158" spans="1:20">
      <c r="A158" s="174"/>
      <c r="B158" s="499">
        <v>50</v>
      </c>
      <c r="C158" s="6" t="s">
        <v>72</v>
      </c>
      <c r="D158" s="34" t="s">
        <v>67</v>
      </c>
      <c r="E158" s="174"/>
      <c r="F158" s="361">
        <v>900</v>
      </c>
      <c r="G158" s="109"/>
      <c r="P158" s="351">
        <v>3</v>
      </c>
      <c r="Q158" s="253">
        <v>1</v>
      </c>
      <c r="R158" s="287">
        <f>Elec_Est!R156</f>
        <v>0</v>
      </c>
      <c r="S158" s="388">
        <f t="shared" si="16"/>
        <v>41.19</v>
      </c>
      <c r="T158" s="287">
        <f>Elec_Est!T156</f>
        <v>1.5</v>
      </c>
    </row>
    <row r="159" spans="1:20">
      <c r="A159" s="174"/>
      <c r="B159" s="499" t="s">
        <v>124</v>
      </c>
      <c r="C159" s="6" t="s">
        <v>72</v>
      </c>
      <c r="D159" s="34" t="s">
        <v>125</v>
      </c>
      <c r="E159" s="174"/>
      <c r="F159" s="361">
        <v>901</v>
      </c>
      <c r="G159" s="109"/>
      <c r="P159" s="351">
        <v>1</v>
      </c>
      <c r="Q159" s="253">
        <v>1</v>
      </c>
      <c r="R159" s="287">
        <f>Elec_Est!R157</f>
        <v>0</v>
      </c>
      <c r="S159" s="388">
        <f t="shared" si="16"/>
        <v>0</v>
      </c>
      <c r="T159" s="287">
        <f>Elec_Est!T157</f>
        <v>0</v>
      </c>
    </row>
    <row r="160" spans="1:20">
      <c r="A160" s="174"/>
      <c r="B160" s="499">
        <v>52</v>
      </c>
      <c r="C160" s="6" t="s">
        <v>72</v>
      </c>
      <c r="D160" s="34" t="s">
        <v>126</v>
      </c>
      <c r="E160" s="174"/>
      <c r="F160" s="361">
        <v>902</v>
      </c>
      <c r="G160" s="109"/>
      <c r="P160" s="351">
        <v>3</v>
      </c>
      <c r="Q160" s="253">
        <v>1</v>
      </c>
      <c r="R160" s="287">
        <f>Elec_Est!R158</f>
        <v>0</v>
      </c>
      <c r="S160" s="388">
        <f t="shared" si="16"/>
        <v>0</v>
      </c>
      <c r="T160" s="287">
        <f>Elec_Est!T158</f>
        <v>0</v>
      </c>
    </row>
    <row r="161" spans="1:28">
      <c r="A161" s="174"/>
      <c r="B161" s="499">
        <v>53</v>
      </c>
      <c r="C161" s="6" t="s">
        <v>72</v>
      </c>
      <c r="D161" s="113" t="s">
        <v>127</v>
      </c>
      <c r="E161" s="174"/>
      <c r="F161" s="361">
        <v>960</v>
      </c>
      <c r="G161" s="109"/>
      <c r="P161" s="351">
        <v>4</v>
      </c>
      <c r="Q161" s="253">
        <v>1</v>
      </c>
      <c r="R161" s="287">
        <f>Elec_Est!R159</f>
        <v>0</v>
      </c>
      <c r="S161" s="388">
        <f t="shared" si="16"/>
        <v>0</v>
      </c>
      <c r="T161" s="287">
        <f>Elec_Est!T159</f>
        <v>0</v>
      </c>
    </row>
    <row r="162" spans="1:28">
      <c r="A162" s="174"/>
      <c r="B162" s="499">
        <v>54</v>
      </c>
      <c r="C162" s="6" t="s">
        <v>72</v>
      </c>
      <c r="D162" s="113" t="s">
        <v>128</v>
      </c>
      <c r="E162" s="174"/>
      <c r="F162" s="361">
        <v>961</v>
      </c>
      <c r="G162" s="109"/>
      <c r="P162" s="351">
        <v>3</v>
      </c>
      <c r="Q162" s="253">
        <v>1</v>
      </c>
      <c r="R162" s="287">
        <f>Elec_Est!R160</f>
        <v>0</v>
      </c>
      <c r="S162" s="388">
        <f t="shared" si="16"/>
        <v>0</v>
      </c>
      <c r="T162" s="287">
        <f>Elec_Est!T160</f>
        <v>0</v>
      </c>
    </row>
    <row r="163" spans="1:28">
      <c r="A163" s="174"/>
      <c r="B163" s="499">
        <v>55</v>
      </c>
      <c r="C163" s="6" t="s">
        <v>72</v>
      </c>
      <c r="D163" s="113" t="s">
        <v>129</v>
      </c>
      <c r="E163" s="174"/>
      <c r="F163" s="361">
        <v>962</v>
      </c>
      <c r="G163" s="109"/>
      <c r="P163" s="351">
        <v>1</v>
      </c>
      <c r="Q163" s="253">
        <v>1</v>
      </c>
      <c r="R163" s="287">
        <f>Elec_Est!R161</f>
        <v>0</v>
      </c>
      <c r="S163" s="388">
        <f t="shared" si="16"/>
        <v>0</v>
      </c>
      <c r="T163" s="287">
        <f>Elec_Est!T161</f>
        <v>0</v>
      </c>
    </row>
    <row r="164" spans="1:28">
      <c r="A164" s="174"/>
      <c r="B164" s="499">
        <v>56</v>
      </c>
      <c r="C164" s="6" t="s">
        <v>72</v>
      </c>
      <c r="D164" s="254" t="s">
        <v>130</v>
      </c>
      <c r="E164" s="174"/>
      <c r="F164" s="361">
        <v>970</v>
      </c>
      <c r="G164" s="255"/>
      <c r="H164" s="103"/>
      <c r="I164" s="103"/>
      <c r="J164" s="256"/>
      <c r="K164" s="256"/>
      <c r="L164" s="256"/>
      <c r="M164" s="256"/>
      <c r="N164" s="256"/>
      <c r="O164" s="256"/>
      <c r="P164" s="352">
        <v>4</v>
      </c>
      <c r="Q164" s="257">
        <v>1</v>
      </c>
      <c r="R164" s="287">
        <f>Elec_Est!R162</f>
        <v>0</v>
      </c>
      <c r="S164" s="388">
        <f t="shared" si="16"/>
        <v>0</v>
      </c>
      <c r="T164" s="287">
        <f>Elec_Est!T162</f>
        <v>0</v>
      </c>
    </row>
    <row r="165" spans="1:28" ht="13.8" thickBot="1">
      <c r="A165" s="174"/>
      <c r="B165" s="360"/>
      <c r="C165" s="258"/>
      <c r="D165" s="259" t="s">
        <v>173</v>
      </c>
      <c r="E165" s="260"/>
      <c r="F165" s="131"/>
      <c r="G165" s="118"/>
      <c r="H165" s="118"/>
      <c r="I165" s="118"/>
      <c r="J165" s="261"/>
      <c r="K165" s="261"/>
      <c r="L165" s="261"/>
      <c r="M165" s="261"/>
      <c r="N165" s="261"/>
      <c r="O165" s="261"/>
      <c r="P165" s="261"/>
      <c r="Q165" s="262"/>
      <c r="R165" s="286">
        <f>SUM(R109:R164)</f>
        <v>190.92</v>
      </c>
      <c r="S165" s="286">
        <f>SUM(S109:S164)</f>
        <v>77.986400000000003</v>
      </c>
      <c r="T165" s="286">
        <f>SUM(T109:T164)</f>
        <v>2.84</v>
      </c>
    </row>
    <row r="166" spans="1:28" ht="14.4" hidden="1" thickTop="1">
      <c r="A166" s="108"/>
      <c r="B166" s="349"/>
      <c r="C166" s="6" t="s">
        <v>72</v>
      </c>
      <c r="D166" s="124"/>
      <c r="F166" s="125" t="s">
        <v>158</v>
      </c>
      <c r="G166" s="126"/>
      <c r="H166" s="34">
        <v>1</v>
      </c>
      <c r="O166" s="110"/>
      <c r="R166" s="357">
        <f>SUMIF($P109:$P164,1,R109:R164)</f>
        <v>4.32</v>
      </c>
      <c r="T166" s="355">
        <f>SUMIF($P109:$P164,1,T109:T164)</f>
        <v>1.04</v>
      </c>
      <c r="V166" s="320"/>
      <c r="W166" s="320"/>
      <c r="X166" s="320"/>
      <c r="Y166" s="320"/>
      <c r="Z166" s="320"/>
      <c r="AA166" s="320"/>
      <c r="AB166" s="320"/>
    </row>
    <row r="167" spans="1:28" ht="13.8" hidden="1">
      <c r="A167" s="108"/>
      <c r="B167" s="200"/>
      <c r="C167" s="6" t="s">
        <v>72</v>
      </c>
      <c r="D167" s="124"/>
      <c r="F167" s="125" t="s">
        <v>159</v>
      </c>
      <c r="G167" s="126"/>
      <c r="H167" s="34">
        <v>2</v>
      </c>
      <c r="O167" s="110"/>
      <c r="R167" s="357">
        <f>SUMIF($P109:$P164,2,R109:R164)</f>
        <v>186.6</v>
      </c>
      <c r="T167" s="356">
        <f>SUMIF($P109:$P164,2,T109:T164)</f>
        <v>0.30000000000000004</v>
      </c>
      <c r="V167" s="320"/>
      <c r="W167" s="320"/>
      <c r="X167" s="320"/>
      <c r="Y167" s="320"/>
      <c r="Z167" s="320"/>
      <c r="AA167" s="320"/>
      <c r="AB167" s="320"/>
    </row>
    <row r="168" spans="1:28" ht="13.8" hidden="1">
      <c r="A168" s="108"/>
      <c r="B168" s="200"/>
      <c r="C168" s="6" t="s">
        <v>72</v>
      </c>
      <c r="D168" s="124"/>
      <c r="F168" s="125" t="s">
        <v>160</v>
      </c>
      <c r="G168" s="126"/>
      <c r="H168" s="34">
        <v>2</v>
      </c>
      <c r="O168" s="110"/>
      <c r="R168" s="357">
        <f>SUMIF($P109:$P164,3,R109:R164)</f>
        <v>0</v>
      </c>
      <c r="T168" s="356">
        <f>SUMIF($P109:$P164,3,T109:T164)</f>
        <v>1.5</v>
      </c>
      <c r="V168" s="320"/>
      <c r="W168" s="320"/>
      <c r="X168" s="320"/>
      <c r="Y168" s="320"/>
      <c r="Z168" s="320"/>
      <c r="AA168" s="320"/>
      <c r="AB168" s="320"/>
    </row>
    <row r="169" spans="1:28" ht="13.8" hidden="1">
      <c r="A169" s="108"/>
      <c r="B169" s="200"/>
      <c r="C169" s="6" t="s">
        <v>72</v>
      </c>
      <c r="D169" s="124"/>
      <c r="F169" s="125" t="s">
        <v>161</v>
      </c>
      <c r="G169" s="126"/>
      <c r="H169" s="34">
        <v>3</v>
      </c>
      <c r="O169" s="110"/>
      <c r="R169" s="357">
        <f>SUMIF($P109:$P164,4,R109:R164)</f>
        <v>0</v>
      </c>
      <c r="T169" s="356">
        <f>SUMIF($P109:$P164,4,T109:T164)</f>
        <v>0</v>
      </c>
      <c r="V169" s="320"/>
      <c r="W169" s="320"/>
      <c r="X169" s="320"/>
      <c r="Y169" s="320"/>
      <c r="Z169" s="320"/>
      <c r="AA169" s="320"/>
      <c r="AB169" s="320"/>
    </row>
    <row r="170" spans="1:28" ht="14.4" hidden="1" thickBot="1">
      <c r="A170" s="108"/>
      <c r="B170" s="350"/>
      <c r="C170" s="116" t="s">
        <v>72</v>
      </c>
      <c r="D170" s="128"/>
      <c r="E170" s="118"/>
      <c r="F170" s="129" t="s">
        <v>162</v>
      </c>
      <c r="G170" s="130"/>
      <c r="H170" s="131"/>
      <c r="I170" s="131"/>
      <c r="J170" s="131"/>
      <c r="K170" s="131"/>
      <c r="L170" s="131"/>
      <c r="M170" s="131"/>
      <c r="N170" s="131"/>
      <c r="O170" s="132"/>
      <c r="P170" s="131"/>
      <c r="Q170" s="131"/>
      <c r="R170" s="358">
        <f>SUM(R166:R169)</f>
        <v>190.92</v>
      </c>
      <c r="S170" s="134"/>
      <c r="T170" s="359">
        <f>SUM(T166:T169)</f>
        <v>2.84</v>
      </c>
      <c r="V170" s="320"/>
      <c r="W170" s="320"/>
      <c r="X170" s="320"/>
      <c r="Y170" s="320"/>
      <c r="Z170" s="320"/>
      <c r="AA170" s="320"/>
      <c r="AB170" s="320"/>
    </row>
    <row r="171" spans="1:28" ht="14.4" thickTop="1">
      <c r="B171" s="34"/>
      <c r="E171" s="156"/>
      <c r="F171" s="157"/>
      <c r="G171" s="141"/>
      <c r="H171" s="141"/>
      <c r="I171" s="141"/>
      <c r="J171" s="141"/>
      <c r="K171" s="141"/>
      <c r="L171" s="141"/>
      <c r="M171" s="141"/>
      <c r="N171" s="141"/>
      <c r="O171" s="141"/>
      <c r="P171" s="141"/>
      <c r="Q171" s="157"/>
      <c r="R171" s="157"/>
      <c r="S171" s="157"/>
      <c r="T171" s="157"/>
    </row>
    <row r="172" spans="1:28">
      <c r="C172" s="32"/>
      <c r="D172" s="32"/>
      <c r="E172" s="32"/>
      <c r="F172" s="32"/>
      <c r="G172" s="32"/>
      <c r="J172" s="32"/>
      <c r="K172" s="32"/>
      <c r="L172" s="32"/>
      <c r="M172" s="32"/>
      <c r="N172" s="32"/>
      <c r="O172" s="32"/>
      <c r="P172" s="32"/>
      <c r="Q172" s="32"/>
      <c r="R172" s="32"/>
      <c r="S172" s="32"/>
      <c r="T172" s="32"/>
    </row>
    <row r="173" spans="1:28">
      <c r="D173" s="34" t="s">
        <v>57</v>
      </c>
      <c r="E173" s="9"/>
      <c r="F173" s="151"/>
      <c r="G173" s="2"/>
      <c r="S173" s="31"/>
      <c r="T173" s="31"/>
    </row>
    <row r="174" spans="1:28" ht="15.6">
      <c r="D174" s="216" t="s">
        <v>455</v>
      </c>
    </row>
    <row r="175" spans="1:28">
      <c r="D175" s="263">
        <f>D95</f>
        <v>0</v>
      </c>
    </row>
    <row r="176" spans="1:28">
      <c r="A176" s="32"/>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4"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555" yWindow="397" count="8">
    <dataValidation type="list" allowBlank="1" showInputMessage="1" showErrorMessage="1" sqref="D8" xr:uid="{00000000-0002-0000-0100-000000000000}">
      <formula1>"K.Asciak,G.Grima,M.Scicluna,M.Falzon,M.Vella,T.Sammut,R.Farrugia,A.Montebello,A.Vella,J.Gatt,J.Grech,S.James,K.Galea,F.Vella"</formula1>
    </dataValidation>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EB1995E6-72CB-45A7-8C80-46ECC8547A20}">
      <formula1>"27.46,24.50,23.95,22.96,23.02,23.52,22.42,21.57,24.39,23.36,23.23,24.10,23.75,26.30,not used"</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60"/>
  <sheetViews>
    <sheetView topLeftCell="A14" workbookViewId="0">
      <selection activeCell="Q21" sqref="Q21"/>
    </sheetView>
  </sheetViews>
  <sheetFormatPr defaultColWidth="9.109375" defaultRowHeight="13.2"/>
  <cols>
    <col min="1" max="1" width="4.6640625" style="586" customWidth="1"/>
    <col min="2" max="2" width="6.109375" style="586" customWidth="1"/>
    <col min="3" max="3" width="3.88671875" style="586" hidden="1" customWidth="1"/>
    <col min="4" max="4" width="15.6640625" style="586" customWidth="1"/>
    <col min="5" max="6" width="12.6640625" style="586" customWidth="1"/>
    <col min="7" max="7" width="9.6640625" style="586" hidden="1" customWidth="1"/>
    <col min="8" max="8" width="7.6640625" style="586" hidden="1" customWidth="1"/>
    <col min="9" max="11" width="8.6640625" style="586" hidden="1" customWidth="1"/>
    <col min="12" max="12" width="6.6640625" style="586" hidden="1" customWidth="1"/>
    <col min="13" max="16" width="8.6640625" style="586" hidden="1" customWidth="1"/>
    <col min="17" max="17" width="12.88671875" style="586" customWidth="1"/>
    <col min="18" max="18" width="8.6640625" style="586" customWidth="1"/>
    <col min="19" max="19" width="10.109375" style="586" customWidth="1"/>
    <col min="20" max="20" width="8.33203125" style="586" customWidth="1"/>
    <col min="21" max="16384" width="9.109375" style="586"/>
  </cols>
  <sheetData>
    <row r="1" spans="1:21" s="58" customFormat="1" ht="28.8">
      <c r="A1" s="752" t="str">
        <f>IF(AND(UPPER(LEFT(TRIM($D$8),11))="01",UPPER(LEFT(TRIM($D$9),3))&lt;&gt;"ELM"),"PANTA RETAIL LTD.","PANTA CONTRACTING LIMITED")</f>
        <v>PANTA CONTRACTING LIMITED</v>
      </c>
      <c r="B1" s="752"/>
      <c r="C1" s="752"/>
      <c r="D1" s="752"/>
      <c r="E1" s="752"/>
      <c r="F1" s="752"/>
      <c r="G1" s="752"/>
      <c r="H1" s="752"/>
      <c r="I1" s="752"/>
      <c r="J1" s="752"/>
      <c r="K1" s="752"/>
      <c r="L1" s="752"/>
      <c r="M1" s="752"/>
      <c r="N1" s="752"/>
      <c r="O1" s="752"/>
      <c r="P1" s="752"/>
      <c r="Q1" s="752"/>
      <c r="R1" s="752"/>
      <c r="S1" s="752"/>
      <c r="T1" s="752"/>
      <c r="U1" s="584"/>
    </row>
    <row r="2" spans="1:21" s="58" customFormat="1" ht="17.399999999999999">
      <c r="A2" s="753" t="str">
        <f>IF(UPPER(LEFT(TRIM($D$9),3))="ELM","ELEC-FOR-MECH INTERNAL QUOTATION","ELECTRICAL INTERNAL QUOTATION")</f>
        <v>ELEC-FOR-MECH INTERNAL QUOTATION</v>
      </c>
      <c r="B2" s="753"/>
      <c r="C2" s="753"/>
      <c r="D2" s="753"/>
      <c r="E2" s="753"/>
      <c r="F2" s="753"/>
      <c r="G2" s="753"/>
      <c r="H2" s="753"/>
      <c r="I2" s="753"/>
      <c r="J2" s="753"/>
      <c r="K2" s="753"/>
      <c r="L2" s="753"/>
      <c r="M2" s="753"/>
      <c r="N2" s="753"/>
      <c r="O2" s="753"/>
      <c r="P2" s="753"/>
      <c r="Q2" s="753"/>
      <c r="R2" s="753"/>
      <c r="S2" s="753"/>
      <c r="T2" s="753"/>
    </row>
    <row r="3" spans="1:21" s="58" customFormat="1">
      <c r="A3" s="32"/>
      <c r="B3" s="585"/>
      <c r="C3" s="32"/>
      <c r="D3" s="32"/>
      <c r="E3" s="32"/>
      <c r="F3" s="32"/>
      <c r="G3" s="586"/>
      <c r="H3" s="586"/>
      <c r="I3" s="586"/>
      <c r="J3" s="586"/>
      <c r="K3" s="32"/>
      <c r="Q3" s="32"/>
      <c r="R3" s="32"/>
      <c r="S3" s="32"/>
      <c r="T3" s="32"/>
    </row>
    <row r="4" spans="1:21" s="58" customFormat="1">
      <c r="A4" s="586"/>
      <c r="B4" s="586"/>
      <c r="C4" s="586"/>
      <c r="D4" s="586"/>
      <c r="E4" s="586"/>
      <c r="F4" s="586"/>
      <c r="G4" s="586"/>
      <c r="H4" s="586"/>
      <c r="I4" s="586"/>
      <c r="J4" s="586"/>
      <c r="K4" s="586"/>
      <c r="L4" s="586"/>
      <c r="M4" s="586"/>
      <c r="N4" s="586"/>
      <c r="O4" s="586"/>
      <c r="P4" s="586"/>
      <c r="Q4" s="586"/>
      <c r="R4" s="586"/>
      <c r="S4" s="586"/>
      <c r="T4" s="586"/>
    </row>
    <row r="5" spans="1:21" s="58" customFormat="1">
      <c r="A5" s="32"/>
      <c r="B5" s="420" t="s">
        <v>222</v>
      </c>
      <c r="C5" s="586"/>
      <c r="D5" s="421" t="s">
        <v>422</v>
      </c>
      <c r="E5" s="586"/>
      <c r="F5" s="586"/>
      <c r="G5" s="256"/>
      <c r="H5" s="256"/>
      <c r="I5" s="587"/>
      <c r="J5" s="587"/>
      <c r="K5" s="256"/>
      <c r="L5" s="588"/>
      <c r="M5" s="588"/>
      <c r="N5" s="588"/>
      <c r="O5" s="588"/>
      <c r="P5" s="588"/>
      <c r="Q5" s="586"/>
      <c r="R5" s="589" t="s">
        <v>182</v>
      </c>
      <c r="S5" s="590">
        <f ca="1">NOW()</f>
        <v>45971.673972453704</v>
      </c>
      <c r="T5" s="586"/>
    </row>
    <row r="6" spans="1:21" s="58" customFormat="1" ht="13.8">
      <c r="A6" s="591"/>
      <c r="B6" s="591" t="s">
        <v>0</v>
      </c>
      <c r="C6" s="422" t="s">
        <v>223</v>
      </c>
      <c r="D6" s="32" t="str">
        <f>ML_Sum!D1</f>
        <v>SUNCREST HOTELS plc</v>
      </c>
      <c r="E6" s="32"/>
      <c r="F6" s="32"/>
      <c r="G6" s="586"/>
      <c r="H6" s="586"/>
      <c r="I6" s="586"/>
      <c r="J6" s="586"/>
      <c r="K6" s="32"/>
      <c r="Q6" s="32"/>
      <c r="R6" s="586"/>
      <c r="S6" s="586"/>
      <c r="T6" s="586"/>
    </row>
    <row r="7" spans="1:21" s="58" customFormat="1" ht="13.8">
      <c r="A7" s="591"/>
      <c r="B7" s="591" t="s">
        <v>2</v>
      </c>
      <c r="C7" s="422" t="s">
        <v>224</v>
      </c>
      <c r="D7" s="32" t="str">
        <f>ML_Sum!D2</f>
        <v>Sunny Cost and Lido Redevelopment</v>
      </c>
      <c r="E7" s="32"/>
      <c r="F7" s="32"/>
      <c r="G7" s="586"/>
      <c r="H7" s="586"/>
      <c r="I7" s="586"/>
      <c r="J7" s="586"/>
      <c r="K7" s="32"/>
      <c r="Q7" s="32"/>
      <c r="R7" s="586"/>
      <c r="S7" s="586"/>
      <c r="T7" s="586"/>
    </row>
    <row r="8" spans="1:21" s="58" customFormat="1" ht="13.8">
      <c r="A8" s="591"/>
      <c r="B8" s="591" t="s">
        <v>4</v>
      </c>
      <c r="C8" s="422" t="s">
        <v>225</v>
      </c>
      <c r="D8" s="32" t="str">
        <f>ML_Sum!D3</f>
        <v>Sample Room - Electrical for Mechanical</v>
      </c>
      <c r="E8" s="32"/>
      <c r="F8" s="32"/>
      <c r="G8" s="586"/>
      <c r="H8" s="586"/>
      <c r="I8" s="586"/>
      <c r="J8" s="586"/>
      <c r="K8" s="32"/>
      <c r="Q8" s="32"/>
      <c r="R8" s="586"/>
      <c r="S8" s="586"/>
      <c r="T8" s="586"/>
    </row>
    <row r="9" spans="1:21" s="58" customFormat="1" ht="13.8">
      <c r="A9" s="586"/>
      <c r="B9" s="420" t="s">
        <v>6</v>
      </c>
      <c r="C9" s="422" t="s">
        <v>226</v>
      </c>
      <c r="D9" s="32" t="str">
        <f>ML_Sum!D4</f>
        <v>ELM25-0699</v>
      </c>
      <c r="E9" s="32"/>
      <c r="F9" s="32"/>
      <c r="G9" s="586"/>
      <c r="H9" s="586"/>
      <c r="I9" s="586"/>
      <c r="J9" s="586"/>
      <c r="K9" s="32"/>
      <c r="Q9" s="32"/>
      <c r="R9" s="32"/>
      <c r="S9" s="32"/>
      <c r="T9" s="32"/>
    </row>
    <row r="10" spans="1:21" s="58" customFormat="1" ht="13.8">
      <c r="A10" s="586"/>
      <c r="B10" s="592" t="s">
        <v>174</v>
      </c>
      <c r="C10" s="422" t="s">
        <v>227</v>
      </c>
      <c r="D10" s="32" t="str">
        <f>ML_Sum!D5</f>
        <v>Sample Room</v>
      </c>
      <c r="E10" s="586"/>
      <c r="F10" s="586"/>
      <c r="G10" s="586"/>
      <c r="H10" s="586"/>
      <c r="I10" s="586"/>
      <c r="J10" s="586"/>
      <c r="K10" s="586"/>
      <c r="L10" s="586"/>
      <c r="M10" s="586"/>
      <c r="N10" s="586"/>
      <c r="O10" s="586"/>
      <c r="P10" s="586"/>
      <c r="Q10" s="586"/>
      <c r="R10" s="586"/>
      <c r="S10" s="586"/>
      <c r="T10" s="586"/>
    </row>
    <row r="11" spans="1:21" s="58" customFormat="1">
      <c r="A11" s="586"/>
      <c r="B11" s="586"/>
      <c r="C11" s="256"/>
      <c r="D11" s="586"/>
      <c r="E11" s="586"/>
      <c r="F11" s="586"/>
      <c r="G11" s="586"/>
      <c r="H11" s="586"/>
      <c r="I11" s="586"/>
      <c r="J11" s="586"/>
      <c r="K11" s="586"/>
      <c r="L11" s="586"/>
      <c r="M11" s="586"/>
      <c r="N11" s="586"/>
      <c r="O11" s="586"/>
      <c r="P11" s="586"/>
      <c r="Q11" s="586"/>
      <c r="R11" s="586"/>
      <c r="S11" s="586"/>
      <c r="T11" s="586"/>
    </row>
    <row r="12" spans="1:21" s="58" customFormat="1">
      <c r="A12" s="32"/>
      <c r="B12" s="32"/>
      <c r="C12" s="32"/>
      <c r="D12" s="586"/>
      <c r="E12" s="586"/>
      <c r="F12" s="586"/>
      <c r="G12" s="586"/>
      <c r="H12" s="586"/>
      <c r="I12" s="586"/>
      <c r="J12" s="586"/>
      <c r="K12" s="586"/>
      <c r="L12" s="586"/>
      <c r="M12" s="586"/>
      <c r="N12" s="586"/>
      <c r="O12" s="586"/>
      <c r="P12" s="586"/>
      <c r="Q12" s="586"/>
      <c r="R12" s="586"/>
      <c r="S12" s="586"/>
      <c r="T12" s="586"/>
    </row>
    <row r="13" spans="1:21" s="58" customFormat="1">
      <c r="A13" s="32"/>
      <c r="B13" s="32"/>
      <c r="C13" s="32"/>
      <c r="D13" s="586"/>
      <c r="E13" s="586"/>
      <c r="F13" s="586"/>
      <c r="G13" s="586"/>
      <c r="H13" s="586"/>
      <c r="I13" s="586"/>
      <c r="J13" s="586"/>
      <c r="K13" s="586"/>
      <c r="L13" s="586"/>
      <c r="M13" s="586"/>
      <c r="N13" s="586"/>
      <c r="O13" s="586"/>
      <c r="P13" s="586"/>
      <c r="Q13" s="586"/>
      <c r="R13" s="586"/>
      <c r="S13" s="586"/>
      <c r="T13" s="586"/>
    </row>
    <row r="14" spans="1:21" s="58" customFormat="1">
      <c r="A14" s="32"/>
      <c r="B14" s="32"/>
      <c r="C14" s="32"/>
      <c r="D14" s="586"/>
      <c r="E14" s="586"/>
      <c r="F14" s="586"/>
      <c r="G14" s="586"/>
      <c r="H14" s="586"/>
      <c r="I14" s="586"/>
      <c r="J14" s="586"/>
      <c r="K14" s="586"/>
      <c r="L14" s="586"/>
      <c r="M14" s="586"/>
      <c r="N14" s="586"/>
      <c r="O14" s="586"/>
      <c r="P14" s="586"/>
      <c r="Q14" s="586"/>
      <c r="R14" s="586"/>
      <c r="S14" s="586"/>
      <c r="T14" s="586"/>
    </row>
    <row r="15" spans="1:21" s="58" customFormat="1">
      <c r="A15" s="423"/>
      <c r="B15" s="32"/>
      <c r="C15" s="32"/>
      <c r="D15" s="586"/>
      <c r="E15" s="586"/>
      <c r="F15" s="586"/>
      <c r="G15" s="586"/>
      <c r="H15" s="586"/>
      <c r="I15" s="586"/>
      <c r="J15" s="586"/>
      <c r="K15" s="586"/>
      <c r="L15" s="586"/>
      <c r="M15" s="586"/>
      <c r="N15" s="586"/>
      <c r="O15" s="586"/>
      <c r="P15" s="586"/>
      <c r="Q15" s="586"/>
      <c r="R15" s="586"/>
      <c r="S15" s="586"/>
      <c r="T15" s="586"/>
    </row>
    <row r="16" spans="1:21" s="58" customFormat="1">
      <c r="A16" s="32"/>
      <c r="B16" s="32"/>
      <c r="C16" s="32"/>
      <c r="D16" s="32"/>
      <c r="E16" s="32"/>
      <c r="F16" s="32"/>
      <c r="G16" s="586"/>
      <c r="H16" s="586"/>
      <c r="I16" s="586"/>
      <c r="J16" s="586"/>
      <c r="K16" s="32"/>
      <c r="Q16" s="32"/>
      <c r="R16" s="32"/>
      <c r="S16" s="32"/>
      <c r="T16" s="32"/>
    </row>
    <row r="17" spans="1:20" s="58" customFormat="1">
      <c r="A17" s="32"/>
      <c r="B17" s="32"/>
      <c r="C17" s="32"/>
      <c r="D17" s="32"/>
      <c r="E17" s="32"/>
      <c r="F17" s="32"/>
      <c r="G17" s="586"/>
      <c r="H17" s="586"/>
      <c r="I17" s="586"/>
      <c r="J17" s="586"/>
      <c r="K17" s="32"/>
      <c r="Q17" s="32"/>
      <c r="R17" s="32"/>
      <c r="S17" s="32"/>
      <c r="T17" s="32"/>
    </row>
    <row r="18" spans="1:20" s="58" customFormat="1">
      <c r="A18" s="32"/>
      <c r="B18" s="32"/>
      <c r="C18" s="32"/>
      <c r="D18" s="32"/>
      <c r="E18" s="32"/>
      <c r="F18" s="32"/>
      <c r="G18" s="586"/>
      <c r="H18" s="586"/>
      <c r="I18" s="586"/>
      <c r="J18" s="586"/>
      <c r="K18" s="32"/>
      <c r="Q18" s="32"/>
      <c r="R18" s="32"/>
      <c r="S18" s="32"/>
      <c r="T18" s="32"/>
    </row>
    <row r="19" spans="1:20" s="58" customFormat="1">
      <c r="A19" s="32"/>
      <c r="B19" s="32"/>
      <c r="C19" s="32"/>
      <c r="D19" s="32"/>
      <c r="E19" s="32"/>
      <c r="F19" s="32"/>
      <c r="G19" s="586"/>
      <c r="H19" s="586"/>
      <c r="I19" s="586"/>
      <c r="J19" s="586"/>
      <c r="K19" s="32"/>
      <c r="Q19" s="32"/>
      <c r="R19" s="32"/>
      <c r="S19" s="32"/>
      <c r="T19" s="32"/>
    </row>
    <row r="20" spans="1:20" s="58" customFormat="1">
      <c r="A20" s="32"/>
      <c r="B20" s="32"/>
      <c r="C20" s="32"/>
      <c r="D20" s="32"/>
      <c r="E20" s="32"/>
      <c r="F20" s="32"/>
      <c r="G20" s="586"/>
      <c r="H20" s="586"/>
      <c r="I20" s="586"/>
      <c r="J20" s="586"/>
      <c r="K20" s="32"/>
      <c r="Q20" s="32"/>
      <c r="R20" s="32"/>
      <c r="S20" s="32"/>
      <c r="T20" s="32"/>
    </row>
    <row r="21" spans="1:20" s="58" customFormat="1" ht="13.8">
      <c r="A21" s="586"/>
      <c r="B21" s="586"/>
      <c r="C21" s="586"/>
      <c r="D21" s="612" t="s">
        <v>268</v>
      </c>
      <c r="E21" s="444">
        <f ca="1">ML_Sum!R35</f>
        <v>190.92000000000002</v>
      </c>
      <c r="F21" s="422" t="str">
        <f>ML_Sum!D6</f>
        <v>VAT EXCL.</v>
      </c>
      <c r="G21" s="593" t="s">
        <v>183</v>
      </c>
      <c r="H21" s="593" t="s">
        <v>183</v>
      </c>
      <c r="I21" s="593" t="s">
        <v>183</v>
      </c>
      <c r="J21" s="593" t="s">
        <v>183</v>
      </c>
      <c r="K21" s="593" t="s">
        <v>183</v>
      </c>
      <c r="L21" s="593" t="s">
        <v>183</v>
      </c>
      <c r="M21" s="593" t="s">
        <v>183</v>
      </c>
      <c r="N21" s="593" t="s">
        <v>183</v>
      </c>
      <c r="O21" s="593" t="s">
        <v>183</v>
      </c>
      <c r="P21" s="593" t="s">
        <v>183</v>
      </c>
      <c r="Q21" s="594"/>
      <c r="R21" s="586"/>
      <c r="S21" s="586"/>
      <c r="T21" s="586"/>
    </row>
    <row r="22" spans="1:20" s="58" customFormat="1">
      <c r="A22" s="586"/>
      <c r="B22" s="586"/>
      <c r="C22" s="586"/>
      <c r="D22" s="612" t="s">
        <v>269</v>
      </c>
      <c r="E22" s="444">
        <f>ML_Sum!T35</f>
        <v>2.84</v>
      </c>
      <c r="F22" s="595"/>
      <c r="G22" s="594"/>
      <c r="H22" s="594"/>
      <c r="I22" s="594"/>
      <c r="J22" s="594"/>
      <c r="K22" s="594"/>
      <c r="L22" s="594"/>
      <c r="M22" s="594"/>
      <c r="N22" s="594"/>
      <c r="O22" s="594"/>
      <c r="P22" s="594"/>
      <c r="Q22" s="594"/>
      <c r="R22" s="32"/>
      <c r="S22" s="586"/>
      <c r="T22" s="32"/>
    </row>
    <row r="23" spans="1:20" s="58" customFormat="1">
      <c r="A23" s="586"/>
      <c r="B23" s="586"/>
      <c r="C23" s="586"/>
      <c r="D23" s="424"/>
      <c r="E23" s="595"/>
      <c r="F23" s="595"/>
      <c r="G23" s="594"/>
      <c r="H23" s="594"/>
      <c r="I23" s="594"/>
      <c r="J23" s="594"/>
      <c r="K23" s="594"/>
      <c r="L23" s="594"/>
      <c r="M23" s="594"/>
      <c r="N23" s="594"/>
      <c r="O23" s="594"/>
      <c r="P23" s="594"/>
      <c r="Q23" s="594"/>
      <c r="R23" s="32"/>
      <c r="S23" s="586"/>
      <c r="T23" s="32"/>
    </row>
    <row r="24" spans="1:20" s="58" customFormat="1">
      <c r="A24" s="586"/>
      <c r="B24" s="586"/>
      <c r="C24" s="586"/>
      <c r="D24" s="596"/>
      <c r="E24" s="594"/>
      <c r="F24" s="594"/>
      <c r="G24" s="594"/>
      <c r="H24" s="594"/>
      <c r="I24" s="594"/>
      <c r="J24" s="594"/>
      <c r="K24" s="594"/>
      <c r="L24" s="594"/>
      <c r="M24" s="594"/>
      <c r="N24" s="594"/>
      <c r="O24" s="594"/>
      <c r="P24" s="594"/>
      <c r="Q24" s="594"/>
      <c r="R24" s="32"/>
      <c r="S24" s="586"/>
      <c r="T24" s="32"/>
    </row>
    <row r="25" spans="1:20" s="58" customFormat="1">
      <c r="A25" s="425"/>
      <c r="B25" s="597"/>
      <c r="C25" s="597"/>
      <c r="D25" s="586"/>
      <c r="E25" s="586"/>
      <c r="F25" s="586"/>
      <c r="G25" s="586"/>
      <c r="H25" s="586"/>
      <c r="I25" s="586"/>
      <c r="J25" s="586"/>
      <c r="K25" s="586"/>
      <c r="L25" s="586"/>
      <c r="M25" s="586"/>
      <c r="N25" s="586"/>
      <c r="O25" s="586"/>
      <c r="P25" s="586"/>
      <c r="Q25" s="586"/>
      <c r="R25" s="32"/>
      <c r="S25" s="32"/>
      <c r="T25" s="32"/>
    </row>
    <row r="26" spans="1:20" s="58" customFormat="1">
      <c r="A26" s="421"/>
      <c r="B26" s="32"/>
      <c r="C26" s="32"/>
      <c r="D26" s="32"/>
      <c r="E26" s="32"/>
      <c r="F26" s="32"/>
      <c r="G26" s="586"/>
      <c r="H26" s="586"/>
      <c r="I26" s="586"/>
      <c r="J26" s="586"/>
      <c r="K26" s="32"/>
      <c r="Q26" s="32"/>
      <c r="R26" s="32"/>
      <c r="S26" s="32"/>
      <c r="T26" s="32"/>
    </row>
    <row r="27" spans="1:20" s="58" customFormat="1">
      <c r="A27" s="421"/>
      <c r="B27" s="32"/>
      <c r="C27" s="32"/>
      <c r="D27" s="32"/>
      <c r="E27" s="32"/>
      <c r="F27" s="32"/>
      <c r="G27" s="586"/>
      <c r="H27" s="586"/>
      <c r="I27" s="586"/>
      <c r="J27" s="586"/>
      <c r="K27" s="32"/>
      <c r="Q27" s="32"/>
      <c r="R27" s="32"/>
      <c r="S27" s="32"/>
      <c r="T27" s="32"/>
    </row>
    <row r="28" spans="1:20" s="58" customFormat="1">
      <c r="A28" s="421"/>
      <c r="B28" s="32"/>
      <c r="C28" s="32"/>
      <c r="D28" s="32"/>
      <c r="E28" s="32"/>
      <c r="F28" s="32"/>
      <c r="G28" s="586"/>
      <c r="H28" s="586"/>
      <c r="I28" s="586"/>
      <c r="J28" s="586"/>
      <c r="K28" s="32"/>
      <c r="Q28" s="32"/>
      <c r="R28" s="32"/>
      <c r="S28" s="32"/>
      <c r="T28" s="32"/>
    </row>
    <row r="29" spans="1:20" s="58" customFormat="1">
      <c r="A29" s="421"/>
      <c r="B29" s="32"/>
      <c r="C29" s="32"/>
      <c r="D29" s="32"/>
      <c r="E29" s="32"/>
      <c r="F29" s="32"/>
      <c r="G29" s="586"/>
      <c r="H29" s="586"/>
      <c r="I29" s="586"/>
      <c r="J29" s="586"/>
      <c r="K29" s="32"/>
      <c r="Q29" s="32"/>
      <c r="R29" s="32"/>
      <c r="S29" s="32"/>
      <c r="T29" s="32"/>
    </row>
    <row r="30" spans="1:20" s="58" customFormat="1">
      <c r="A30" s="421"/>
      <c r="B30" s="32"/>
      <c r="C30" s="32"/>
      <c r="D30" s="32"/>
      <c r="E30" s="32"/>
      <c r="F30" s="32"/>
      <c r="G30" s="586"/>
      <c r="H30" s="586"/>
      <c r="I30" s="586"/>
      <c r="J30" s="586"/>
      <c r="K30" s="32"/>
      <c r="Q30" s="32"/>
      <c r="R30" s="32"/>
      <c r="S30" s="32"/>
      <c r="T30" s="32"/>
    </row>
    <row r="31" spans="1:20" s="58" customFormat="1">
      <c r="A31" s="421"/>
      <c r="B31" s="32"/>
      <c r="C31" s="32"/>
      <c r="D31" s="32"/>
      <c r="E31" s="32"/>
      <c r="F31" s="32"/>
      <c r="G31" s="586"/>
      <c r="H31" s="586"/>
      <c r="I31" s="586"/>
      <c r="J31" s="586"/>
      <c r="K31" s="32"/>
      <c r="Q31" s="32"/>
      <c r="R31" s="32"/>
      <c r="S31" s="32"/>
      <c r="T31" s="32"/>
    </row>
    <row r="32" spans="1:20" s="58" customFormat="1">
      <c r="A32" s="421"/>
      <c r="B32" s="32"/>
      <c r="C32" s="32"/>
      <c r="D32" s="32"/>
      <c r="E32" s="32"/>
      <c r="F32" s="32"/>
      <c r="G32" s="586"/>
      <c r="H32" s="586"/>
      <c r="I32" s="586"/>
      <c r="J32" s="586"/>
      <c r="K32" s="32"/>
      <c r="Q32" s="32"/>
      <c r="R32" s="32"/>
      <c r="S32" s="32"/>
      <c r="T32" s="32"/>
    </row>
    <row r="33" spans="1:20" s="58" customFormat="1">
      <c r="A33" s="32"/>
      <c r="B33" s="32"/>
      <c r="C33" s="32"/>
      <c r="D33" s="32"/>
      <c r="E33" s="32"/>
      <c r="F33" s="32"/>
      <c r="G33" s="586"/>
      <c r="H33" s="586"/>
      <c r="I33" s="586"/>
      <c r="J33" s="586"/>
      <c r="K33" s="32"/>
      <c r="Q33" s="32"/>
      <c r="R33" s="32"/>
      <c r="S33" s="32"/>
      <c r="T33" s="32"/>
    </row>
    <row r="34" spans="1:20" s="58" customFormat="1">
      <c r="A34" s="586"/>
      <c r="B34" s="586"/>
      <c r="C34" s="586"/>
      <c r="D34" s="586"/>
      <c r="E34" s="586"/>
      <c r="F34" s="586"/>
      <c r="G34" s="586"/>
      <c r="H34" s="586"/>
      <c r="I34" s="586"/>
      <c r="J34" s="586"/>
      <c r="K34" s="586"/>
      <c r="L34" s="586"/>
      <c r="M34" s="586"/>
      <c r="N34" s="586"/>
      <c r="O34" s="586"/>
      <c r="P34" s="586"/>
      <c r="Q34" s="586"/>
      <c r="R34" s="586"/>
      <c r="S34" s="586"/>
      <c r="T34" s="586"/>
    </row>
    <row r="35" spans="1:20" s="58" customFormat="1">
      <c r="A35" s="586"/>
      <c r="B35" s="586"/>
      <c r="C35" s="586"/>
      <c r="D35" s="586"/>
      <c r="E35" s="586"/>
      <c r="F35" s="586"/>
      <c r="G35" s="586"/>
      <c r="H35" s="586"/>
      <c r="I35" s="586"/>
      <c r="J35" s="586"/>
      <c r="K35" s="586"/>
      <c r="L35" s="586"/>
      <c r="M35" s="586"/>
      <c r="N35" s="586"/>
      <c r="O35" s="586"/>
      <c r="P35" s="586"/>
      <c r="Q35" s="586"/>
      <c r="R35" s="586"/>
      <c r="S35" s="586"/>
      <c r="T35" s="586"/>
    </row>
    <row r="36" spans="1:20" s="58" customFormat="1">
      <c r="A36" s="586"/>
      <c r="B36" s="586"/>
      <c r="C36" s="586"/>
      <c r="D36" s="586"/>
      <c r="E36" s="586"/>
      <c r="F36" s="586"/>
      <c r="G36" s="586"/>
      <c r="H36" s="586"/>
      <c r="I36" s="586"/>
      <c r="J36" s="586"/>
      <c r="K36" s="586"/>
      <c r="L36" s="586"/>
      <c r="M36" s="586"/>
      <c r="N36" s="586"/>
      <c r="O36" s="586"/>
      <c r="P36" s="586"/>
      <c r="Q36" s="586"/>
      <c r="R36" s="586"/>
      <c r="S36" s="586"/>
      <c r="T36" s="586"/>
    </row>
    <row r="37" spans="1:20" s="58" customFormat="1">
      <c r="A37" s="32"/>
      <c r="B37" s="32"/>
      <c r="C37" s="32"/>
      <c r="D37" s="32"/>
      <c r="E37" s="32"/>
      <c r="F37" s="32"/>
      <c r="G37" s="586"/>
      <c r="H37" s="586"/>
      <c r="I37" s="586"/>
      <c r="J37" s="586"/>
      <c r="K37" s="32"/>
      <c r="Q37" s="32"/>
      <c r="R37" s="32"/>
      <c r="S37" s="32"/>
      <c r="T37" s="32"/>
    </row>
    <row r="38" spans="1:20" s="58" customFormat="1">
      <c r="A38" s="423"/>
      <c r="B38" s="598"/>
      <c r="C38" s="32"/>
      <c r="D38" s="32"/>
      <c r="E38" s="32"/>
      <c r="F38" s="32"/>
      <c r="G38" s="586"/>
      <c r="H38" s="586"/>
      <c r="I38" s="586"/>
      <c r="J38" s="586"/>
      <c r="K38" s="32"/>
      <c r="Q38" s="32"/>
      <c r="R38" s="32"/>
      <c r="S38" s="32"/>
      <c r="T38" s="32"/>
    </row>
    <row r="39" spans="1:20" s="58" customFormat="1">
      <c r="A39" s="421"/>
      <c r="B39" s="32"/>
      <c r="C39" s="32"/>
      <c r="D39" s="32"/>
      <c r="E39" s="32"/>
      <c r="F39" s="32"/>
      <c r="G39" s="586"/>
      <c r="H39" s="586"/>
      <c r="I39" s="586"/>
      <c r="J39" s="586"/>
      <c r="K39" s="32"/>
      <c r="Q39" s="32"/>
      <c r="R39" s="32"/>
      <c r="S39" s="32"/>
      <c r="T39" s="32"/>
    </row>
    <row r="40" spans="1:20" s="58" customFormat="1">
      <c r="A40" s="421"/>
      <c r="B40" s="32"/>
      <c r="C40" s="32"/>
      <c r="D40" s="32"/>
      <c r="E40" s="32"/>
      <c r="F40" s="32"/>
      <c r="G40" s="586"/>
      <c r="H40" s="586"/>
      <c r="I40" s="586"/>
      <c r="J40" s="586"/>
      <c r="K40" s="32"/>
      <c r="Q40" s="32"/>
      <c r="R40" s="32"/>
      <c r="S40" s="32"/>
      <c r="T40" s="32"/>
    </row>
    <row r="41" spans="1:20" s="58" customFormat="1">
      <c r="A41" s="421"/>
      <c r="B41" s="32"/>
      <c r="C41" s="32"/>
      <c r="D41" s="32"/>
      <c r="E41" s="32"/>
      <c r="F41" s="32"/>
      <c r="G41" s="586"/>
      <c r="H41" s="586"/>
      <c r="I41" s="586"/>
      <c r="J41" s="586"/>
      <c r="K41" s="32"/>
      <c r="Q41" s="32"/>
      <c r="R41" s="32"/>
      <c r="S41" s="32"/>
      <c r="T41" s="32"/>
    </row>
    <row r="42" spans="1:20" s="58" customFormat="1">
      <c r="A42" s="421"/>
      <c r="B42" s="32"/>
      <c r="C42" s="32"/>
      <c r="D42" s="32"/>
      <c r="E42" s="32"/>
      <c r="F42" s="32"/>
      <c r="G42" s="586"/>
      <c r="H42" s="586"/>
      <c r="I42" s="586"/>
      <c r="J42" s="586"/>
      <c r="K42" s="32"/>
      <c r="Q42" s="32"/>
      <c r="R42" s="32"/>
      <c r="S42" s="32"/>
      <c r="T42" s="32"/>
    </row>
    <row r="43" spans="1:20" s="58" customFormat="1">
      <c r="A43" s="421"/>
      <c r="B43" s="32"/>
      <c r="C43" s="32"/>
      <c r="D43" s="32"/>
      <c r="E43" s="32"/>
      <c r="F43" s="32"/>
      <c r="G43" s="586"/>
      <c r="H43" s="586"/>
      <c r="I43" s="586"/>
      <c r="J43" s="586"/>
      <c r="K43" s="32"/>
      <c r="Q43" s="32"/>
      <c r="R43" s="32"/>
      <c r="S43" s="32"/>
      <c r="T43" s="32"/>
    </row>
    <row r="44" spans="1:20" s="58" customFormat="1">
      <c r="A44" s="421"/>
      <c r="B44" s="32"/>
      <c r="C44" s="32"/>
      <c r="D44" s="32"/>
      <c r="E44" s="32"/>
      <c r="F44" s="32"/>
      <c r="G44" s="586"/>
      <c r="H44" s="586"/>
      <c r="I44" s="586"/>
      <c r="J44" s="586"/>
      <c r="K44" s="32"/>
      <c r="Q44" s="32"/>
      <c r="R44" s="32"/>
      <c r="S44" s="32"/>
      <c r="T44" s="32"/>
    </row>
    <row r="45" spans="1:20" s="58" customFormat="1">
      <c r="A45" s="421"/>
      <c r="B45" s="32"/>
      <c r="C45" s="32"/>
      <c r="D45" s="32"/>
      <c r="E45" s="32"/>
      <c r="F45" s="32"/>
      <c r="G45" s="586"/>
      <c r="H45" s="586"/>
      <c r="I45" s="586"/>
      <c r="J45" s="586"/>
      <c r="K45" s="32"/>
      <c r="Q45" s="32"/>
      <c r="R45" s="32"/>
      <c r="S45" s="32"/>
      <c r="T45" s="32"/>
    </row>
    <row r="46" spans="1:20" s="58" customFormat="1">
      <c r="A46" s="421"/>
      <c r="B46" s="32"/>
      <c r="C46" s="32"/>
      <c r="D46" s="32"/>
      <c r="E46" s="32"/>
      <c r="F46" s="32"/>
      <c r="G46" s="586"/>
      <c r="H46" s="586"/>
      <c r="I46" s="586"/>
      <c r="J46" s="586"/>
      <c r="K46" s="32"/>
      <c r="Q46" s="32"/>
      <c r="R46" s="32"/>
      <c r="S46" s="32"/>
      <c r="T46" s="32"/>
    </row>
    <row r="47" spans="1:20" s="58" customFormat="1">
      <c r="A47" s="421"/>
      <c r="B47" s="32"/>
      <c r="C47" s="32"/>
      <c r="D47" s="32"/>
      <c r="E47" s="32"/>
      <c r="F47" s="32"/>
      <c r="G47" s="586"/>
      <c r="H47" s="586"/>
      <c r="I47" s="586"/>
      <c r="J47" s="586"/>
      <c r="K47" s="32"/>
      <c r="Q47" s="32"/>
      <c r="R47" s="32"/>
      <c r="S47" s="32"/>
      <c r="T47" s="32"/>
    </row>
    <row r="48" spans="1:20" s="58" customFormat="1">
      <c r="A48" s="32"/>
      <c r="B48" s="32"/>
      <c r="C48" s="32"/>
      <c r="D48" s="32"/>
      <c r="E48" s="32"/>
      <c r="F48" s="32"/>
      <c r="G48" s="586"/>
      <c r="H48" s="586"/>
      <c r="I48" s="586"/>
      <c r="J48" s="586"/>
      <c r="K48" s="32"/>
      <c r="Q48" s="32"/>
      <c r="R48" s="32"/>
      <c r="S48" s="32"/>
      <c r="T48" s="32"/>
    </row>
    <row r="49" spans="1:20" s="58" customFormat="1">
      <c r="A49" s="32"/>
      <c r="B49" s="32"/>
      <c r="C49" s="32"/>
      <c r="D49" s="32"/>
      <c r="E49" s="32"/>
      <c r="F49" s="32"/>
      <c r="G49" s="586"/>
      <c r="H49" s="586"/>
      <c r="I49" s="586"/>
      <c r="J49" s="586"/>
      <c r="K49" s="32"/>
      <c r="Q49" s="32"/>
      <c r="R49" s="32"/>
      <c r="S49" s="32"/>
      <c r="T49" s="32"/>
    </row>
    <row r="50" spans="1:20" s="58" customFormat="1">
      <c r="A50" s="32"/>
      <c r="B50" s="32"/>
      <c r="C50" s="32"/>
      <c r="D50" s="32"/>
      <c r="E50" s="32"/>
      <c r="F50" s="32"/>
      <c r="G50" s="586"/>
      <c r="H50" s="586"/>
      <c r="I50" s="586"/>
      <c r="J50" s="586"/>
      <c r="K50" s="32"/>
      <c r="Q50" s="32"/>
      <c r="R50" s="32"/>
      <c r="S50" s="32"/>
      <c r="T50" s="32"/>
    </row>
    <row r="51" spans="1:20" s="58" customFormat="1">
      <c r="A51" s="32"/>
      <c r="B51" s="32"/>
      <c r="C51" s="32"/>
      <c r="D51" s="32"/>
      <c r="E51" s="32"/>
      <c r="F51" s="32"/>
      <c r="G51" s="586"/>
      <c r="H51" s="586"/>
      <c r="I51" s="586"/>
      <c r="J51" s="586"/>
      <c r="K51" s="32"/>
      <c r="Q51" s="32"/>
      <c r="R51" s="32"/>
      <c r="S51" s="32"/>
      <c r="T51" s="32"/>
    </row>
    <row r="52" spans="1:20" s="58" customFormat="1">
      <c r="A52" s="256"/>
      <c r="B52" s="256"/>
      <c r="C52" s="256"/>
      <c r="D52" s="32"/>
      <c r="E52" s="32"/>
      <c r="F52" s="32"/>
      <c r="G52" s="586"/>
      <c r="H52" s="586"/>
      <c r="I52" s="586"/>
      <c r="J52" s="586"/>
      <c r="K52" s="32"/>
      <c r="Q52" s="256"/>
      <c r="R52" s="256"/>
      <c r="S52" s="256"/>
      <c r="T52" s="32"/>
    </row>
    <row r="53" spans="1:20" s="58" customFormat="1">
      <c r="A53" s="32" t="s">
        <v>131</v>
      </c>
      <c r="B53" s="32"/>
      <c r="C53" s="32"/>
      <c r="D53" s="599"/>
      <c r="E53" s="32"/>
      <c r="F53" s="32"/>
      <c r="G53" s="586"/>
      <c r="H53" s="586"/>
      <c r="I53" s="586"/>
      <c r="J53" s="586"/>
      <c r="K53" s="32"/>
      <c r="Q53" s="32" t="s">
        <v>131</v>
      </c>
      <c r="R53" s="32"/>
      <c r="S53" s="32"/>
      <c r="T53" s="32"/>
    </row>
    <row r="54" spans="1:20" s="58" customFormat="1">
      <c r="A54" s="32" t="s">
        <v>132</v>
      </c>
      <c r="B54" s="32"/>
      <c r="C54" s="32"/>
      <c r="D54" s="32"/>
      <c r="E54" s="32"/>
      <c r="F54" s="32"/>
      <c r="G54" s="586"/>
      <c r="H54" s="586"/>
      <c r="I54" s="586"/>
      <c r="J54" s="586"/>
      <c r="K54" s="32"/>
      <c r="Q54" s="32" t="s">
        <v>184</v>
      </c>
      <c r="R54" s="32"/>
      <c r="S54" s="32"/>
      <c r="T54" s="32"/>
    </row>
    <row r="55" spans="1:20" s="58" customFormat="1" ht="13.8" thickBot="1">
      <c r="B55" s="32"/>
      <c r="C55" s="32"/>
      <c r="D55" s="32"/>
      <c r="E55" s="32"/>
      <c r="F55" s="32"/>
      <c r="G55" s="586"/>
      <c r="H55" s="586"/>
      <c r="I55" s="586"/>
      <c r="J55" s="586"/>
      <c r="K55" s="32"/>
      <c r="S55" s="32"/>
      <c r="T55" s="32"/>
    </row>
    <row r="56" spans="1:20" s="58" customFormat="1">
      <c r="B56" s="32"/>
      <c r="C56" s="32"/>
      <c r="D56" s="32"/>
      <c r="E56" s="32"/>
      <c r="F56" s="32"/>
      <c r="G56" s="586"/>
      <c r="H56" s="586"/>
      <c r="I56" s="586"/>
      <c r="J56" s="586"/>
      <c r="K56" s="32"/>
      <c r="Q56" s="600" t="s">
        <v>185</v>
      </c>
      <c r="R56" s="601"/>
      <c r="S56" s="32"/>
      <c r="T56" s="32"/>
    </row>
    <row r="57" spans="1:20" s="58" customFormat="1">
      <c r="A57" s="32"/>
      <c r="B57" s="32"/>
      <c r="C57" s="32"/>
      <c r="D57" s="32"/>
      <c r="E57" s="32"/>
      <c r="F57" s="32"/>
      <c r="G57" s="586"/>
      <c r="H57" s="586"/>
      <c r="I57" s="586"/>
      <c r="J57" s="586"/>
      <c r="K57" s="32"/>
      <c r="Q57" s="602" t="s">
        <v>265</v>
      </c>
      <c r="R57" s="603"/>
      <c r="S57" s="32"/>
      <c r="T57" s="32"/>
    </row>
    <row r="58" spans="1:20" s="58" customFormat="1">
      <c r="A58" s="32"/>
      <c r="B58" s="32"/>
      <c r="C58" s="32"/>
      <c r="D58" s="32"/>
      <c r="E58" s="32"/>
      <c r="F58" s="32"/>
      <c r="G58" s="586"/>
      <c r="H58" s="586"/>
      <c r="I58" s="586"/>
      <c r="J58" s="586"/>
      <c r="K58" s="32"/>
      <c r="Q58" s="602"/>
      <c r="R58" s="603"/>
      <c r="S58" s="32"/>
      <c r="T58" s="32"/>
    </row>
    <row r="59" spans="1:20" s="58" customFormat="1" ht="13.8" thickBot="1">
      <c r="A59" s="426"/>
      <c r="B59" s="32"/>
      <c r="C59" s="32"/>
      <c r="D59" s="32"/>
      <c r="E59" s="32"/>
      <c r="F59" s="32"/>
      <c r="G59" s="32"/>
      <c r="H59" s="32"/>
      <c r="I59" s="32"/>
      <c r="J59" s="32"/>
      <c r="K59" s="32"/>
      <c r="Q59" s="604" t="s">
        <v>186</v>
      </c>
      <c r="R59" s="605"/>
      <c r="S59" s="32"/>
      <c r="T59" s="32"/>
    </row>
    <row r="60" spans="1:20" s="58" customFormat="1">
      <c r="A60" s="404"/>
      <c r="B60" s="606"/>
      <c r="C60" s="606"/>
      <c r="D60" s="606"/>
      <c r="E60" s="606"/>
      <c r="F60" s="606"/>
      <c r="G60" s="32"/>
      <c r="H60" s="32"/>
      <c r="I60" s="32"/>
      <c r="J60" s="32"/>
      <c r="K60" s="32"/>
    </row>
  </sheetData>
  <sheetProtection formatCells="0" formatColumns="0" formatRows="0" insertColumns="0" insertRows="0"/>
  <mergeCells count="2">
    <mergeCell ref="A1:T1"/>
    <mergeCell ref="A2:T2"/>
  </mergeCells>
  <conditionalFormatting sqref="A1:T1">
    <cfRule type="cellIs" dxfId="4" priority="5" stopIfTrue="1" operator="equal">
      <formula>"PANTA RETAIL LTD."</formula>
    </cfRule>
  </conditionalFormatting>
  <conditionalFormatting sqref="C6:C10">
    <cfRule type="cellIs" dxfId="3" priority="3" stopIfTrue="1" operator="equal">
      <formula>"VAT INCLUDED"</formula>
    </cfRule>
    <cfRule type="cellIs" dxfId="2" priority="4" stopIfTrue="1" operator="equal">
      <formula>"VAT EXCLUDED"</formula>
    </cfRule>
  </conditionalFormatting>
  <conditionalFormatting sqref="F21">
    <cfRule type="cellIs" dxfId="1" priority="1" stopIfTrue="1" operator="equal">
      <formula>"VAT INCLUDED"</formula>
    </cfRule>
    <cfRule type="cellIs" dxfId="0"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9F4A-83DD-47FD-8C87-5BA1A4F76603}">
  <sheetPr>
    <tabColor rgb="FFFFFF00"/>
    <pageSetUpPr fitToPage="1"/>
  </sheetPr>
  <dimension ref="A1:AB261"/>
  <sheetViews>
    <sheetView showZeros="0" view="pageBreakPreview" topLeftCell="A118" zoomScaleNormal="85" zoomScaleSheetLayoutView="100" zoomScalePageLayoutView="55" workbookViewId="0">
      <selection activeCell="F117" sqref="F117"/>
    </sheetView>
  </sheetViews>
  <sheetFormatPr defaultRowHeight="14.4"/>
  <cols>
    <col min="1" max="1" width="8.88671875" style="616"/>
    <col min="2" max="2" width="57.5546875" style="624" customWidth="1"/>
    <col min="3" max="4" width="8.88671875" style="618"/>
    <col min="5" max="6" width="13.77734375" style="618" customWidth="1"/>
    <col min="7" max="7" width="13.5546875" style="619" hidden="1" customWidth="1"/>
    <col min="8" max="8" width="17.88671875" style="625" hidden="1" customWidth="1"/>
    <col min="9" max="9" width="8.88671875" style="684"/>
    <col min="10" max="16384" width="8.88671875" style="623"/>
  </cols>
  <sheetData>
    <row r="1" spans="1:28" ht="31.2">
      <c r="B1" s="617" t="s">
        <v>271</v>
      </c>
      <c r="H1" s="620" t="s">
        <v>272</v>
      </c>
      <c r="I1" s="621"/>
      <c r="J1" s="622"/>
      <c r="K1" s="622"/>
      <c r="L1" s="622"/>
      <c r="M1" s="622"/>
      <c r="N1" s="622"/>
      <c r="O1" s="622"/>
      <c r="P1" s="622"/>
      <c r="Q1" s="622"/>
      <c r="R1" s="622"/>
      <c r="S1" s="622"/>
      <c r="T1" s="622"/>
      <c r="U1" s="622"/>
      <c r="V1" s="622"/>
      <c r="W1" s="622"/>
      <c r="X1" s="622"/>
      <c r="Y1" s="622"/>
      <c r="Z1" s="622"/>
      <c r="AA1" s="622"/>
      <c r="AB1" s="622"/>
    </row>
    <row r="2" spans="1:28">
      <c r="I2" s="621"/>
      <c r="J2" s="622"/>
      <c r="K2" s="622"/>
      <c r="L2" s="622"/>
      <c r="M2" s="622"/>
      <c r="N2" s="622"/>
      <c r="O2" s="622"/>
      <c r="P2" s="622"/>
      <c r="Q2" s="622"/>
      <c r="R2" s="622"/>
      <c r="S2" s="622"/>
      <c r="T2" s="622"/>
      <c r="U2" s="622"/>
      <c r="V2" s="622"/>
      <c r="W2" s="622"/>
      <c r="X2" s="622"/>
      <c r="Y2" s="622"/>
      <c r="Z2" s="622"/>
      <c r="AA2" s="622"/>
      <c r="AB2" s="622"/>
    </row>
    <row r="3" spans="1:28">
      <c r="B3" s="626" t="s">
        <v>273</v>
      </c>
      <c r="G3" s="754"/>
      <c r="H3" s="754"/>
      <c r="I3" s="621"/>
      <c r="J3" s="622"/>
      <c r="K3" s="622"/>
      <c r="L3" s="622"/>
      <c r="M3" s="622"/>
      <c r="N3" s="622"/>
      <c r="O3" s="622"/>
      <c r="P3" s="622"/>
      <c r="Q3" s="622"/>
      <c r="R3" s="622"/>
      <c r="S3" s="622"/>
      <c r="T3" s="622"/>
      <c r="U3" s="622"/>
      <c r="V3" s="622"/>
      <c r="W3" s="622"/>
      <c r="X3" s="622"/>
      <c r="Y3" s="622"/>
      <c r="Z3" s="622"/>
      <c r="AA3" s="622"/>
      <c r="AB3" s="622"/>
    </row>
    <row r="4" spans="1:28" s="634" customFormat="1" ht="27">
      <c r="A4" s="627" t="s">
        <v>141</v>
      </c>
      <c r="B4" s="628" t="s">
        <v>191</v>
      </c>
      <c r="C4" s="629" t="s">
        <v>192</v>
      </c>
      <c r="D4" s="629" t="s">
        <v>193</v>
      </c>
      <c r="E4" s="629"/>
      <c r="F4" s="629"/>
      <c r="G4" s="630" t="s">
        <v>274</v>
      </c>
      <c r="H4" s="631" t="s">
        <v>275</v>
      </c>
      <c r="I4" s="632"/>
      <c r="J4" s="633"/>
      <c r="K4" s="633"/>
      <c r="L4" s="633"/>
      <c r="M4" s="633"/>
      <c r="N4" s="633"/>
      <c r="O4" s="633"/>
      <c r="P4" s="633"/>
      <c r="Q4" s="633"/>
      <c r="R4" s="633"/>
      <c r="S4" s="633"/>
      <c r="T4" s="633"/>
      <c r="U4" s="633"/>
      <c r="V4" s="633"/>
      <c r="W4" s="633"/>
      <c r="X4" s="633"/>
      <c r="Y4" s="633"/>
      <c r="Z4" s="633"/>
      <c r="AA4" s="633"/>
      <c r="AB4" s="633"/>
    </row>
    <row r="5" spans="1:28" ht="317.39999999999998">
      <c r="B5" s="624" t="s">
        <v>276</v>
      </c>
      <c r="I5" s="621"/>
      <c r="J5" s="622"/>
      <c r="K5" s="622"/>
      <c r="L5" s="622"/>
      <c r="M5" s="622"/>
      <c r="N5" s="622"/>
      <c r="O5" s="622"/>
      <c r="P5" s="622"/>
      <c r="Q5" s="622"/>
      <c r="R5" s="622"/>
      <c r="S5" s="622"/>
      <c r="T5" s="622"/>
      <c r="U5" s="622"/>
      <c r="V5" s="622"/>
      <c r="W5" s="622"/>
      <c r="X5" s="622"/>
      <c r="Y5" s="622"/>
      <c r="Z5" s="622"/>
      <c r="AA5" s="622"/>
      <c r="AB5" s="622"/>
    </row>
    <row r="6" spans="1:28">
      <c r="I6" s="621"/>
      <c r="J6" s="622"/>
      <c r="K6" s="622"/>
      <c r="L6" s="622"/>
      <c r="M6" s="622"/>
      <c r="N6" s="622"/>
      <c r="O6" s="622"/>
      <c r="P6" s="622"/>
      <c r="Q6" s="622"/>
      <c r="R6" s="622"/>
      <c r="S6" s="622"/>
      <c r="T6" s="622"/>
      <c r="U6" s="622"/>
      <c r="V6" s="622"/>
      <c r="W6" s="622"/>
      <c r="X6" s="622"/>
      <c r="Y6" s="622"/>
      <c r="Z6" s="622"/>
      <c r="AA6" s="622"/>
      <c r="AB6" s="622"/>
    </row>
    <row r="7" spans="1:28" s="634" customFormat="1">
      <c r="A7" s="635"/>
      <c r="B7" s="628" t="s">
        <v>277</v>
      </c>
      <c r="C7" s="636"/>
      <c r="D7" s="636"/>
      <c r="E7" s="636"/>
      <c r="F7" s="636"/>
      <c r="G7" s="637"/>
      <c r="H7" s="631"/>
      <c r="I7" s="632"/>
      <c r="J7" s="633"/>
      <c r="K7" s="633"/>
      <c r="L7" s="633"/>
      <c r="M7" s="633"/>
      <c r="N7" s="633"/>
      <c r="O7" s="633"/>
      <c r="P7" s="633"/>
      <c r="Q7" s="633"/>
      <c r="R7" s="633"/>
      <c r="S7" s="633"/>
      <c r="T7" s="633"/>
      <c r="U7" s="633"/>
      <c r="V7" s="633"/>
      <c r="W7" s="633"/>
      <c r="X7" s="633"/>
      <c r="Y7" s="633"/>
      <c r="Z7" s="633"/>
      <c r="AA7" s="633"/>
      <c r="AB7" s="633"/>
    </row>
    <row r="8" spans="1:28" ht="106.2">
      <c r="A8" s="616">
        <v>1</v>
      </c>
      <c r="B8" s="624" t="s">
        <v>278</v>
      </c>
      <c r="C8" s="618">
        <v>1</v>
      </c>
      <c r="D8" s="618" t="s">
        <v>279</v>
      </c>
      <c r="G8" s="619" t="s">
        <v>280</v>
      </c>
      <c r="H8" s="625" t="s">
        <v>280</v>
      </c>
      <c r="I8" s="621"/>
      <c r="J8" s="622"/>
      <c r="K8" s="622"/>
      <c r="L8" s="622"/>
      <c r="M8" s="622"/>
      <c r="N8" s="622"/>
      <c r="O8" s="622"/>
      <c r="P8" s="622"/>
      <c r="Q8" s="622"/>
      <c r="R8" s="622"/>
      <c r="S8" s="622"/>
      <c r="T8" s="622"/>
      <c r="U8" s="622"/>
      <c r="V8" s="622"/>
      <c r="W8" s="622"/>
      <c r="X8" s="622"/>
      <c r="Y8" s="622"/>
      <c r="Z8" s="622"/>
      <c r="AA8" s="622"/>
      <c r="AB8" s="622"/>
    </row>
    <row r="9" spans="1:28">
      <c r="I9" s="621"/>
      <c r="J9" s="622"/>
      <c r="K9" s="622"/>
      <c r="L9" s="622"/>
      <c r="M9" s="622"/>
      <c r="N9" s="622"/>
      <c r="O9" s="622"/>
      <c r="P9" s="622"/>
      <c r="Q9" s="622"/>
      <c r="R9" s="622"/>
      <c r="S9" s="622"/>
      <c r="T9" s="622"/>
      <c r="U9" s="622"/>
      <c r="V9" s="622"/>
      <c r="W9" s="622"/>
      <c r="X9" s="622"/>
      <c r="Y9" s="622"/>
      <c r="Z9" s="622"/>
      <c r="AA9" s="622"/>
      <c r="AB9" s="622"/>
    </row>
    <row r="10" spans="1:28" s="634" customFormat="1">
      <c r="A10" s="635"/>
      <c r="B10" s="628" t="s">
        <v>281</v>
      </c>
      <c r="C10" s="636"/>
      <c r="D10" s="636"/>
      <c r="E10" s="636"/>
      <c r="F10" s="636"/>
      <c r="G10" s="637"/>
      <c r="H10" s="631"/>
      <c r="I10" s="632"/>
      <c r="J10" s="633"/>
      <c r="K10" s="633"/>
      <c r="L10" s="633"/>
      <c r="M10" s="633"/>
      <c r="N10" s="633"/>
      <c r="O10" s="633"/>
      <c r="P10" s="633"/>
      <c r="Q10" s="633"/>
      <c r="R10" s="633"/>
      <c r="S10" s="633"/>
      <c r="T10" s="633"/>
      <c r="U10" s="633"/>
      <c r="V10" s="633"/>
      <c r="W10" s="633"/>
      <c r="X10" s="633"/>
      <c r="Y10" s="633"/>
      <c r="Z10" s="633"/>
      <c r="AA10" s="633"/>
      <c r="AB10" s="633"/>
    </row>
    <row r="11" spans="1:28" ht="53.4">
      <c r="A11" s="616">
        <v>1.0029999999999999</v>
      </c>
      <c r="B11" s="624" t="s">
        <v>282</v>
      </c>
      <c r="C11" s="618">
        <v>1</v>
      </c>
      <c r="D11" s="618" t="s">
        <v>279</v>
      </c>
      <c r="G11" s="619" t="s">
        <v>280</v>
      </c>
      <c r="H11" s="625" t="s">
        <v>280</v>
      </c>
      <c r="I11" s="621"/>
      <c r="J11" s="622"/>
      <c r="K11" s="622"/>
      <c r="L11" s="622"/>
      <c r="M11" s="622"/>
      <c r="N11" s="622"/>
      <c r="O11" s="622"/>
      <c r="P11" s="622"/>
      <c r="Q11" s="622"/>
      <c r="R11" s="622"/>
      <c r="S11" s="622"/>
      <c r="T11" s="622"/>
      <c r="U11" s="622"/>
      <c r="V11" s="622"/>
      <c r="W11" s="622"/>
      <c r="X11" s="622"/>
      <c r="Y11" s="622"/>
      <c r="Z11" s="622"/>
      <c r="AA11" s="622"/>
      <c r="AB11" s="622"/>
    </row>
    <row r="12" spans="1:28">
      <c r="I12" s="621"/>
      <c r="J12" s="622"/>
      <c r="K12" s="622"/>
      <c r="L12" s="622"/>
      <c r="M12" s="622"/>
      <c r="N12" s="622"/>
      <c r="O12" s="622"/>
      <c r="P12" s="622"/>
      <c r="Q12" s="622"/>
      <c r="R12" s="622"/>
      <c r="S12" s="622"/>
      <c r="T12" s="622"/>
      <c r="U12" s="622"/>
      <c r="V12" s="622"/>
      <c r="W12" s="622"/>
      <c r="X12" s="622"/>
      <c r="Y12" s="622"/>
      <c r="Z12" s="622"/>
      <c r="AA12" s="622"/>
      <c r="AB12" s="622"/>
    </row>
    <row r="13" spans="1:28" s="634" customFormat="1">
      <c r="A13" s="635"/>
      <c r="B13" s="628" t="s">
        <v>283</v>
      </c>
      <c r="C13" s="636"/>
      <c r="D13" s="636"/>
      <c r="E13" s="636"/>
      <c r="F13" s="636"/>
      <c r="G13" s="637"/>
      <c r="H13" s="631"/>
      <c r="I13" s="632"/>
      <c r="J13" s="633"/>
      <c r="K13" s="633"/>
      <c r="L13" s="633"/>
      <c r="M13" s="633"/>
      <c r="N13" s="633"/>
      <c r="O13" s="633"/>
      <c r="P13" s="633"/>
      <c r="Q13" s="633"/>
      <c r="R13" s="633"/>
      <c r="S13" s="633"/>
      <c r="T13" s="633"/>
      <c r="U13" s="633"/>
      <c r="V13" s="633"/>
      <c r="W13" s="633"/>
      <c r="X13" s="633"/>
      <c r="Y13" s="633"/>
      <c r="Z13" s="633"/>
      <c r="AA13" s="633"/>
      <c r="AB13" s="633"/>
    </row>
    <row r="14" spans="1:28" ht="106.2">
      <c r="A14" s="616">
        <v>1.004</v>
      </c>
      <c r="B14" s="624" t="s">
        <v>284</v>
      </c>
      <c r="C14" s="618">
        <v>1</v>
      </c>
      <c r="D14" s="618" t="s">
        <v>279</v>
      </c>
      <c r="G14" s="619" t="s">
        <v>280</v>
      </c>
      <c r="H14" s="625" t="s">
        <v>280</v>
      </c>
      <c r="I14" s="621"/>
      <c r="J14" s="622"/>
      <c r="K14" s="622"/>
      <c r="L14" s="622"/>
      <c r="M14" s="622"/>
      <c r="N14" s="622"/>
      <c r="O14" s="622"/>
      <c r="P14" s="622"/>
      <c r="Q14" s="622"/>
      <c r="R14" s="622"/>
      <c r="S14" s="622"/>
      <c r="T14" s="622"/>
      <c r="U14" s="622"/>
      <c r="V14" s="622"/>
      <c r="W14" s="622"/>
      <c r="X14" s="622"/>
      <c r="Y14" s="622"/>
      <c r="Z14" s="622"/>
      <c r="AA14" s="622"/>
      <c r="AB14" s="622"/>
    </row>
    <row r="15" spans="1:28" ht="79.8">
      <c r="A15" s="616">
        <v>1.0049999999999999</v>
      </c>
      <c r="B15" s="624" t="s">
        <v>285</v>
      </c>
      <c r="C15" s="618">
        <v>1</v>
      </c>
      <c r="D15" s="618" t="s">
        <v>279</v>
      </c>
      <c r="G15" s="619" t="s">
        <v>280</v>
      </c>
      <c r="H15" s="625" t="s">
        <v>280</v>
      </c>
      <c r="I15" s="621"/>
      <c r="J15" s="622"/>
      <c r="K15" s="622"/>
      <c r="L15" s="622"/>
      <c r="M15" s="622"/>
      <c r="N15" s="622"/>
      <c r="O15" s="622"/>
      <c r="P15" s="622"/>
      <c r="Q15" s="622"/>
      <c r="R15" s="622"/>
      <c r="S15" s="622"/>
      <c r="T15" s="622"/>
      <c r="U15" s="622"/>
      <c r="V15" s="622"/>
      <c r="W15" s="622"/>
      <c r="X15" s="622"/>
      <c r="Y15" s="622"/>
      <c r="Z15" s="622"/>
      <c r="AA15" s="622"/>
      <c r="AB15" s="622"/>
    </row>
    <row r="16" spans="1:28">
      <c r="I16" s="621"/>
      <c r="J16" s="622"/>
      <c r="K16" s="622"/>
      <c r="L16" s="622"/>
      <c r="M16" s="622"/>
      <c r="N16" s="622"/>
      <c r="O16" s="622"/>
      <c r="P16" s="622"/>
      <c r="Q16" s="622"/>
      <c r="R16" s="622"/>
      <c r="S16" s="622"/>
      <c r="T16" s="622"/>
      <c r="U16" s="622"/>
      <c r="V16" s="622"/>
      <c r="W16" s="622"/>
      <c r="X16" s="622"/>
      <c r="Y16" s="622"/>
      <c r="Z16" s="622"/>
      <c r="AA16" s="622"/>
      <c r="AB16" s="622"/>
    </row>
    <row r="17" spans="1:28" s="634" customFormat="1">
      <c r="A17" s="635"/>
      <c r="B17" s="628" t="s">
        <v>286</v>
      </c>
      <c r="C17" s="636"/>
      <c r="D17" s="636"/>
      <c r="E17" s="636"/>
      <c r="F17" s="636"/>
      <c r="G17" s="637"/>
      <c r="H17" s="631"/>
      <c r="I17" s="632"/>
      <c r="J17" s="633"/>
      <c r="K17" s="633"/>
      <c r="L17" s="633"/>
      <c r="M17" s="633"/>
      <c r="N17" s="633"/>
      <c r="O17" s="633"/>
      <c r="P17" s="633"/>
      <c r="Q17" s="633"/>
      <c r="R17" s="633"/>
      <c r="S17" s="633"/>
      <c r="T17" s="633"/>
      <c r="U17" s="633"/>
      <c r="V17" s="633"/>
      <c r="W17" s="633"/>
      <c r="X17" s="633"/>
      <c r="Y17" s="633"/>
      <c r="Z17" s="633"/>
      <c r="AA17" s="633"/>
      <c r="AB17" s="633"/>
    </row>
    <row r="18" spans="1:28" ht="40.200000000000003">
      <c r="A18" s="616">
        <v>1.004</v>
      </c>
      <c r="B18" s="624" t="s">
        <v>287</v>
      </c>
      <c r="C18" s="618">
        <v>1</v>
      </c>
      <c r="D18" s="618" t="s">
        <v>279</v>
      </c>
      <c r="G18" s="619" t="s">
        <v>280</v>
      </c>
      <c r="H18" s="625" t="s">
        <v>280</v>
      </c>
      <c r="I18" s="621"/>
      <c r="J18" s="622"/>
      <c r="K18" s="622"/>
      <c r="L18" s="622"/>
      <c r="M18" s="622"/>
      <c r="N18" s="622"/>
      <c r="O18" s="622"/>
      <c r="P18" s="622"/>
      <c r="Q18" s="622"/>
      <c r="R18" s="622"/>
      <c r="S18" s="622"/>
      <c r="T18" s="622"/>
      <c r="U18" s="622"/>
      <c r="V18" s="622"/>
      <c r="W18" s="622"/>
      <c r="X18" s="622"/>
      <c r="Y18" s="622"/>
      <c r="Z18" s="622"/>
      <c r="AA18" s="622"/>
      <c r="AB18" s="622"/>
    </row>
    <row r="19" spans="1:28">
      <c r="I19" s="621"/>
      <c r="J19" s="622"/>
      <c r="K19" s="622"/>
      <c r="L19" s="622"/>
      <c r="M19" s="622"/>
      <c r="N19" s="622"/>
      <c r="O19" s="622"/>
      <c r="P19" s="622"/>
      <c r="Q19" s="622"/>
      <c r="R19" s="622"/>
      <c r="S19" s="622"/>
      <c r="T19" s="622"/>
      <c r="U19" s="622"/>
      <c r="V19" s="622"/>
      <c r="W19" s="622"/>
      <c r="X19" s="622"/>
      <c r="Y19" s="622"/>
      <c r="Z19" s="622"/>
      <c r="AA19" s="622"/>
      <c r="AB19" s="622"/>
    </row>
    <row r="20" spans="1:28" s="634" customFormat="1">
      <c r="A20" s="635"/>
      <c r="B20" s="628" t="s">
        <v>288</v>
      </c>
      <c r="C20" s="636"/>
      <c r="D20" s="636"/>
      <c r="E20" s="636"/>
      <c r="F20" s="636"/>
      <c r="G20" s="637"/>
      <c r="H20" s="631"/>
      <c r="I20" s="632"/>
      <c r="J20" s="633"/>
      <c r="K20" s="633"/>
      <c r="L20" s="633"/>
      <c r="M20" s="633"/>
      <c r="N20" s="633"/>
      <c r="O20" s="633"/>
      <c r="P20" s="633"/>
      <c r="Q20" s="633"/>
      <c r="R20" s="633"/>
      <c r="S20" s="633"/>
      <c r="T20" s="633"/>
      <c r="U20" s="633"/>
      <c r="V20" s="633"/>
      <c r="W20" s="633"/>
      <c r="X20" s="633"/>
      <c r="Y20" s="633"/>
      <c r="Z20" s="633"/>
      <c r="AA20" s="633"/>
      <c r="AB20" s="633"/>
    </row>
    <row r="21" spans="1:28" ht="53.4">
      <c r="A21" s="616">
        <v>1.0049999999999999</v>
      </c>
      <c r="B21" s="624" t="s">
        <v>289</v>
      </c>
      <c r="C21" s="618">
        <v>1</v>
      </c>
      <c r="D21" s="618" t="s">
        <v>279</v>
      </c>
      <c r="G21" s="619" t="s">
        <v>280</v>
      </c>
      <c r="H21" s="625" t="s">
        <v>280</v>
      </c>
      <c r="I21" s="621"/>
      <c r="J21" s="622"/>
      <c r="K21" s="622"/>
      <c r="L21" s="622"/>
      <c r="M21" s="622"/>
      <c r="N21" s="622"/>
      <c r="O21" s="622"/>
      <c r="P21" s="622"/>
      <c r="Q21" s="622"/>
      <c r="R21" s="622"/>
      <c r="S21" s="622"/>
      <c r="T21" s="622"/>
      <c r="U21" s="622"/>
      <c r="V21" s="622"/>
      <c r="W21" s="622"/>
      <c r="X21" s="622"/>
      <c r="Y21" s="622"/>
      <c r="Z21" s="622"/>
      <c r="AA21" s="622"/>
      <c r="AB21" s="622"/>
    </row>
    <row r="22" spans="1:28" ht="27">
      <c r="A22" s="616">
        <v>1.006</v>
      </c>
      <c r="B22" s="624" t="s">
        <v>290</v>
      </c>
      <c r="C22" s="618">
        <v>1</v>
      </c>
      <c r="D22" s="618" t="s">
        <v>279</v>
      </c>
      <c r="G22" s="619" t="s">
        <v>280</v>
      </c>
      <c r="H22" s="625" t="s">
        <v>280</v>
      </c>
      <c r="I22" s="621"/>
      <c r="J22" s="622"/>
      <c r="K22" s="622"/>
      <c r="L22" s="622"/>
      <c r="M22" s="622"/>
      <c r="N22" s="622"/>
      <c r="O22" s="622"/>
      <c r="P22" s="622"/>
      <c r="Q22" s="622"/>
      <c r="R22" s="622"/>
      <c r="S22" s="622"/>
      <c r="T22" s="622"/>
      <c r="U22" s="622"/>
      <c r="V22" s="622"/>
      <c r="W22" s="622"/>
      <c r="X22" s="622"/>
      <c r="Y22" s="622"/>
      <c r="Z22" s="622"/>
      <c r="AA22" s="622"/>
      <c r="AB22" s="622"/>
    </row>
    <row r="23" spans="1:28" ht="27">
      <c r="A23" s="616">
        <v>1.0069999999999999</v>
      </c>
      <c r="B23" s="624" t="s">
        <v>291</v>
      </c>
      <c r="C23" s="618">
        <v>1</v>
      </c>
      <c r="D23" s="618" t="s">
        <v>279</v>
      </c>
      <c r="G23" s="619" t="s">
        <v>280</v>
      </c>
      <c r="H23" s="625" t="s">
        <v>280</v>
      </c>
      <c r="I23" s="621"/>
      <c r="J23" s="622"/>
      <c r="K23" s="622"/>
      <c r="L23" s="622"/>
      <c r="M23" s="622"/>
      <c r="N23" s="622"/>
      <c r="O23" s="622"/>
      <c r="P23" s="622"/>
      <c r="Q23" s="622"/>
      <c r="R23" s="622"/>
      <c r="S23" s="622"/>
      <c r="T23" s="622"/>
      <c r="U23" s="622"/>
      <c r="V23" s="622"/>
      <c r="W23" s="622"/>
      <c r="X23" s="622"/>
      <c r="Y23" s="622"/>
      <c r="Z23" s="622"/>
      <c r="AA23" s="622"/>
      <c r="AB23" s="622"/>
    </row>
    <row r="24" spans="1:28">
      <c r="I24" s="621"/>
      <c r="J24" s="622"/>
      <c r="K24" s="622"/>
      <c r="L24" s="622"/>
      <c r="M24" s="622"/>
      <c r="N24" s="622"/>
      <c r="O24" s="622"/>
      <c r="P24" s="622"/>
      <c r="Q24" s="622"/>
      <c r="R24" s="622"/>
      <c r="S24" s="622"/>
      <c r="T24" s="622"/>
      <c r="U24" s="622"/>
      <c r="V24" s="622"/>
      <c r="W24" s="622"/>
      <c r="X24" s="622"/>
      <c r="Y24" s="622"/>
      <c r="Z24" s="622"/>
      <c r="AA24" s="622"/>
      <c r="AB24" s="622"/>
    </row>
    <row r="25" spans="1:28">
      <c r="A25" s="635"/>
      <c r="B25" s="628" t="s">
        <v>292</v>
      </c>
      <c r="C25" s="636"/>
      <c r="D25" s="636"/>
      <c r="E25" s="636"/>
      <c r="F25" s="636"/>
      <c r="G25" s="637"/>
      <c r="H25" s="631"/>
      <c r="I25" s="621"/>
      <c r="J25" s="622"/>
      <c r="K25" s="622"/>
      <c r="L25" s="622"/>
      <c r="M25" s="622"/>
      <c r="N25" s="622"/>
      <c r="O25" s="622"/>
      <c r="P25" s="622"/>
      <c r="Q25" s="622"/>
      <c r="R25" s="622"/>
      <c r="S25" s="622"/>
      <c r="T25" s="622"/>
      <c r="U25" s="622"/>
      <c r="V25" s="622"/>
      <c r="W25" s="622"/>
      <c r="X25" s="622"/>
      <c r="Y25" s="622"/>
      <c r="Z25" s="622"/>
      <c r="AA25" s="622"/>
      <c r="AB25" s="622"/>
    </row>
    <row r="26" spans="1:28" ht="159">
      <c r="A26" s="616">
        <v>1.008</v>
      </c>
      <c r="B26" s="624" t="s">
        <v>293</v>
      </c>
      <c r="C26" s="618">
        <v>1</v>
      </c>
      <c r="D26" s="618" t="s">
        <v>279</v>
      </c>
      <c r="G26" s="619" t="s">
        <v>280</v>
      </c>
      <c r="H26" s="625" t="s">
        <v>280</v>
      </c>
      <c r="I26" s="621"/>
      <c r="J26" s="622"/>
      <c r="K26" s="622"/>
      <c r="L26" s="622"/>
      <c r="M26" s="622"/>
      <c r="N26" s="622"/>
      <c r="O26" s="622"/>
      <c r="P26" s="622"/>
      <c r="Q26" s="622"/>
      <c r="R26" s="622"/>
      <c r="S26" s="622"/>
      <c r="T26" s="622"/>
      <c r="U26" s="622"/>
      <c r="V26" s="622"/>
      <c r="W26" s="622"/>
      <c r="X26" s="622"/>
      <c r="Y26" s="622"/>
      <c r="Z26" s="622"/>
      <c r="AA26" s="622"/>
      <c r="AB26" s="622"/>
    </row>
    <row r="27" spans="1:28">
      <c r="I27" s="621"/>
      <c r="J27" s="622"/>
      <c r="K27" s="622"/>
      <c r="L27" s="622"/>
      <c r="M27" s="622"/>
      <c r="N27" s="622"/>
      <c r="O27" s="622"/>
      <c r="P27" s="622"/>
      <c r="Q27" s="622"/>
      <c r="R27" s="622"/>
      <c r="S27" s="622"/>
      <c r="T27" s="622"/>
      <c r="U27" s="622"/>
      <c r="V27" s="622"/>
      <c r="W27" s="622"/>
      <c r="X27" s="622"/>
      <c r="Y27" s="622"/>
      <c r="Z27" s="622"/>
      <c r="AA27" s="622"/>
      <c r="AB27" s="622"/>
    </row>
    <row r="28" spans="1:28">
      <c r="B28" s="638" t="s">
        <v>161</v>
      </c>
      <c r="I28" s="621"/>
      <c r="J28" s="622"/>
      <c r="K28" s="622"/>
      <c r="L28" s="622"/>
      <c r="M28" s="622"/>
      <c r="N28" s="622"/>
      <c r="O28" s="622"/>
      <c r="P28" s="622"/>
      <c r="Q28" s="622"/>
      <c r="R28" s="622"/>
      <c r="S28" s="622"/>
      <c r="T28" s="622"/>
      <c r="U28" s="622"/>
      <c r="V28" s="622"/>
      <c r="W28" s="622"/>
      <c r="X28" s="622"/>
      <c r="Y28" s="622"/>
      <c r="Z28" s="622"/>
      <c r="AA28" s="622"/>
      <c r="AB28" s="622"/>
    </row>
    <row r="29" spans="1:28" ht="27">
      <c r="A29" s="616">
        <v>1.0089999999999999</v>
      </c>
      <c r="B29" s="624" t="s">
        <v>294</v>
      </c>
      <c r="C29" s="618">
        <v>1</v>
      </c>
      <c r="D29" s="618" t="s">
        <v>279</v>
      </c>
      <c r="G29" s="619" t="s">
        <v>295</v>
      </c>
      <c r="H29" s="625" t="s">
        <v>295</v>
      </c>
      <c r="I29" s="621"/>
      <c r="J29" s="622"/>
      <c r="K29" s="622"/>
      <c r="L29" s="622"/>
      <c r="M29" s="622"/>
      <c r="N29" s="622"/>
      <c r="O29" s="622"/>
      <c r="P29" s="622"/>
      <c r="Q29" s="622"/>
      <c r="R29" s="622"/>
      <c r="S29" s="622"/>
      <c r="T29" s="622"/>
      <c r="U29" s="622"/>
      <c r="V29" s="622"/>
      <c r="W29" s="622"/>
      <c r="X29" s="622"/>
      <c r="Y29" s="622"/>
      <c r="Z29" s="622"/>
      <c r="AA29" s="622"/>
      <c r="AB29" s="622"/>
    </row>
    <row r="30" spans="1:28">
      <c r="A30" s="616">
        <v>1.01</v>
      </c>
      <c r="B30" s="624" t="s">
        <v>296</v>
      </c>
      <c r="C30" s="618">
        <v>1</v>
      </c>
      <c r="D30" s="618" t="s">
        <v>279</v>
      </c>
      <c r="G30" s="619" t="s">
        <v>295</v>
      </c>
      <c r="H30" s="625" t="s">
        <v>295</v>
      </c>
      <c r="I30" s="621"/>
      <c r="J30" s="622"/>
      <c r="K30" s="622"/>
      <c r="L30" s="622"/>
      <c r="M30" s="622"/>
      <c r="N30" s="622"/>
      <c r="O30" s="622"/>
      <c r="P30" s="622"/>
      <c r="Q30" s="622"/>
      <c r="R30" s="622"/>
      <c r="S30" s="622"/>
      <c r="T30" s="622"/>
      <c r="U30" s="622"/>
      <c r="V30" s="622"/>
      <c r="W30" s="622"/>
      <c r="X30" s="622"/>
      <c r="Y30" s="622"/>
      <c r="Z30" s="622"/>
      <c r="AA30" s="622"/>
      <c r="AB30" s="622"/>
    </row>
    <row r="31" spans="1:28">
      <c r="A31" s="616">
        <v>1.0109999999999999</v>
      </c>
      <c r="B31" s="624" t="s">
        <v>297</v>
      </c>
      <c r="C31" s="618">
        <v>1</v>
      </c>
      <c r="D31" s="618" t="s">
        <v>279</v>
      </c>
      <c r="G31" s="619" t="s">
        <v>280</v>
      </c>
      <c r="H31" s="625" t="s">
        <v>280</v>
      </c>
      <c r="I31" s="621"/>
      <c r="J31" s="622"/>
      <c r="K31" s="622"/>
      <c r="L31" s="622"/>
      <c r="M31" s="622"/>
      <c r="N31" s="622"/>
      <c r="O31" s="622"/>
      <c r="P31" s="622"/>
      <c r="Q31" s="622"/>
      <c r="R31" s="622"/>
      <c r="S31" s="622"/>
      <c r="T31" s="622"/>
      <c r="U31" s="622"/>
      <c r="V31" s="622"/>
      <c r="W31" s="622"/>
      <c r="X31" s="622"/>
      <c r="Y31" s="622"/>
      <c r="Z31" s="622"/>
      <c r="AA31" s="622"/>
      <c r="AB31" s="622"/>
    </row>
    <row r="32" spans="1:28">
      <c r="A32" s="616">
        <v>1.012</v>
      </c>
      <c r="B32" s="624" t="s">
        <v>298</v>
      </c>
      <c r="C32" s="618">
        <v>1</v>
      </c>
      <c r="D32" s="618" t="s">
        <v>279</v>
      </c>
      <c r="G32" s="619" t="s">
        <v>280</v>
      </c>
      <c r="H32" s="625" t="s">
        <v>280</v>
      </c>
      <c r="I32" s="621"/>
      <c r="J32" s="622"/>
      <c r="K32" s="622"/>
      <c r="L32" s="622"/>
      <c r="M32" s="622"/>
      <c r="N32" s="622"/>
      <c r="O32" s="622"/>
      <c r="P32" s="622"/>
      <c r="Q32" s="622"/>
      <c r="R32" s="622"/>
      <c r="S32" s="622"/>
      <c r="T32" s="622"/>
      <c r="U32" s="622"/>
      <c r="V32" s="622"/>
      <c r="W32" s="622"/>
      <c r="X32" s="622"/>
      <c r="Y32" s="622"/>
      <c r="Z32" s="622"/>
      <c r="AA32" s="622"/>
      <c r="AB32" s="622"/>
    </row>
    <row r="33" spans="1:28">
      <c r="A33" s="616">
        <v>1.014</v>
      </c>
      <c r="B33" s="624" t="s">
        <v>299</v>
      </c>
      <c r="C33" s="618">
        <v>1</v>
      </c>
      <c r="D33" s="618" t="s">
        <v>279</v>
      </c>
      <c r="G33" s="619" t="s">
        <v>280</v>
      </c>
      <c r="H33" s="639" t="s">
        <v>280</v>
      </c>
      <c r="I33" s="621"/>
      <c r="J33" s="622"/>
      <c r="K33" s="622"/>
      <c r="L33" s="622"/>
      <c r="M33" s="622"/>
      <c r="N33" s="622"/>
      <c r="O33" s="622"/>
      <c r="P33" s="622"/>
      <c r="Q33" s="622"/>
      <c r="R33" s="622"/>
      <c r="S33" s="622"/>
      <c r="T33" s="622"/>
      <c r="U33" s="622"/>
      <c r="V33" s="622"/>
      <c r="W33" s="622"/>
      <c r="X33" s="622"/>
      <c r="Y33" s="622"/>
      <c r="Z33" s="622"/>
      <c r="AA33" s="622"/>
      <c r="AB33" s="622"/>
    </row>
    <row r="34" spans="1:28" s="646" customFormat="1">
      <c r="A34" s="640"/>
      <c r="B34" s="641" t="s">
        <v>300</v>
      </c>
      <c r="C34" s="642"/>
      <c r="D34" s="642"/>
      <c r="E34" s="642"/>
      <c r="F34" s="642"/>
      <c r="G34" s="643"/>
      <c r="H34" s="625" t="s">
        <v>280</v>
      </c>
      <c r="I34" s="644"/>
      <c r="J34" s="645"/>
      <c r="K34" s="645"/>
      <c r="L34" s="645"/>
      <c r="M34" s="645"/>
      <c r="N34" s="645"/>
      <c r="O34" s="645"/>
      <c r="P34" s="645"/>
      <c r="Q34" s="645"/>
      <c r="R34" s="645"/>
      <c r="S34" s="645"/>
      <c r="T34" s="645"/>
      <c r="U34" s="645"/>
      <c r="V34" s="645"/>
      <c r="W34" s="645"/>
      <c r="X34" s="645"/>
      <c r="Y34" s="645"/>
      <c r="Z34" s="645"/>
      <c r="AA34" s="645"/>
      <c r="AB34" s="645"/>
    </row>
    <row r="35" spans="1:28" ht="45" customHeight="1">
      <c r="B35" s="754" t="s">
        <v>301</v>
      </c>
      <c r="C35" s="754"/>
      <c r="D35" s="754"/>
      <c r="I35" s="621"/>
      <c r="J35" s="622"/>
      <c r="K35" s="622"/>
      <c r="L35" s="622"/>
      <c r="M35" s="622"/>
      <c r="N35" s="622"/>
      <c r="O35" s="622"/>
      <c r="P35" s="622"/>
      <c r="Q35" s="622"/>
      <c r="R35" s="622"/>
      <c r="S35" s="622"/>
      <c r="T35" s="622"/>
      <c r="U35" s="622"/>
      <c r="V35" s="622"/>
      <c r="W35" s="622"/>
      <c r="X35" s="622"/>
      <c r="Y35" s="622"/>
      <c r="Z35" s="622"/>
      <c r="AA35" s="622"/>
      <c r="AB35" s="622"/>
    </row>
    <row r="36" spans="1:28">
      <c r="B36" s="638"/>
      <c r="I36" s="621"/>
      <c r="J36" s="622"/>
      <c r="K36" s="622"/>
      <c r="L36" s="622"/>
      <c r="M36" s="622"/>
      <c r="N36" s="622"/>
      <c r="O36" s="622"/>
      <c r="P36" s="622"/>
      <c r="Q36" s="622"/>
      <c r="R36" s="622"/>
      <c r="S36" s="622"/>
      <c r="T36" s="622"/>
      <c r="U36" s="622"/>
      <c r="V36" s="622"/>
      <c r="W36" s="622"/>
      <c r="X36" s="622"/>
      <c r="Y36" s="622"/>
      <c r="Z36" s="622"/>
      <c r="AA36" s="622"/>
      <c r="AB36" s="622"/>
    </row>
    <row r="37" spans="1:28">
      <c r="I37" s="621"/>
      <c r="J37" s="622"/>
      <c r="K37" s="622"/>
      <c r="L37" s="622"/>
      <c r="M37" s="622"/>
      <c r="N37" s="622"/>
      <c r="O37" s="622"/>
      <c r="P37" s="622"/>
      <c r="Q37" s="622"/>
      <c r="R37" s="622"/>
      <c r="S37" s="622"/>
      <c r="T37" s="622"/>
      <c r="U37" s="622"/>
      <c r="V37" s="622"/>
      <c r="W37" s="622"/>
      <c r="X37" s="622"/>
      <c r="Y37" s="622"/>
      <c r="Z37" s="622"/>
      <c r="AA37" s="622"/>
      <c r="AB37" s="622"/>
    </row>
    <row r="38" spans="1:28">
      <c r="B38" s="626" t="s">
        <v>302</v>
      </c>
      <c r="I38" s="621"/>
      <c r="J38" s="622"/>
      <c r="K38" s="622"/>
      <c r="L38" s="622"/>
      <c r="M38" s="622"/>
      <c r="N38" s="622"/>
      <c r="O38" s="622"/>
      <c r="P38" s="622"/>
      <c r="Q38" s="622"/>
      <c r="R38" s="622"/>
      <c r="S38" s="622"/>
      <c r="T38" s="622"/>
      <c r="U38" s="622"/>
      <c r="V38" s="622"/>
      <c r="W38" s="622"/>
      <c r="X38" s="622"/>
      <c r="Y38" s="622"/>
      <c r="Z38" s="622"/>
      <c r="AA38" s="622"/>
      <c r="AB38" s="622"/>
    </row>
    <row r="39" spans="1:28" ht="27">
      <c r="A39" s="627" t="s">
        <v>141</v>
      </c>
      <c r="B39" s="628" t="s">
        <v>191</v>
      </c>
      <c r="C39" s="629" t="s">
        <v>192</v>
      </c>
      <c r="D39" s="629" t="s">
        <v>193</v>
      </c>
      <c r="E39" s="629"/>
      <c r="F39" s="629"/>
      <c r="G39" s="630" t="s">
        <v>274</v>
      </c>
      <c r="H39" s="631" t="s">
        <v>275</v>
      </c>
      <c r="I39" s="621"/>
      <c r="J39" s="622"/>
      <c r="K39" s="622"/>
      <c r="L39" s="622"/>
      <c r="M39" s="622"/>
      <c r="N39" s="622"/>
      <c r="O39" s="622"/>
      <c r="P39" s="622"/>
      <c r="Q39" s="622"/>
      <c r="R39" s="622"/>
      <c r="S39" s="622"/>
      <c r="T39" s="622"/>
      <c r="U39" s="622"/>
      <c r="V39" s="622"/>
      <c r="W39" s="622"/>
      <c r="X39" s="622"/>
      <c r="Y39" s="622"/>
      <c r="Z39" s="622"/>
      <c r="AA39" s="622"/>
      <c r="AB39" s="622"/>
    </row>
    <row r="40" spans="1:28" ht="27">
      <c r="A40" s="616">
        <v>4</v>
      </c>
      <c r="B40" s="624" t="s">
        <v>303</v>
      </c>
      <c r="C40" s="618">
        <v>1</v>
      </c>
      <c r="D40" s="618" t="s">
        <v>279</v>
      </c>
      <c r="G40" s="619" t="s">
        <v>280</v>
      </c>
      <c r="H40" s="625" t="s">
        <v>280</v>
      </c>
      <c r="I40" s="621"/>
      <c r="J40" s="622"/>
      <c r="K40" s="622"/>
      <c r="L40" s="622"/>
      <c r="M40" s="622"/>
      <c r="N40" s="622"/>
      <c r="O40" s="622"/>
      <c r="P40" s="622"/>
      <c r="Q40" s="622"/>
      <c r="R40" s="622"/>
      <c r="S40" s="622"/>
      <c r="T40" s="622"/>
      <c r="U40" s="622"/>
      <c r="V40" s="622"/>
      <c r="W40" s="622"/>
      <c r="X40" s="622"/>
      <c r="Y40" s="622"/>
      <c r="Z40" s="622"/>
      <c r="AA40" s="622"/>
      <c r="AB40" s="622"/>
    </row>
    <row r="41" spans="1:28" ht="27">
      <c r="B41" s="647" t="s">
        <v>304</v>
      </c>
      <c r="I41" s="621"/>
      <c r="J41" s="622"/>
      <c r="K41" s="622"/>
      <c r="L41" s="622"/>
      <c r="M41" s="622"/>
      <c r="N41" s="622"/>
      <c r="O41" s="622"/>
      <c r="P41" s="622"/>
      <c r="Q41" s="622"/>
      <c r="R41" s="622"/>
      <c r="S41" s="622"/>
      <c r="T41" s="622"/>
      <c r="U41" s="622"/>
      <c r="V41" s="622"/>
      <c r="W41" s="622"/>
      <c r="X41" s="622"/>
      <c r="Y41" s="622"/>
      <c r="Z41" s="622"/>
      <c r="AA41" s="622"/>
      <c r="AB41" s="622"/>
    </row>
    <row r="42" spans="1:28">
      <c r="A42" s="616">
        <f>IF(ISBLANK(C42),"",(MAX($A$38:A41)+0.001))</f>
        <v>4.0010000000000003</v>
      </c>
      <c r="B42" s="624" t="s">
        <v>305</v>
      </c>
      <c r="C42" s="618">
        <v>16</v>
      </c>
      <c r="D42" s="618" t="s">
        <v>306</v>
      </c>
      <c r="H42" s="625">
        <f t="shared" ref="H42:H48" si="0">C42*G42</f>
        <v>0</v>
      </c>
      <c r="I42" s="621"/>
      <c r="J42" s="622"/>
      <c r="K42" s="622"/>
      <c r="L42" s="622"/>
      <c r="M42" s="622"/>
      <c r="N42" s="622"/>
      <c r="O42" s="622"/>
      <c r="P42" s="622"/>
      <c r="Q42" s="622"/>
      <c r="R42" s="622"/>
      <c r="S42" s="622"/>
      <c r="T42" s="622"/>
      <c r="U42" s="622"/>
      <c r="V42" s="622"/>
      <c r="W42" s="622"/>
      <c r="X42" s="622"/>
      <c r="Y42" s="622"/>
      <c r="Z42" s="622"/>
      <c r="AA42" s="622"/>
      <c r="AB42" s="622"/>
    </row>
    <row r="43" spans="1:28">
      <c r="A43" s="616">
        <f>IF(ISBLANK(C43),"",(MAX($A$38:A42)+0.001))</f>
        <v>4.0020000000000007</v>
      </c>
      <c r="B43" s="624" t="s">
        <v>307</v>
      </c>
      <c r="C43" s="618">
        <v>2</v>
      </c>
      <c r="D43" s="618" t="s">
        <v>306</v>
      </c>
      <c r="H43" s="625">
        <f t="shared" si="0"/>
        <v>0</v>
      </c>
      <c r="I43" s="621"/>
      <c r="J43" s="622"/>
      <c r="K43" s="622"/>
      <c r="L43" s="622"/>
      <c r="M43" s="622"/>
      <c r="N43" s="622"/>
      <c r="O43" s="622"/>
      <c r="P43" s="622"/>
      <c r="Q43" s="622"/>
      <c r="R43" s="622"/>
      <c r="S43" s="622"/>
      <c r="T43" s="622"/>
      <c r="U43" s="622"/>
      <c r="V43" s="622"/>
      <c r="W43" s="622"/>
      <c r="X43" s="622"/>
      <c r="Y43" s="622"/>
      <c r="Z43" s="622"/>
      <c r="AA43" s="622"/>
      <c r="AB43" s="622"/>
    </row>
    <row r="44" spans="1:28">
      <c r="A44" s="616">
        <f>IF(ISBLANK(C44),"",(MAX($A$38:A43)+0.001))</f>
        <v>4.003000000000001</v>
      </c>
      <c r="B44" s="624" t="s">
        <v>308</v>
      </c>
      <c r="C44" s="618">
        <v>8</v>
      </c>
      <c r="D44" s="618" t="s">
        <v>306</v>
      </c>
      <c r="H44" s="625">
        <f t="shared" si="0"/>
        <v>0</v>
      </c>
      <c r="I44" s="621"/>
      <c r="J44" s="622"/>
      <c r="K44" s="622"/>
      <c r="L44" s="622"/>
      <c r="M44" s="622"/>
      <c r="N44" s="622"/>
      <c r="O44" s="622"/>
      <c r="P44" s="622"/>
      <c r="Q44" s="622"/>
      <c r="R44" s="622"/>
      <c r="S44" s="622"/>
      <c r="T44" s="622"/>
      <c r="U44" s="622"/>
      <c r="V44" s="622"/>
      <c r="W44" s="622"/>
      <c r="X44" s="622"/>
      <c r="Y44" s="622"/>
      <c r="Z44" s="622"/>
      <c r="AA44" s="622"/>
      <c r="AB44" s="622"/>
    </row>
    <row r="45" spans="1:28" ht="27">
      <c r="A45" s="616">
        <f>IF(ISBLANK(C45),"",(MAX($A$38:A44)+0.001))</f>
        <v>4.0040000000000013</v>
      </c>
      <c r="B45" s="624" t="s">
        <v>309</v>
      </c>
      <c r="C45" s="618">
        <v>2</v>
      </c>
      <c r="D45" s="618" t="s">
        <v>310</v>
      </c>
      <c r="H45" s="625">
        <f t="shared" si="0"/>
        <v>0</v>
      </c>
      <c r="I45" s="621"/>
      <c r="J45" s="622"/>
      <c r="K45" s="622"/>
      <c r="L45" s="622"/>
      <c r="M45" s="622"/>
      <c r="N45" s="622"/>
      <c r="O45" s="622"/>
      <c r="P45" s="622"/>
      <c r="Q45" s="622"/>
      <c r="R45" s="622"/>
      <c r="S45" s="622"/>
      <c r="T45" s="622"/>
      <c r="U45" s="622"/>
      <c r="V45" s="622"/>
      <c r="W45" s="622"/>
      <c r="X45" s="622"/>
      <c r="Y45" s="622"/>
      <c r="Z45" s="622"/>
      <c r="AA45" s="622"/>
      <c r="AB45" s="622"/>
    </row>
    <row r="46" spans="1:28" ht="27">
      <c r="A46" s="616">
        <f>IF(ISBLANK(C46),"",(MAX($A$38:A45)+0.001))</f>
        <v>4.0050000000000017</v>
      </c>
      <c r="B46" s="624" t="s">
        <v>311</v>
      </c>
      <c r="C46" s="618">
        <v>5</v>
      </c>
      <c r="D46" s="618" t="s">
        <v>310</v>
      </c>
      <c r="H46" s="625">
        <f t="shared" si="0"/>
        <v>0</v>
      </c>
      <c r="I46" s="621"/>
      <c r="J46" s="622"/>
      <c r="K46" s="622"/>
      <c r="L46" s="622"/>
      <c r="M46" s="622"/>
      <c r="N46" s="622"/>
      <c r="O46" s="622"/>
      <c r="P46" s="622"/>
      <c r="Q46" s="622"/>
      <c r="R46" s="622"/>
      <c r="S46" s="622"/>
      <c r="T46" s="622"/>
      <c r="U46" s="622"/>
      <c r="V46" s="622"/>
      <c r="W46" s="622"/>
      <c r="X46" s="622"/>
      <c r="Y46" s="622"/>
      <c r="Z46" s="622"/>
      <c r="AA46" s="622"/>
      <c r="AB46" s="622"/>
    </row>
    <row r="47" spans="1:28">
      <c r="A47" s="616">
        <f>IF(ISBLANK(C47),"",(MAX($A$38:A46)+0.001))</f>
        <v>4.006000000000002</v>
      </c>
      <c r="B47" s="624" t="s">
        <v>312</v>
      </c>
      <c r="C47" s="618">
        <v>2</v>
      </c>
      <c r="D47" s="618" t="s">
        <v>310</v>
      </c>
      <c r="H47" s="625">
        <f t="shared" si="0"/>
        <v>0</v>
      </c>
      <c r="I47" s="621"/>
      <c r="J47" s="622"/>
      <c r="K47" s="622"/>
      <c r="L47" s="622"/>
      <c r="M47" s="622"/>
      <c r="N47" s="622"/>
      <c r="O47" s="622"/>
      <c r="P47" s="622"/>
      <c r="Q47" s="622"/>
      <c r="R47" s="622"/>
      <c r="S47" s="622"/>
      <c r="T47" s="622"/>
      <c r="U47" s="622"/>
      <c r="V47" s="622"/>
      <c r="W47" s="622"/>
      <c r="X47" s="622"/>
      <c r="Y47" s="622"/>
      <c r="Z47" s="622"/>
      <c r="AA47" s="622"/>
      <c r="AB47" s="622"/>
    </row>
    <row r="48" spans="1:28">
      <c r="A48" s="616">
        <f>IF(ISBLANK(C48),"",(MAX($A$38:A47)+0.001))</f>
        <v>4.0070000000000023</v>
      </c>
      <c r="B48" s="624" t="s">
        <v>313</v>
      </c>
      <c r="C48" s="618">
        <v>2</v>
      </c>
      <c r="D48" s="618" t="s">
        <v>310</v>
      </c>
      <c r="H48" s="625">
        <f t="shared" si="0"/>
        <v>0</v>
      </c>
      <c r="I48" s="621"/>
      <c r="J48" s="622"/>
      <c r="K48" s="622"/>
      <c r="L48" s="622"/>
      <c r="M48" s="622"/>
      <c r="N48" s="622"/>
      <c r="O48" s="622"/>
      <c r="P48" s="622"/>
      <c r="Q48" s="622"/>
      <c r="R48" s="622"/>
      <c r="S48" s="622"/>
      <c r="T48" s="622"/>
      <c r="U48" s="622"/>
      <c r="V48" s="622"/>
      <c r="W48" s="622"/>
      <c r="X48" s="622"/>
      <c r="Y48" s="622"/>
      <c r="Z48" s="622"/>
      <c r="AA48" s="622"/>
      <c r="AB48" s="622"/>
    </row>
    <row r="49" spans="1:28">
      <c r="A49" s="616" t="str">
        <f>IF(ISBLANK(C49),"",(MAX($A49:A$58)+0.001))</f>
        <v/>
      </c>
      <c r="B49" s="647"/>
      <c r="I49" s="621"/>
      <c r="J49" s="622"/>
      <c r="K49" s="622"/>
      <c r="L49" s="622"/>
      <c r="M49" s="622"/>
      <c r="N49" s="622"/>
      <c r="O49" s="622"/>
      <c r="P49" s="622"/>
      <c r="Q49" s="622"/>
      <c r="R49" s="622"/>
      <c r="S49" s="622"/>
      <c r="T49" s="622"/>
      <c r="U49" s="622"/>
      <c r="V49" s="622"/>
      <c r="W49" s="622"/>
      <c r="X49" s="622"/>
      <c r="Y49" s="622"/>
      <c r="Z49" s="622"/>
      <c r="AA49" s="622"/>
      <c r="AB49" s="622"/>
    </row>
    <row r="50" spans="1:28">
      <c r="A50" s="635" t="str">
        <f>IF(ISBLANK(C50),"",(MAX($A49:A$58)+0.001))</f>
        <v/>
      </c>
      <c r="B50" s="648" t="s">
        <v>314</v>
      </c>
      <c r="C50" s="636"/>
      <c r="D50" s="636"/>
      <c r="E50" s="636"/>
      <c r="F50" s="636"/>
      <c r="G50" s="637"/>
      <c r="H50" s="631"/>
      <c r="I50" s="621"/>
      <c r="J50" s="622"/>
      <c r="K50" s="622"/>
      <c r="L50" s="622"/>
      <c r="M50" s="622"/>
      <c r="N50" s="622"/>
      <c r="O50" s="622"/>
      <c r="P50" s="622"/>
      <c r="Q50" s="622"/>
      <c r="R50" s="622"/>
      <c r="S50" s="622"/>
      <c r="T50" s="622"/>
      <c r="U50" s="622"/>
      <c r="V50" s="622"/>
      <c r="W50" s="622"/>
      <c r="X50" s="622"/>
      <c r="Y50" s="622"/>
      <c r="Z50" s="622"/>
      <c r="AA50" s="622"/>
      <c r="AB50" s="622"/>
    </row>
    <row r="51" spans="1:28" ht="40.200000000000003">
      <c r="A51" s="616">
        <f>IF(ISBLANK(C51),"",(MAX($A$38:A50)+0.001))</f>
        <v>4.0080000000000027</v>
      </c>
      <c r="B51" s="624" t="s">
        <v>315</v>
      </c>
      <c r="C51" s="618">
        <v>1</v>
      </c>
      <c r="D51" s="618" t="s">
        <v>316</v>
      </c>
      <c r="G51" s="619" t="s">
        <v>280</v>
      </c>
      <c r="H51" s="625" t="s">
        <v>280</v>
      </c>
      <c r="I51" s="621"/>
      <c r="J51" s="622"/>
      <c r="K51" s="622"/>
      <c r="L51" s="622"/>
      <c r="M51" s="622"/>
      <c r="N51" s="622"/>
      <c r="O51" s="622"/>
      <c r="P51" s="622"/>
      <c r="Q51" s="622"/>
      <c r="R51" s="622"/>
      <c r="S51" s="622"/>
      <c r="T51" s="622"/>
      <c r="U51" s="622"/>
      <c r="V51" s="622"/>
      <c r="W51" s="622"/>
      <c r="X51" s="622"/>
      <c r="Y51" s="622"/>
      <c r="Z51" s="622"/>
      <c r="AA51" s="622"/>
      <c r="AB51" s="622"/>
    </row>
    <row r="52" spans="1:28" s="634" customFormat="1" ht="79.8">
      <c r="A52" s="616">
        <f>IF(ISBLANK(C52),"",(MAX($A$38:A51)+0.001))</f>
        <v>4.009000000000003</v>
      </c>
      <c r="B52" s="624" t="s">
        <v>317</v>
      </c>
      <c r="C52" s="618">
        <v>1</v>
      </c>
      <c r="D52" s="618" t="s">
        <v>316</v>
      </c>
      <c r="E52" s="618"/>
      <c r="F52" s="618"/>
      <c r="G52" s="619" t="s">
        <v>280</v>
      </c>
      <c r="H52" s="625" t="s">
        <v>280</v>
      </c>
      <c r="I52" s="632"/>
      <c r="J52" s="633"/>
      <c r="K52" s="633"/>
      <c r="L52" s="633"/>
      <c r="M52" s="633"/>
      <c r="N52" s="633"/>
      <c r="O52" s="633"/>
      <c r="P52" s="633"/>
      <c r="Q52" s="633"/>
      <c r="R52" s="633"/>
      <c r="S52" s="633"/>
      <c r="T52" s="633"/>
      <c r="U52" s="633"/>
      <c r="V52" s="633"/>
      <c r="W52" s="633"/>
      <c r="X52" s="633"/>
      <c r="Y52" s="633"/>
      <c r="Z52" s="633"/>
      <c r="AA52" s="633"/>
      <c r="AB52" s="633"/>
    </row>
    <row r="53" spans="1:28">
      <c r="A53" s="616" t="str">
        <f>IF(ISBLANK(C53),"",(MAX($A52:A$58)+0.001))</f>
        <v/>
      </c>
      <c r="I53" s="621"/>
      <c r="J53" s="622"/>
      <c r="K53" s="622"/>
      <c r="L53" s="622"/>
      <c r="M53" s="622"/>
      <c r="N53" s="622"/>
      <c r="O53" s="622"/>
      <c r="P53" s="622"/>
      <c r="Q53" s="622"/>
      <c r="R53" s="622"/>
      <c r="S53" s="622"/>
      <c r="T53" s="622"/>
      <c r="U53" s="622"/>
      <c r="V53" s="622"/>
      <c r="W53" s="622"/>
      <c r="X53" s="622"/>
      <c r="Y53" s="622"/>
      <c r="Z53" s="622"/>
      <c r="AA53" s="622"/>
      <c r="AB53" s="622"/>
    </row>
    <row r="54" spans="1:28">
      <c r="A54" s="616" t="str">
        <f>IF(ISBLANK(C54),"",(MAX($A54:A$58)+0.001))</f>
        <v/>
      </c>
      <c r="I54" s="621"/>
      <c r="J54" s="622"/>
      <c r="K54" s="622"/>
      <c r="L54" s="622"/>
      <c r="M54" s="622"/>
      <c r="N54" s="622"/>
      <c r="O54" s="622"/>
      <c r="P54" s="622"/>
      <c r="Q54" s="622"/>
      <c r="R54" s="622"/>
      <c r="S54" s="622"/>
      <c r="T54" s="622"/>
      <c r="U54" s="622"/>
      <c r="V54" s="622"/>
      <c r="W54" s="622"/>
      <c r="X54" s="622"/>
      <c r="Y54" s="622"/>
      <c r="Z54" s="622"/>
      <c r="AA54" s="622"/>
      <c r="AB54" s="622"/>
    </row>
    <row r="55" spans="1:28">
      <c r="A55" s="635" t="str">
        <f>IF(ISBLANK(C55),"",(MAX($A54:A$58)+0.001))</f>
        <v/>
      </c>
      <c r="B55" s="648" t="s">
        <v>318</v>
      </c>
      <c r="C55" s="636"/>
      <c r="D55" s="636"/>
      <c r="E55" s="636"/>
      <c r="F55" s="636"/>
      <c r="G55" s="637"/>
      <c r="H55" s="631"/>
      <c r="I55" s="621"/>
      <c r="J55" s="622"/>
      <c r="K55" s="622"/>
      <c r="L55" s="622"/>
      <c r="M55" s="622"/>
      <c r="N55" s="622"/>
      <c r="O55" s="622"/>
      <c r="P55" s="622"/>
      <c r="Q55" s="622"/>
      <c r="R55" s="622"/>
      <c r="S55" s="622"/>
      <c r="T55" s="622"/>
      <c r="U55" s="622"/>
      <c r="V55" s="622"/>
      <c r="W55" s="622"/>
      <c r="X55" s="622"/>
      <c r="Y55" s="622"/>
      <c r="Z55" s="622"/>
      <c r="AA55" s="622"/>
      <c r="AB55" s="622"/>
    </row>
    <row r="56" spans="1:28" ht="27">
      <c r="A56" s="616">
        <f>IF(ISBLANK(C56),"",(MAX($A$38:A55)+0.001))</f>
        <v>4.0100000000000033</v>
      </c>
      <c r="B56" s="624" t="s">
        <v>319</v>
      </c>
      <c r="C56" s="618">
        <v>1</v>
      </c>
      <c r="D56" s="618" t="s">
        <v>316</v>
      </c>
      <c r="G56" s="619" t="s">
        <v>280</v>
      </c>
      <c r="H56" s="625" t="s">
        <v>280</v>
      </c>
      <c r="I56" s="621"/>
      <c r="J56" s="622"/>
      <c r="K56" s="622"/>
      <c r="L56" s="622"/>
      <c r="M56" s="622"/>
      <c r="N56" s="622"/>
      <c r="O56" s="622"/>
      <c r="P56" s="622"/>
      <c r="Q56" s="622"/>
      <c r="R56" s="622"/>
      <c r="S56" s="622"/>
      <c r="T56" s="622"/>
      <c r="U56" s="622"/>
      <c r="V56" s="622"/>
      <c r="W56" s="622"/>
      <c r="X56" s="622"/>
      <c r="Y56" s="622"/>
      <c r="Z56" s="622"/>
      <c r="AA56" s="622"/>
      <c r="AB56" s="622"/>
    </row>
    <row r="57" spans="1:28">
      <c r="A57" s="640"/>
      <c r="B57" s="641" t="s">
        <v>320</v>
      </c>
      <c r="C57" s="642"/>
      <c r="D57" s="642"/>
      <c r="E57" s="642"/>
      <c r="F57" s="642"/>
      <c r="G57" s="643"/>
      <c r="H57" s="649">
        <f>SUM(H41:H56)</f>
        <v>0</v>
      </c>
      <c r="I57" s="621"/>
      <c r="J57" s="622"/>
      <c r="K57" s="622"/>
      <c r="L57" s="622"/>
      <c r="M57" s="622"/>
      <c r="N57" s="622"/>
      <c r="O57" s="622"/>
      <c r="P57" s="622"/>
      <c r="Q57" s="622"/>
      <c r="R57" s="622"/>
      <c r="S57" s="622"/>
      <c r="T57" s="622"/>
      <c r="U57" s="622"/>
      <c r="V57" s="622"/>
      <c r="W57" s="622"/>
      <c r="X57" s="622"/>
      <c r="Y57" s="622"/>
      <c r="Z57" s="622"/>
      <c r="AA57" s="622"/>
      <c r="AB57" s="622"/>
    </row>
    <row r="58" spans="1:28" ht="25.5" customHeight="1">
      <c r="B58" s="626"/>
      <c r="I58" s="621"/>
      <c r="J58" s="622"/>
      <c r="K58" s="622"/>
      <c r="L58" s="622"/>
      <c r="M58" s="622"/>
      <c r="N58" s="622"/>
      <c r="O58" s="622"/>
      <c r="P58" s="622"/>
      <c r="Q58" s="622"/>
      <c r="R58" s="622"/>
      <c r="S58" s="622"/>
      <c r="T58" s="622"/>
      <c r="U58" s="622"/>
      <c r="V58" s="622"/>
      <c r="W58" s="622"/>
      <c r="X58" s="622"/>
      <c r="Y58" s="622"/>
      <c r="Z58" s="622"/>
      <c r="AA58" s="622"/>
      <c r="AB58" s="622"/>
    </row>
    <row r="59" spans="1:28">
      <c r="B59" s="626" t="s">
        <v>321</v>
      </c>
      <c r="I59" s="621"/>
      <c r="J59" s="622"/>
      <c r="K59" s="622"/>
      <c r="L59" s="622"/>
      <c r="M59" s="622"/>
      <c r="N59" s="622"/>
      <c r="O59" s="622"/>
      <c r="P59" s="622"/>
      <c r="Q59" s="622"/>
      <c r="R59" s="622"/>
      <c r="S59" s="622"/>
      <c r="T59" s="622"/>
      <c r="U59" s="622"/>
      <c r="V59" s="622"/>
      <c r="W59" s="622"/>
      <c r="X59" s="622"/>
      <c r="Y59" s="622"/>
      <c r="Z59" s="622"/>
      <c r="AA59" s="622"/>
      <c r="AB59" s="622"/>
    </row>
    <row r="60" spans="1:28" ht="27">
      <c r="A60" s="627" t="s">
        <v>141</v>
      </c>
      <c r="B60" s="628" t="s">
        <v>191</v>
      </c>
      <c r="C60" s="629" t="s">
        <v>192</v>
      </c>
      <c r="D60" s="629" t="s">
        <v>193</v>
      </c>
      <c r="E60" s="702" t="s">
        <v>420</v>
      </c>
      <c r="F60" s="702" t="s">
        <v>421</v>
      </c>
      <c r="G60" s="630" t="s">
        <v>274</v>
      </c>
      <c r="H60" s="631" t="s">
        <v>275</v>
      </c>
      <c r="I60" s="621"/>
      <c r="J60" s="622"/>
      <c r="K60" s="622"/>
      <c r="L60" s="622"/>
      <c r="M60" s="622"/>
      <c r="N60" s="622"/>
      <c r="O60" s="622"/>
      <c r="P60" s="622"/>
      <c r="Q60" s="622"/>
      <c r="R60" s="622"/>
      <c r="S60" s="622"/>
      <c r="T60" s="622"/>
      <c r="U60" s="622"/>
      <c r="V60" s="622"/>
      <c r="W60" s="622"/>
      <c r="X60" s="622"/>
      <c r="Y60" s="622"/>
      <c r="Z60" s="622"/>
      <c r="AA60" s="622"/>
      <c r="AB60" s="622"/>
    </row>
    <row r="61" spans="1:28" ht="27">
      <c r="A61" s="616">
        <v>6</v>
      </c>
      <c r="B61" s="624" t="s">
        <v>303</v>
      </c>
      <c r="C61" s="618">
        <v>1</v>
      </c>
      <c r="D61" s="618" t="s">
        <v>279</v>
      </c>
      <c r="G61" s="619" t="s">
        <v>280</v>
      </c>
      <c r="H61" s="625" t="s">
        <v>280</v>
      </c>
      <c r="I61" s="621"/>
      <c r="J61" s="622"/>
      <c r="K61" s="622"/>
      <c r="L61" s="622"/>
      <c r="M61" s="622"/>
      <c r="N61" s="622"/>
      <c r="O61" s="622"/>
      <c r="P61" s="622"/>
      <c r="Q61" s="622"/>
      <c r="R61" s="622"/>
      <c r="S61" s="622"/>
      <c r="T61" s="622"/>
      <c r="U61" s="622"/>
      <c r="V61" s="622"/>
      <c r="W61" s="622"/>
      <c r="X61" s="622"/>
      <c r="Y61" s="622"/>
      <c r="Z61" s="622"/>
      <c r="AA61" s="622"/>
      <c r="AB61" s="622"/>
    </row>
    <row r="62" spans="1:28">
      <c r="G62" s="650"/>
      <c r="I62" s="621"/>
      <c r="J62" s="622"/>
      <c r="K62" s="622"/>
      <c r="L62" s="622"/>
      <c r="M62" s="622"/>
      <c r="N62" s="622"/>
      <c r="O62" s="622"/>
      <c r="P62" s="622"/>
      <c r="Q62" s="622"/>
      <c r="R62" s="622"/>
      <c r="S62" s="622"/>
      <c r="T62" s="622"/>
      <c r="U62" s="622"/>
      <c r="V62" s="622"/>
      <c r="W62" s="622"/>
      <c r="X62" s="622"/>
      <c r="Y62" s="622"/>
      <c r="Z62" s="622"/>
      <c r="AA62" s="622"/>
      <c r="AB62" s="622"/>
    </row>
    <row r="63" spans="1:28" ht="53.4">
      <c r="A63" s="616" t="str">
        <f>IF(ISBLANK(C63),"",(MAX($A61:A$61)+0.001))</f>
        <v/>
      </c>
      <c r="B63" s="624" t="s">
        <v>322</v>
      </c>
      <c r="F63" s="705"/>
      <c r="I63" s="621"/>
      <c r="J63" s="622"/>
      <c r="K63" s="622"/>
      <c r="L63" s="622"/>
      <c r="M63" s="622"/>
      <c r="N63" s="622"/>
      <c r="O63" s="622"/>
      <c r="P63" s="622"/>
      <c r="Q63" s="622"/>
      <c r="R63" s="622"/>
      <c r="S63" s="622"/>
      <c r="T63" s="622"/>
      <c r="U63" s="622"/>
      <c r="V63" s="622"/>
      <c r="W63" s="622"/>
      <c r="X63" s="622"/>
      <c r="Y63" s="622"/>
      <c r="Z63" s="622"/>
      <c r="AA63" s="622"/>
      <c r="AB63" s="622"/>
    </row>
    <row r="64" spans="1:28">
      <c r="F64" s="705"/>
      <c r="I64" s="621"/>
      <c r="J64" s="622"/>
      <c r="K64" s="622"/>
      <c r="L64" s="622"/>
      <c r="M64" s="622"/>
      <c r="N64" s="622"/>
      <c r="O64" s="622"/>
      <c r="P64" s="622"/>
      <c r="Q64" s="622"/>
      <c r="R64" s="622"/>
      <c r="S64" s="622"/>
      <c r="T64" s="622"/>
      <c r="U64" s="622"/>
      <c r="V64" s="622"/>
      <c r="W64" s="622"/>
      <c r="X64" s="622"/>
      <c r="Y64" s="622"/>
      <c r="Z64" s="622"/>
      <c r="AA64" s="622"/>
      <c r="AB64" s="622"/>
    </row>
    <row r="65" spans="1:28">
      <c r="B65" s="624" t="s">
        <v>323</v>
      </c>
      <c r="F65" s="705"/>
      <c r="I65" s="621"/>
      <c r="J65" s="622"/>
      <c r="K65" s="622"/>
      <c r="L65" s="622"/>
      <c r="M65" s="622"/>
      <c r="N65" s="622"/>
      <c r="O65" s="622"/>
      <c r="P65" s="622"/>
      <c r="Q65" s="622"/>
      <c r="R65" s="622"/>
      <c r="S65" s="622"/>
      <c r="T65" s="622"/>
      <c r="U65" s="622"/>
      <c r="V65" s="622"/>
      <c r="W65" s="622"/>
      <c r="X65" s="622"/>
      <c r="Y65" s="622"/>
      <c r="Z65" s="622"/>
      <c r="AA65" s="622"/>
      <c r="AB65" s="622"/>
    </row>
    <row r="66" spans="1:28" ht="43.2" customHeight="1">
      <c r="A66" s="651">
        <f>IF(ISBLANK(C66),"",(MAX($A$61:A64)+0.001))</f>
        <v>6.0010000000000003</v>
      </c>
      <c r="B66" s="652" t="s">
        <v>324</v>
      </c>
      <c r="C66" s="653">
        <v>1</v>
      </c>
      <c r="D66" s="653" t="s">
        <v>279</v>
      </c>
      <c r="E66" s="654">
        <f>Elec_Est!AM23</f>
        <v>2.2000000000000002</v>
      </c>
      <c r="F66" s="707">
        <f>Elec_Est!AO23</f>
        <v>0.6</v>
      </c>
      <c r="G66" s="654">
        <f>Elec_Est!E23</f>
        <v>24.28</v>
      </c>
      <c r="H66" s="655">
        <f t="shared" ref="H66:H73" si="1">C66*G66</f>
        <v>24.28</v>
      </c>
      <c r="I66" s="755"/>
      <c r="J66" s="755"/>
      <c r="K66" s="755"/>
      <c r="L66" s="755"/>
      <c r="M66" s="622"/>
      <c r="N66" s="622"/>
      <c r="O66" s="622"/>
      <c r="P66" s="622"/>
      <c r="Q66" s="622"/>
      <c r="R66" s="622"/>
      <c r="S66" s="622"/>
      <c r="T66" s="622"/>
      <c r="U66" s="622"/>
      <c r="V66" s="622"/>
      <c r="W66" s="622"/>
      <c r="X66" s="622"/>
      <c r="Y66" s="622"/>
      <c r="Z66" s="622"/>
      <c r="AA66" s="622"/>
      <c r="AB66" s="622"/>
    </row>
    <row r="67" spans="1:28" ht="40.200000000000003">
      <c r="A67" s="651">
        <f>IF(ISBLANK(C67),"",(MAX($A$61:A66)+0.001))</f>
        <v>6.0020000000000007</v>
      </c>
      <c r="B67" s="652" t="s">
        <v>325</v>
      </c>
      <c r="C67" s="653">
        <v>1</v>
      </c>
      <c r="D67" s="653" t="s">
        <v>279</v>
      </c>
      <c r="E67" s="654">
        <f>Elec_Est!AM30</f>
        <v>2.2000000000000002</v>
      </c>
      <c r="F67" s="707">
        <f>Elec_Est!AO30</f>
        <v>0.6</v>
      </c>
      <c r="G67" s="654">
        <f>Elec_Est!E30</f>
        <v>24.28</v>
      </c>
      <c r="H67" s="655">
        <f t="shared" si="1"/>
        <v>24.28</v>
      </c>
      <c r="I67" s="755"/>
      <c r="J67" s="755"/>
      <c r="K67" s="755"/>
      <c r="L67" s="755"/>
      <c r="M67" s="622"/>
      <c r="N67" s="622"/>
      <c r="O67" s="622"/>
      <c r="P67" s="622"/>
      <c r="Q67" s="622"/>
      <c r="R67" s="622"/>
      <c r="S67" s="622"/>
      <c r="T67" s="622"/>
      <c r="U67" s="622"/>
      <c r="V67" s="622"/>
      <c r="W67" s="622"/>
      <c r="X67" s="622"/>
      <c r="Y67" s="622"/>
      <c r="Z67" s="622"/>
      <c r="AA67" s="622"/>
      <c r="AB67" s="622"/>
    </row>
    <row r="68" spans="1:28">
      <c r="A68" s="616">
        <f>IF(ISBLANK(C68),"",(MAX($A$61:A67)+0.001))</f>
        <v>6.003000000000001</v>
      </c>
      <c r="B68" s="624" t="s">
        <v>326</v>
      </c>
      <c r="C68" s="618">
        <v>1</v>
      </c>
      <c r="D68" s="618" t="s">
        <v>279</v>
      </c>
      <c r="F68" s="705"/>
      <c r="H68" s="625">
        <f t="shared" si="1"/>
        <v>0</v>
      </c>
      <c r="I68" s="621"/>
      <c r="J68" s="622"/>
      <c r="K68" s="622"/>
      <c r="L68" s="622"/>
      <c r="M68" s="622"/>
      <c r="N68" s="622"/>
      <c r="O68" s="622"/>
      <c r="P68" s="622"/>
      <c r="Q68" s="622"/>
      <c r="R68" s="622"/>
      <c r="S68" s="622"/>
      <c r="T68" s="622"/>
      <c r="U68" s="622"/>
      <c r="V68" s="622"/>
      <c r="W68" s="622"/>
      <c r="X68" s="622"/>
      <c r="Y68" s="622"/>
      <c r="Z68" s="622"/>
      <c r="AA68" s="622"/>
      <c r="AB68" s="622"/>
    </row>
    <row r="69" spans="1:28" ht="53.4">
      <c r="A69" s="616">
        <f>IF(ISBLANK(C69),"",(MAX($A$61:A68)+0.001))</f>
        <v>6.0040000000000013</v>
      </c>
      <c r="B69" s="624" t="s">
        <v>327</v>
      </c>
      <c r="C69" s="618">
        <v>1</v>
      </c>
      <c r="D69" s="618" t="s">
        <v>279</v>
      </c>
      <c r="F69" s="705"/>
      <c r="H69" s="625">
        <f t="shared" si="1"/>
        <v>0</v>
      </c>
      <c r="I69" s="621"/>
      <c r="J69" s="622"/>
      <c r="K69" s="622"/>
      <c r="L69" s="622"/>
      <c r="M69" s="622"/>
      <c r="N69" s="622"/>
      <c r="O69" s="622"/>
      <c r="P69" s="622"/>
      <c r="Q69" s="622"/>
      <c r="R69" s="622"/>
      <c r="S69" s="622"/>
      <c r="T69" s="622"/>
      <c r="U69" s="622"/>
      <c r="V69" s="622"/>
      <c r="W69" s="622"/>
      <c r="X69" s="622"/>
      <c r="Y69" s="622"/>
      <c r="Z69" s="622"/>
      <c r="AA69" s="622"/>
      <c r="AB69" s="622"/>
    </row>
    <row r="70" spans="1:28">
      <c r="A70" s="616">
        <f>IF(ISBLANK(C70),"",(MAX($A$61:A69)+0.001))</f>
        <v>6.0050000000000017</v>
      </c>
      <c r="B70" s="624" t="s">
        <v>328</v>
      </c>
      <c r="C70" s="618">
        <v>1</v>
      </c>
      <c r="D70" s="618" t="s">
        <v>279</v>
      </c>
      <c r="F70" s="705"/>
      <c r="H70" s="625">
        <f t="shared" si="1"/>
        <v>0</v>
      </c>
      <c r="I70" s="621"/>
      <c r="J70" s="622"/>
      <c r="K70" s="622"/>
      <c r="L70" s="622"/>
      <c r="M70" s="622"/>
      <c r="N70" s="622"/>
      <c r="O70" s="622"/>
      <c r="P70" s="622"/>
      <c r="Q70" s="622"/>
      <c r="R70" s="622"/>
      <c r="S70" s="622"/>
      <c r="T70" s="622"/>
      <c r="U70" s="622"/>
      <c r="V70" s="622"/>
      <c r="W70" s="622"/>
      <c r="X70" s="622"/>
      <c r="Y70" s="622"/>
      <c r="Z70" s="622"/>
      <c r="AA70" s="622"/>
      <c r="AB70" s="622"/>
    </row>
    <row r="71" spans="1:28">
      <c r="A71" s="616">
        <f>IF(ISBLANK(C71),"",(MAX($A$61:A70)+0.001))</f>
        <v>6.006000000000002</v>
      </c>
      <c r="B71" s="656" t="s">
        <v>329</v>
      </c>
      <c r="C71" s="618">
        <v>1</v>
      </c>
      <c r="D71" s="618" t="s">
        <v>279</v>
      </c>
      <c r="F71" s="705"/>
      <c r="H71" s="625">
        <f t="shared" si="1"/>
        <v>0</v>
      </c>
      <c r="I71" s="621"/>
      <c r="J71" s="622"/>
      <c r="K71" s="622"/>
      <c r="L71" s="622"/>
      <c r="M71" s="622"/>
      <c r="N71" s="622"/>
      <c r="O71" s="622"/>
      <c r="P71" s="622"/>
      <c r="Q71" s="622"/>
      <c r="R71" s="622"/>
      <c r="S71" s="622"/>
      <c r="T71" s="622"/>
      <c r="U71" s="622"/>
      <c r="V71" s="622"/>
      <c r="W71" s="622"/>
      <c r="X71" s="622"/>
      <c r="Y71" s="622"/>
      <c r="Z71" s="622"/>
      <c r="AA71" s="622"/>
      <c r="AB71" s="622"/>
    </row>
    <row r="72" spans="1:28">
      <c r="A72" s="616">
        <f>IF(ISBLANK(C72),"",(MAX($A$61:A71)+0.001))</f>
        <v>6.0070000000000023</v>
      </c>
      <c r="B72" s="656" t="s">
        <v>330</v>
      </c>
      <c r="C72" s="618">
        <v>1</v>
      </c>
      <c r="D72" s="618" t="s">
        <v>279</v>
      </c>
      <c r="F72" s="705"/>
      <c r="G72" s="619" t="s">
        <v>280</v>
      </c>
      <c r="H72" s="625" t="s">
        <v>280</v>
      </c>
      <c r="I72" s="621"/>
      <c r="J72" s="622"/>
      <c r="K72" s="622"/>
      <c r="L72" s="622"/>
      <c r="M72" s="622"/>
      <c r="N72" s="622"/>
      <c r="O72" s="622"/>
      <c r="P72" s="622"/>
      <c r="Q72" s="622"/>
      <c r="R72" s="622"/>
      <c r="S72" s="622"/>
      <c r="T72" s="622"/>
      <c r="U72" s="622"/>
      <c r="V72" s="622"/>
      <c r="W72" s="622"/>
      <c r="X72" s="622"/>
      <c r="Y72" s="622"/>
      <c r="Z72" s="622"/>
      <c r="AA72" s="622"/>
      <c r="AB72" s="622"/>
    </row>
    <row r="73" spans="1:28" ht="40.200000000000003">
      <c r="A73" s="651">
        <f>IF(ISBLANK(C73),"",(MAX($A$61:A72)+0.001))</f>
        <v>6.0080000000000027</v>
      </c>
      <c r="B73" s="652" t="s">
        <v>331</v>
      </c>
      <c r="C73" s="653">
        <v>1</v>
      </c>
      <c r="D73" s="653" t="s">
        <v>279</v>
      </c>
      <c r="E73" s="654">
        <f>Elec_Est!AM37</f>
        <v>180</v>
      </c>
      <c r="F73" s="654">
        <f>Elec_Est!AO37</f>
        <v>0</v>
      </c>
      <c r="G73" s="654">
        <f>Elec_Est!E37</f>
        <v>234</v>
      </c>
      <c r="H73" s="655">
        <f t="shared" si="1"/>
        <v>234</v>
      </c>
      <c r="I73" s="621"/>
      <c r="J73" s="622"/>
      <c r="K73" s="622"/>
      <c r="L73" s="622"/>
      <c r="M73" s="622"/>
      <c r="N73" s="622"/>
      <c r="O73" s="622"/>
      <c r="P73" s="622"/>
      <c r="Q73" s="622"/>
      <c r="R73" s="622"/>
      <c r="S73" s="622"/>
      <c r="T73" s="622"/>
      <c r="U73" s="622"/>
      <c r="V73" s="622"/>
      <c r="W73" s="622"/>
      <c r="X73" s="622"/>
      <c r="Y73" s="622"/>
      <c r="Z73" s="622"/>
      <c r="AA73" s="622"/>
      <c r="AB73" s="622"/>
    </row>
    <row r="74" spans="1:28">
      <c r="A74" s="616" t="str">
        <f>IF(ISBLANK(C74),"",(MAX($A$61:A73)+0.001))</f>
        <v/>
      </c>
      <c r="E74" s="619"/>
      <c r="F74" s="708"/>
      <c r="I74" s="621"/>
      <c r="J74" s="622"/>
      <c r="K74" s="622"/>
      <c r="L74" s="622"/>
      <c r="M74" s="622"/>
      <c r="N74" s="622"/>
      <c r="O74" s="622"/>
      <c r="P74" s="622"/>
      <c r="Q74" s="622"/>
      <c r="R74" s="622"/>
      <c r="S74" s="622"/>
      <c r="T74" s="622"/>
      <c r="U74" s="622"/>
      <c r="V74" s="622"/>
      <c r="W74" s="622"/>
      <c r="X74" s="622"/>
      <c r="Y74" s="622"/>
      <c r="Z74" s="622"/>
      <c r="AA74" s="622"/>
      <c r="AB74" s="622"/>
    </row>
    <row r="75" spans="1:28" ht="27">
      <c r="A75" s="616" t="str">
        <f>IF(ISBLANK(C75),"",(MAX($A$61:A73)+0.001))</f>
        <v/>
      </c>
      <c r="B75" s="624" t="s">
        <v>332</v>
      </c>
      <c r="E75" s="619"/>
      <c r="F75" s="708"/>
      <c r="I75" s="621"/>
      <c r="J75" s="622"/>
      <c r="K75" s="622"/>
      <c r="L75" s="622"/>
      <c r="M75" s="622"/>
      <c r="N75" s="622"/>
      <c r="O75" s="622"/>
      <c r="P75" s="622"/>
      <c r="Q75" s="622"/>
      <c r="R75" s="622"/>
      <c r="S75" s="622"/>
      <c r="T75" s="622"/>
      <c r="U75" s="622"/>
      <c r="V75" s="622"/>
      <c r="W75" s="622"/>
      <c r="X75" s="622"/>
      <c r="Y75" s="622"/>
      <c r="Z75" s="622"/>
      <c r="AA75" s="622"/>
      <c r="AB75" s="622"/>
    </row>
    <row r="76" spans="1:28" ht="27">
      <c r="A76" s="651">
        <f>IF(ISBLANK(C76),"",(MAX($A$61:A75)+0.001))</f>
        <v>6.009000000000003</v>
      </c>
      <c r="B76" s="652" t="s">
        <v>333</v>
      </c>
      <c r="C76" s="653">
        <v>1</v>
      </c>
      <c r="D76" s="653" t="s">
        <v>279</v>
      </c>
      <c r="E76" s="654">
        <f>Elec_Est!AM45</f>
        <v>2.2000000000000002</v>
      </c>
      <c r="F76" s="707">
        <f>Elec_Est!AO45</f>
        <v>0.6</v>
      </c>
      <c r="G76" s="654">
        <f>Elec_Est!E45</f>
        <v>24.28</v>
      </c>
      <c r="H76" s="655">
        <f t="shared" ref="H76:H92" si="2">C76*G76</f>
        <v>24.28</v>
      </c>
      <c r="I76" s="621"/>
      <c r="J76" s="622"/>
      <c r="K76" s="622"/>
      <c r="L76" s="622"/>
      <c r="M76" s="622"/>
      <c r="N76" s="622"/>
      <c r="O76" s="622"/>
      <c r="P76" s="622"/>
      <c r="Q76" s="622"/>
      <c r="R76" s="622"/>
      <c r="S76" s="622"/>
      <c r="T76" s="622"/>
      <c r="U76" s="622"/>
      <c r="V76" s="622"/>
      <c r="W76" s="622"/>
      <c r="X76" s="622"/>
      <c r="Y76" s="622"/>
      <c r="Z76" s="622"/>
      <c r="AA76" s="622"/>
      <c r="AB76" s="622"/>
    </row>
    <row r="77" spans="1:28" ht="15" customHeight="1">
      <c r="A77" s="616">
        <f>IF(ISBLANK(C77),"",(MAX($A$61:A76)+0.001))</f>
        <v>6.0100000000000033</v>
      </c>
      <c r="B77" s="624" t="s">
        <v>334</v>
      </c>
      <c r="C77" s="618">
        <v>1</v>
      </c>
      <c r="D77" s="618" t="s">
        <v>279</v>
      </c>
      <c r="F77" s="705"/>
      <c r="H77" s="625">
        <f t="shared" si="2"/>
        <v>0</v>
      </c>
      <c r="I77" s="621"/>
      <c r="J77" s="622"/>
      <c r="K77" s="622"/>
      <c r="L77" s="622"/>
      <c r="M77" s="622"/>
      <c r="N77" s="622"/>
      <c r="O77" s="622"/>
      <c r="P77" s="622"/>
      <c r="Q77" s="622"/>
      <c r="R77" s="622"/>
      <c r="S77" s="622"/>
      <c r="T77" s="622"/>
      <c r="U77" s="622"/>
      <c r="V77" s="622"/>
      <c r="W77" s="622"/>
      <c r="X77" s="622"/>
      <c r="Y77" s="622"/>
      <c r="Z77" s="622"/>
      <c r="AA77" s="622"/>
      <c r="AB77" s="622"/>
    </row>
    <row r="78" spans="1:28" ht="15" customHeight="1">
      <c r="A78" s="616">
        <f>IF(ISBLANK(C78),"",(MAX($A$61:A77)+0.001))</f>
        <v>6.0110000000000037</v>
      </c>
      <c r="B78" s="624" t="s">
        <v>335</v>
      </c>
      <c r="C78" s="618">
        <v>2</v>
      </c>
      <c r="D78" s="618" t="s">
        <v>279</v>
      </c>
      <c r="F78" s="705"/>
      <c r="H78" s="625">
        <f t="shared" si="2"/>
        <v>0</v>
      </c>
      <c r="I78" s="621"/>
      <c r="J78" s="622"/>
      <c r="K78" s="622"/>
      <c r="L78" s="622"/>
      <c r="M78" s="622"/>
      <c r="N78" s="622"/>
      <c r="O78" s="622"/>
      <c r="P78" s="622"/>
      <c r="Q78" s="622"/>
      <c r="R78" s="622"/>
      <c r="S78" s="622"/>
      <c r="T78" s="622"/>
      <c r="U78" s="622"/>
      <c r="V78" s="622"/>
      <c r="W78" s="622"/>
      <c r="X78" s="622"/>
      <c r="Y78" s="622"/>
      <c r="Z78" s="622"/>
      <c r="AA78" s="622"/>
      <c r="AB78" s="622"/>
    </row>
    <row r="79" spans="1:28">
      <c r="A79" s="616">
        <f>IF(ISBLANK(C79),"",(MAX($A$61:A78)+0.001))</f>
        <v>6.012000000000004</v>
      </c>
      <c r="B79" s="656" t="s">
        <v>329</v>
      </c>
      <c r="C79" s="618">
        <v>1</v>
      </c>
      <c r="D79" s="618" t="s">
        <v>279</v>
      </c>
      <c r="F79" s="705"/>
      <c r="H79" s="625">
        <f t="shared" si="2"/>
        <v>0</v>
      </c>
      <c r="I79" s="621"/>
      <c r="J79" s="622"/>
      <c r="K79" s="622"/>
      <c r="L79" s="622"/>
      <c r="M79" s="622"/>
      <c r="N79" s="622"/>
      <c r="O79" s="622"/>
      <c r="P79" s="622"/>
      <c r="Q79" s="622"/>
      <c r="R79" s="622"/>
      <c r="S79" s="622"/>
      <c r="T79" s="622"/>
      <c r="U79" s="622"/>
      <c r="V79" s="622"/>
      <c r="W79" s="622"/>
      <c r="X79" s="622"/>
      <c r="Y79" s="622"/>
      <c r="Z79" s="622"/>
      <c r="AA79" s="622"/>
      <c r="AB79" s="622"/>
    </row>
    <row r="80" spans="1:28">
      <c r="A80" s="616">
        <f>IF(ISBLANK(C80),"",(MAX($A$61:A79)+0.001))</f>
        <v>6.0130000000000043</v>
      </c>
      <c r="B80" s="656" t="s">
        <v>330</v>
      </c>
      <c r="C80" s="618">
        <v>1</v>
      </c>
      <c r="D80" s="618" t="s">
        <v>279</v>
      </c>
      <c r="F80" s="705"/>
      <c r="G80" s="619" t="s">
        <v>280</v>
      </c>
      <c r="H80" s="625" t="s">
        <v>280</v>
      </c>
      <c r="I80" s="621"/>
      <c r="J80" s="622"/>
      <c r="K80" s="622"/>
      <c r="L80" s="622"/>
      <c r="M80" s="622"/>
      <c r="N80" s="622"/>
      <c r="O80" s="622"/>
      <c r="P80" s="622"/>
      <c r="Q80" s="622"/>
      <c r="R80" s="622"/>
      <c r="S80" s="622"/>
      <c r="T80" s="622"/>
      <c r="U80" s="622"/>
      <c r="V80" s="622"/>
      <c r="W80" s="622"/>
      <c r="X80" s="622"/>
      <c r="Y80" s="622"/>
      <c r="Z80" s="622"/>
      <c r="AA80" s="622"/>
      <c r="AB80" s="622"/>
    </row>
    <row r="81" spans="1:28" ht="27">
      <c r="A81" s="616">
        <f>IF(ISBLANK(C81),"",(MAX($A$61:A80)+0.001))</f>
        <v>6.0140000000000047</v>
      </c>
      <c r="B81" s="656" t="s">
        <v>336</v>
      </c>
      <c r="C81" s="618">
        <v>1</v>
      </c>
      <c r="D81" s="618" t="s">
        <v>279</v>
      </c>
      <c r="F81" s="705"/>
      <c r="H81" s="625">
        <f t="shared" si="2"/>
        <v>0</v>
      </c>
      <c r="I81" s="621"/>
      <c r="J81" s="622"/>
      <c r="K81" s="622"/>
      <c r="L81" s="622"/>
      <c r="M81" s="622"/>
      <c r="N81" s="622"/>
      <c r="O81" s="622"/>
      <c r="P81" s="622"/>
      <c r="Q81" s="622"/>
      <c r="R81" s="622"/>
      <c r="S81" s="622"/>
      <c r="T81" s="622"/>
      <c r="U81" s="622"/>
      <c r="V81" s="622"/>
      <c r="W81" s="622"/>
      <c r="X81" s="622"/>
      <c r="Y81" s="622"/>
      <c r="Z81" s="622"/>
      <c r="AA81" s="622"/>
      <c r="AB81" s="622"/>
    </row>
    <row r="82" spans="1:28">
      <c r="A82" s="616" t="str">
        <f>IF(ISBLANK(C82),"",(MAX($A$61:A80)+0.001))</f>
        <v/>
      </c>
      <c r="F82" s="705"/>
      <c r="H82" s="625">
        <f t="shared" si="2"/>
        <v>0</v>
      </c>
      <c r="I82" s="621"/>
      <c r="J82" s="622"/>
      <c r="K82" s="622"/>
      <c r="L82" s="622"/>
      <c r="M82" s="622"/>
      <c r="N82" s="622"/>
      <c r="O82" s="622"/>
      <c r="P82" s="622"/>
      <c r="Q82" s="622"/>
      <c r="R82" s="622"/>
      <c r="S82" s="622"/>
      <c r="T82" s="622"/>
      <c r="U82" s="622"/>
      <c r="V82" s="622"/>
      <c r="W82" s="622"/>
      <c r="X82" s="622"/>
      <c r="Y82" s="622"/>
      <c r="Z82" s="622"/>
      <c r="AA82" s="622"/>
      <c r="AB82" s="622"/>
    </row>
    <row r="83" spans="1:28">
      <c r="A83" s="616" t="str">
        <f>IF(ISBLANK(C83),"",(MAX($A$61:A82)+0.001))</f>
        <v/>
      </c>
      <c r="B83" s="638" t="s">
        <v>337</v>
      </c>
      <c r="F83" s="705"/>
      <c r="H83" s="625">
        <f t="shared" si="2"/>
        <v>0</v>
      </c>
      <c r="I83" s="621"/>
      <c r="J83" s="622"/>
      <c r="K83" s="622"/>
      <c r="L83" s="622"/>
      <c r="M83" s="622"/>
      <c r="N83" s="622"/>
      <c r="O83" s="622"/>
      <c r="P83" s="622"/>
      <c r="Q83" s="622"/>
      <c r="R83" s="622"/>
      <c r="S83" s="622"/>
      <c r="T83" s="622"/>
      <c r="U83" s="622"/>
      <c r="V83" s="622"/>
      <c r="W83" s="622"/>
      <c r="X83" s="622"/>
      <c r="Y83" s="622"/>
      <c r="Z83" s="622"/>
      <c r="AA83" s="622"/>
      <c r="AB83" s="622"/>
    </row>
    <row r="84" spans="1:28">
      <c r="A84" s="616">
        <f>IF(ISBLANK(C84),"",(MAX($A$61:A83)+0.001))</f>
        <v>6.015000000000005</v>
      </c>
      <c r="B84" s="624" t="s">
        <v>338</v>
      </c>
      <c r="C84" s="618">
        <v>1</v>
      </c>
      <c r="D84" s="618" t="s">
        <v>279</v>
      </c>
      <c r="F84" s="705"/>
      <c r="H84" s="625">
        <f t="shared" si="2"/>
        <v>0</v>
      </c>
      <c r="I84" s="621"/>
      <c r="J84" s="622"/>
      <c r="K84" s="622"/>
      <c r="L84" s="622"/>
      <c r="M84" s="622"/>
      <c r="N84" s="622"/>
      <c r="O84" s="622"/>
      <c r="P84" s="622"/>
      <c r="Q84" s="622"/>
      <c r="R84" s="622"/>
      <c r="S84" s="622"/>
      <c r="T84" s="622"/>
      <c r="U84" s="622"/>
      <c r="V84" s="622"/>
      <c r="W84" s="622"/>
      <c r="X84" s="622"/>
      <c r="Y84" s="622"/>
      <c r="Z84" s="622"/>
      <c r="AA84" s="622"/>
      <c r="AB84" s="622"/>
    </row>
    <row r="85" spans="1:28" ht="27">
      <c r="A85" s="616">
        <f>IF(ISBLANK(C85),"",(MAX($A$61:A84)+0.001))</f>
        <v>6.0160000000000053</v>
      </c>
      <c r="B85" s="656" t="s">
        <v>336</v>
      </c>
      <c r="C85" s="618">
        <v>1</v>
      </c>
      <c r="D85" s="618" t="s">
        <v>279</v>
      </c>
      <c r="F85" s="705"/>
      <c r="H85" s="625">
        <f t="shared" si="2"/>
        <v>0</v>
      </c>
      <c r="I85" s="621"/>
      <c r="J85" s="622"/>
      <c r="K85" s="622"/>
      <c r="L85" s="622"/>
      <c r="M85" s="622"/>
      <c r="N85" s="622"/>
      <c r="O85" s="622"/>
      <c r="P85" s="622"/>
      <c r="Q85" s="622"/>
      <c r="R85" s="622"/>
      <c r="S85" s="622"/>
      <c r="T85" s="622"/>
      <c r="U85" s="622"/>
      <c r="V85" s="622"/>
      <c r="W85" s="622"/>
      <c r="X85" s="622"/>
      <c r="Y85" s="622"/>
      <c r="Z85" s="622"/>
      <c r="AA85" s="622"/>
      <c r="AB85" s="622"/>
    </row>
    <row r="86" spans="1:28">
      <c r="A86" s="616">
        <f>IF(ISBLANK(C86),"",(MAX($A$61:A85)+0.001))</f>
        <v>6.0170000000000057</v>
      </c>
      <c r="B86" s="656" t="s">
        <v>329</v>
      </c>
      <c r="C86" s="618">
        <v>1</v>
      </c>
      <c r="D86" s="618" t="s">
        <v>279</v>
      </c>
      <c r="F86" s="705"/>
      <c r="H86" s="625">
        <f t="shared" si="2"/>
        <v>0</v>
      </c>
      <c r="I86" s="621"/>
      <c r="J86" s="622"/>
      <c r="K86" s="622"/>
      <c r="L86" s="622"/>
      <c r="M86" s="622"/>
      <c r="N86" s="622"/>
      <c r="O86" s="622"/>
      <c r="P86" s="622"/>
      <c r="Q86" s="622"/>
      <c r="R86" s="622"/>
      <c r="S86" s="622"/>
      <c r="T86" s="622"/>
      <c r="U86" s="622"/>
      <c r="V86" s="622"/>
      <c r="W86" s="622"/>
      <c r="X86" s="622"/>
      <c r="Y86" s="622"/>
      <c r="Z86" s="622"/>
      <c r="AA86" s="622"/>
      <c r="AB86" s="622"/>
    </row>
    <row r="87" spans="1:28">
      <c r="A87" s="616" t="str">
        <f>IF(ISBLANK(C87),"",(MAX($A$61:A86)+0.001))</f>
        <v/>
      </c>
      <c r="B87" s="647"/>
      <c r="F87" s="705"/>
      <c r="H87" s="625">
        <f t="shared" si="2"/>
        <v>0</v>
      </c>
      <c r="I87" s="621"/>
      <c r="J87" s="622"/>
      <c r="K87" s="622"/>
      <c r="L87" s="622"/>
      <c r="M87" s="622"/>
      <c r="N87" s="622"/>
      <c r="O87" s="622"/>
      <c r="P87" s="622"/>
      <c r="Q87" s="622"/>
      <c r="R87" s="622"/>
      <c r="S87" s="622"/>
      <c r="T87" s="622"/>
      <c r="U87" s="622"/>
      <c r="V87" s="622"/>
      <c r="W87" s="622"/>
      <c r="X87" s="622"/>
      <c r="Y87" s="622"/>
      <c r="Z87" s="622"/>
      <c r="AA87" s="622"/>
      <c r="AB87" s="622"/>
    </row>
    <row r="88" spans="1:28">
      <c r="A88" s="635" t="str">
        <f>IF(ISBLANK(C88),"",(MAX($A$61:A87)+0.001))</f>
        <v/>
      </c>
      <c r="B88" s="648" t="s">
        <v>314</v>
      </c>
      <c r="C88" s="636"/>
      <c r="D88" s="636"/>
      <c r="E88" s="636"/>
      <c r="F88" s="709"/>
      <c r="G88" s="637"/>
      <c r="H88" s="631">
        <f t="shared" si="2"/>
        <v>0</v>
      </c>
      <c r="I88" s="621"/>
      <c r="J88" s="622"/>
      <c r="K88" s="622"/>
      <c r="L88" s="622"/>
      <c r="M88" s="622"/>
      <c r="N88" s="622"/>
      <c r="O88" s="622"/>
      <c r="P88" s="622"/>
      <c r="Q88" s="622"/>
      <c r="R88" s="622"/>
      <c r="S88" s="622"/>
      <c r="T88" s="622"/>
      <c r="U88" s="622"/>
      <c r="V88" s="622"/>
      <c r="W88" s="622"/>
      <c r="X88" s="622"/>
      <c r="Y88" s="622"/>
      <c r="Z88" s="622"/>
      <c r="AA88" s="622"/>
      <c r="AB88" s="622"/>
    </row>
    <row r="89" spans="1:28" ht="40.200000000000003">
      <c r="A89" s="616">
        <f>IF(ISBLANK(C89),"",(MAX($A$61:A88)+0.001))</f>
        <v>6.018000000000006</v>
      </c>
      <c r="B89" s="624" t="s">
        <v>315</v>
      </c>
      <c r="C89" s="618">
        <v>1</v>
      </c>
      <c r="D89" s="618" t="s">
        <v>316</v>
      </c>
      <c r="F89" s="705"/>
      <c r="H89" s="625">
        <f t="shared" si="2"/>
        <v>0</v>
      </c>
      <c r="I89" s="621"/>
      <c r="J89" s="622"/>
      <c r="K89" s="622"/>
      <c r="L89" s="622"/>
      <c r="M89" s="622"/>
      <c r="N89" s="622"/>
      <c r="O89" s="622"/>
      <c r="P89" s="622"/>
      <c r="Q89" s="622"/>
      <c r="R89" s="622"/>
      <c r="S89" s="622"/>
      <c r="T89" s="622"/>
      <c r="U89" s="622"/>
      <c r="V89" s="622"/>
      <c r="W89" s="622"/>
      <c r="X89" s="622"/>
      <c r="Y89" s="622"/>
      <c r="Z89" s="622"/>
      <c r="AA89" s="622"/>
      <c r="AB89" s="622"/>
    </row>
    <row r="90" spans="1:28" s="634" customFormat="1" ht="79.8">
      <c r="A90" s="616">
        <f>IF(ISBLANK(C90),"",(MAX($A$61:A89)+0.001))</f>
        <v>6.0190000000000063</v>
      </c>
      <c r="B90" s="624" t="s">
        <v>317</v>
      </c>
      <c r="C90" s="618">
        <v>1</v>
      </c>
      <c r="D90" s="618" t="s">
        <v>316</v>
      </c>
      <c r="E90" s="618"/>
      <c r="F90" s="705"/>
      <c r="G90" s="619"/>
      <c r="H90" s="625">
        <f t="shared" si="2"/>
        <v>0</v>
      </c>
      <c r="I90" s="632"/>
      <c r="J90" s="633"/>
      <c r="K90" s="633"/>
      <c r="L90" s="633"/>
      <c r="M90" s="633"/>
      <c r="N90" s="633"/>
      <c r="O90" s="633"/>
      <c r="P90" s="633"/>
      <c r="Q90" s="633"/>
      <c r="R90" s="633"/>
      <c r="S90" s="633"/>
      <c r="T90" s="633"/>
      <c r="U90" s="633"/>
      <c r="V90" s="633"/>
      <c r="W90" s="633"/>
      <c r="X90" s="633"/>
      <c r="Y90" s="633"/>
      <c r="Z90" s="633"/>
      <c r="AA90" s="633"/>
      <c r="AB90" s="633"/>
    </row>
    <row r="91" spans="1:28">
      <c r="A91" s="616" t="str">
        <f>IF(ISBLANK(C91),"",(MAX($A$61:A90)+0.001))</f>
        <v/>
      </c>
      <c r="F91" s="705"/>
      <c r="H91" s="625">
        <f t="shared" si="2"/>
        <v>0</v>
      </c>
      <c r="I91" s="621"/>
      <c r="J91" s="622"/>
      <c r="K91" s="622"/>
      <c r="L91" s="622"/>
      <c r="M91" s="622"/>
      <c r="N91" s="622"/>
      <c r="O91" s="622"/>
      <c r="P91" s="622"/>
      <c r="Q91" s="622"/>
      <c r="R91" s="622"/>
      <c r="S91" s="622"/>
      <c r="T91" s="622"/>
      <c r="U91" s="622"/>
      <c r="V91" s="622"/>
      <c r="W91" s="622"/>
      <c r="X91" s="622"/>
      <c r="Y91" s="622"/>
      <c r="Z91" s="622"/>
      <c r="AA91" s="622"/>
      <c r="AB91" s="622"/>
    </row>
    <row r="92" spans="1:28">
      <c r="A92" s="635" t="str">
        <f>IF(ISBLANK(C92),"",(MAX($A$61:A91)+0.001))</f>
        <v/>
      </c>
      <c r="B92" s="648" t="s">
        <v>339</v>
      </c>
      <c r="C92" s="636"/>
      <c r="D92" s="636"/>
      <c r="E92" s="636"/>
      <c r="F92" s="709"/>
      <c r="G92" s="637"/>
      <c r="H92" s="631">
        <f t="shared" si="2"/>
        <v>0</v>
      </c>
      <c r="I92" s="621"/>
      <c r="J92" s="622"/>
      <c r="K92" s="622"/>
      <c r="L92" s="622"/>
      <c r="M92" s="622"/>
      <c r="N92" s="622"/>
      <c r="O92" s="622"/>
      <c r="P92" s="622"/>
      <c r="Q92" s="622"/>
      <c r="R92" s="622"/>
      <c r="S92" s="622"/>
      <c r="T92" s="622"/>
      <c r="U92" s="622"/>
      <c r="V92" s="622"/>
      <c r="W92" s="622"/>
      <c r="X92" s="622"/>
      <c r="Y92" s="622"/>
      <c r="Z92" s="622"/>
      <c r="AA92" s="622"/>
      <c r="AB92" s="622"/>
    </row>
    <row r="93" spans="1:28" ht="27">
      <c r="A93" s="616">
        <f>IF(ISBLANK(C93),"",(MAX($A$61:A92)+0.001))</f>
        <v>6.0200000000000067</v>
      </c>
      <c r="B93" s="624" t="s">
        <v>340</v>
      </c>
      <c r="C93" s="618">
        <v>1</v>
      </c>
      <c r="D93" s="618" t="s">
        <v>316</v>
      </c>
      <c r="F93" s="705"/>
      <c r="G93" s="619" t="s">
        <v>280</v>
      </c>
      <c r="H93" s="625" t="s">
        <v>280</v>
      </c>
      <c r="I93" s="621"/>
      <c r="J93" s="622"/>
      <c r="K93" s="622"/>
      <c r="L93" s="622"/>
      <c r="M93" s="622"/>
      <c r="N93" s="622"/>
      <c r="O93" s="622"/>
      <c r="P93" s="622"/>
      <c r="Q93" s="622"/>
      <c r="R93" s="622"/>
      <c r="S93" s="622"/>
      <c r="T93" s="622"/>
      <c r="U93" s="622"/>
      <c r="V93" s="622"/>
      <c r="W93" s="622"/>
      <c r="X93" s="622"/>
      <c r="Y93" s="622"/>
      <c r="Z93" s="622"/>
      <c r="AA93" s="622"/>
      <c r="AB93" s="622"/>
    </row>
    <row r="94" spans="1:28">
      <c r="A94" s="616" t="str">
        <f>IF(ISBLANK(C94),"",(MAX($A$61:A93)+0.001))</f>
        <v/>
      </c>
      <c r="F94" s="705"/>
      <c r="I94" s="621"/>
      <c r="J94" s="622"/>
      <c r="K94" s="622"/>
      <c r="L94" s="622"/>
      <c r="M94" s="622"/>
      <c r="N94" s="622"/>
      <c r="O94" s="622"/>
      <c r="P94" s="622"/>
      <c r="Q94" s="622"/>
      <c r="R94" s="622"/>
      <c r="S94" s="622"/>
      <c r="T94" s="622"/>
      <c r="U94" s="622"/>
      <c r="V94" s="622"/>
      <c r="W94" s="622"/>
      <c r="X94" s="622"/>
      <c r="Y94" s="622"/>
      <c r="Z94" s="622"/>
      <c r="AA94" s="622"/>
      <c r="AB94" s="622"/>
    </row>
    <row r="95" spans="1:28">
      <c r="A95" s="635" t="str">
        <f>IF(ISBLANK(C95),"",(MAX($A$61:A94)+0.001))</f>
        <v/>
      </c>
      <c r="B95" s="648" t="s">
        <v>318</v>
      </c>
      <c r="C95" s="636"/>
      <c r="D95" s="636"/>
      <c r="E95" s="636"/>
      <c r="F95" s="709"/>
      <c r="G95" s="637"/>
      <c r="H95" s="631"/>
      <c r="I95" s="621"/>
      <c r="J95" s="622"/>
      <c r="K95" s="622"/>
      <c r="L95" s="622"/>
      <c r="M95" s="622"/>
      <c r="N95" s="622"/>
      <c r="O95" s="622"/>
      <c r="P95" s="622"/>
      <c r="Q95" s="622"/>
      <c r="R95" s="622"/>
      <c r="S95" s="622"/>
      <c r="T95" s="622"/>
      <c r="U95" s="622"/>
      <c r="V95" s="622"/>
      <c r="W95" s="622"/>
      <c r="X95" s="622"/>
      <c r="Y95" s="622"/>
      <c r="Z95" s="622"/>
      <c r="AA95" s="622"/>
      <c r="AB95" s="622"/>
    </row>
    <row r="96" spans="1:28" ht="27">
      <c r="A96" s="616">
        <f>IF(ISBLANK(C96),"",(MAX($A$61:A95)+0.001))</f>
        <v>6.021000000000007</v>
      </c>
      <c r="B96" s="624" t="s">
        <v>319</v>
      </c>
      <c r="C96" s="618">
        <v>1</v>
      </c>
      <c r="D96" s="618" t="s">
        <v>316</v>
      </c>
      <c r="F96" s="705"/>
      <c r="G96" s="619" t="s">
        <v>280</v>
      </c>
      <c r="H96" s="625" t="s">
        <v>280</v>
      </c>
      <c r="I96" s="621"/>
      <c r="J96" s="622"/>
      <c r="K96" s="622"/>
      <c r="L96" s="622"/>
      <c r="M96" s="622"/>
      <c r="N96" s="622"/>
      <c r="O96" s="622"/>
      <c r="P96" s="622"/>
      <c r="Q96" s="622"/>
      <c r="R96" s="622"/>
      <c r="S96" s="622"/>
      <c r="T96" s="622"/>
      <c r="U96" s="622"/>
      <c r="V96" s="622"/>
      <c r="W96" s="622"/>
      <c r="X96" s="622"/>
      <c r="Y96" s="622"/>
      <c r="Z96" s="622"/>
      <c r="AA96" s="622"/>
      <c r="AB96" s="622"/>
    </row>
    <row r="97" spans="1:28" s="646" customFormat="1">
      <c r="A97" s="616">
        <f>IF(ISBLANK(C97),"",(MAX($A$61:A96)+0.001))</f>
        <v>6.0220000000000073</v>
      </c>
      <c r="B97" s="624" t="s">
        <v>341</v>
      </c>
      <c r="C97" s="618">
        <v>1</v>
      </c>
      <c r="D97" s="618" t="s">
        <v>316</v>
      </c>
      <c r="E97" s="618"/>
      <c r="F97" s="705"/>
      <c r="G97" s="619"/>
      <c r="H97" s="625">
        <f t="shared" ref="H97:H98" si="3">C97*G97</f>
        <v>0</v>
      </c>
      <c r="I97" s="644"/>
      <c r="J97" s="645"/>
      <c r="K97" s="645"/>
      <c r="L97" s="645"/>
      <c r="M97" s="645"/>
      <c r="N97" s="645"/>
      <c r="O97" s="645"/>
      <c r="P97" s="645"/>
      <c r="Q97" s="645"/>
      <c r="R97" s="645"/>
      <c r="S97" s="645"/>
      <c r="T97" s="645"/>
      <c r="U97" s="645"/>
      <c r="V97" s="645"/>
      <c r="W97" s="645"/>
      <c r="X97" s="645"/>
      <c r="Y97" s="645"/>
      <c r="Z97" s="645"/>
      <c r="AA97" s="645"/>
      <c r="AB97" s="645"/>
    </row>
    <row r="98" spans="1:28" ht="27">
      <c r="A98" s="616">
        <f>IF(ISBLANK(C98),"",(MAX($A$61:A97)+0.001))</f>
        <v>6.0230000000000077</v>
      </c>
      <c r="B98" s="624" t="s">
        <v>342</v>
      </c>
      <c r="C98" s="618">
        <v>1</v>
      </c>
      <c r="D98" s="618" t="s">
        <v>316</v>
      </c>
      <c r="F98" s="705"/>
      <c r="H98" s="625">
        <f t="shared" si="3"/>
        <v>0</v>
      </c>
      <c r="I98" s="621"/>
      <c r="J98" s="622"/>
      <c r="K98" s="622"/>
      <c r="L98" s="622"/>
      <c r="M98" s="622"/>
      <c r="N98" s="622"/>
      <c r="O98" s="622"/>
      <c r="P98" s="622"/>
      <c r="Q98" s="622"/>
      <c r="R98" s="622"/>
      <c r="S98" s="622"/>
      <c r="T98" s="622"/>
      <c r="U98" s="622"/>
      <c r="V98" s="622"/>
      <c r="W98" s="622"/>
      <c r="X98" s="622"/>
      <c r="Y98" s="622"/>
      <c r="Z98" s="622"/>
      <c r="AA98" s="622"/>
      <c r="AB98" s="622"/>
    </row>
    <row r="99" spans="1:28">
      <c r="A99" s="640"/>
      <c r="B99" s="657" t="s">
        <v>343</v>
      </c>
      <c r="C99" s="642"/>
      <c r="D99" s="642"/>
      <c r="E99" s="733">
        <f>SUM(E61:E98)</f>
        <v>186.6</v>
      </c>
      <c r="F99" s="732">
        <f>SUM(F61:F98)</f>
        <v>1.7999999999999998</v>
      </c>
      <c r="G99" s="643"/>
      <c r="H99" s="649">
        <f>SUM(H61:H98)</f>
        <v>306.84000000000003</v>
      </c>
      <c r="I99" s="621"/>
      <c r="J99" s="622"/>
      <c r="K99" s="622"/>
      <c r="L99" s="622"/>
      <c r="M99" s="622"/>
      <c r="N99" s="622"/>
      <c r="O99" s="622"/>
      <c r="P99" s="622"/>
      <c r="Q99" s="622"/>
      <c r="R99" s="622"/>
      <c r="S99" s="622"/>
      <c r="T99" s="622"/>
      <c r="U99" s="622"/>
      <c r="V99" s="622"/>
      <c r="W99" s="622"/>
      <c r="X99" s="622"/>
      <c r="Y99" s="622"/>
      <c r="Z99" s="622"/>
      <c r="AA99" s="622"/>
      <c r="AB99" s="622"/>
    </row>
    <row r="100" spans="1:28" s="634" customFormat="1" ht="27" customHeight="1">
      <c r="A100" s="616"/>
      <c r="B100" s="624"/>
      <c r="C100" s="618"/>
      <c r="D100" s="618"/>
      <c r="E100" s="618"/>
      <c r="F100" s="705"/>
      <c r="G100" s="619"/>
      <c r="H100" s="625"/>
      <c r="I100" s="632"/>
      <c r="J100" s="633"/>
      <c r="K100" s="633"/>
      <c r="L100" s="633"/>
      <c r="M100" s="633"/>
      <c r="N100" s="633"/>
      <c r="O100" s="633"/>
      <c r="P100" s="633"/>
      <c r="Q100" s="633"/>
      <c r="R100" s="633"/>
      <c r="S100" s="633"/>
      <c r="T100" s="633"/>
      <c r="U100" s="633"/>
      <c r="V100" s="633"/>
      <c r="W100" s="633"/>
      <c r="X100" s="633"/>
      <c r="Y100" s="633"/>
      <c r="Z100" s="633"/>
      <c r="AA100" s="633"/>
      <c r="AB100" s="633"/>
    </row>
    <row r="101" spans="1:28">
      <c r="B101" s="626" t="s">
        <v>344</v>
      </c>
      <c r="F101" s="705"/>
      <c r="I101" s="621"/>
      <c r="J101" s="622"/>
      <c r="K101" s="622"/>
      <c r="L101" s="622"/>
      <c r="M101" s="622"/>
      <c r="N101" s="622"/>
      <c r="O101" s="622"/>
      <c r="P101" s="622"/>
      <c r="Q101" s="622"/>
      <c r="R101" s="622"/>
      <c r="S101" s="622"/>
      <c r="T101" s="622"/>
      <c r="U101" s="622"/>
      <c r="V101" s="622"/>
      <c r="W101" s="622"/>
      <c r="X101" s="622"/>
      <c r="Y101" s="622"/>
      <c r="Z101" s="622"/>
      <c r="AA101" s="622"/>
      <c r="AB101" s="622"/>
    </row>
    <row r="102" spans="1:28" ht="27">
      <c r="A102" s="627" t="s">
        <v>141</v>
      </c>
      <c r="B102" s="628" t="s">
        <v>191</v>
      </c>
      <c r="C102" s="629" t="s">
        <v>192</v>
      </c>
      <c r="D102" s="629" t="s">
        <v>193</v>
      </c>
      <c r="E102" s="702" t="s">
        <v>420</v>
      </c>
      <c r="F102" s="710" t="s">
        <v>421</v>
      </c>
      <c r="G102" s="630" t="s">
        <v>274</v>
      </c>
      <c r="H102" s="631" t="s">
        <v>275</v>
      </c>
      <c r="I102" s="621"/>
      <c r="J102" s="622"/>
      <c r="K102" s="622"/>
      <c r="L102" s="622"/>
      <c r="M102" s="622"/>
      <c r="N102" s="622"/>
      <c r="O102" s="622"/>
      <c r="P102" s="622"/>
      <c r="Q102" s="622"/>
      <c r="R102" s="622"/>
      <c r="S102" s="622"/>
      <c r="T102" s="622"/>
      <c r="U102" s="622"/>
      <c r="V102" s="622"/>
      <c r="W102" s="622"/>
      <c r="X102" s="622"/>
      <c r="Y102" s="622"/>
      <c r="Z102" s="622"/>
      <c r="AA102" s="622"/>
      <c r="AB102" s="622"/>
    </row>
    <row r="103" spans="1:28" ht="27">
      <c r="A103" s="616">
        <v>7</v>
      </c>
      <c r="B103" s="624" t="s">
        <v>303</v>
      </c>
      <c r="C103" s="618">
        <v>1</v>
      </c>
      <c r="D103" s="618" t="s">
        <v>279</v>
      </c>
      <c r="F103" s="705"/>
      <c r="G103" s="619" t="s">
        <v>280</v>
      </c>
      <c r="H103" s="625" t="s">
        <v>280</v>
      </c>
      <c r="I103" s="621"/>
      <c r="J103" s="622"/>
      <c r="K103" s="622"/>
      <c r="L103" s="622"/>
      <c r="M103" s="622"/>
      <c r="N103" s="622"/>
      <c r="O103" s="622"/>
      <c r="P103" s="622"/>
      <c r="Q103" s="622"/>
      <c r="R103" s="622"/>
      <c r="S103" s="622"/>
      <c r="T103" s="622"/>
      <c r="U103" s="622"/>
      <c r="V103" s="622"/>
      <c r="W103" s="622"/>
      <c r="X103" s="622"/>
      <c r="Y103" s="622"/>
      <c r="Z103" s="622"/>
      <c r="AA103" s="622"/>
      <c r="AB103" s="622"/>
    </row>
    <row r="104" spans="1:28">
      <c r="A104" s="616" t="str">
        <f>IF(ISBLANK(C104),"",(MAX(#REF!)+0.001))</f>
        <v/>
      </c>
      <c r="F104" s="705"/>
      <c r="H104" s="625">
        <f t="shared" ref="H104:H116" si="4">C104*G104</f>
        <v>0</v>
      </c>
      <c r="I104" s="621"/>
      <c r="J104" s="622"/>
      <c r="K104" s="622"/>
      <c r="L104" s="622"/>
      <c r="M104" s="622"/>
      <c r="N104" s="622"/>
      <c r="O104" s="622"/>
      <c r="P104" s="622"/>
      <c r="Q104" s="622"/>
      <c r="R104" s="622"/>
      <c r="S104" s="622"/>
      <c r="T104" s="622"/>
      <c r="U104" s="622"/>
      <c r="V104" s="622"/>
      <c r="W104" s="622"/>
      <c r="X104" s="622"/>
      <c r="Y104" s="622"/>
      <c r="Z104" s="622"/>
      <c r="AA104" s="622"/>
      <c r="AB104" s="622"/>
    </row>
    <row r="105" spans="1:28">
      <c r="A105" s="616" t="str">
        <f>IF(ISBLANK(C105),"",(MAX($A$104:A104)+0.001))</f>
        <v/>
      </c>
      <c r="B105" s="647" t="s">
        <v>345</v>
      </c>
      <c r="F105" s="705"/>
      <c r="H105" s="625">
        <f t="shared" si="4"/>
        <v>0</v>
      </c>
      <c r="I105" s="621"/>
      <c r="J105" s="622"/>
      <c r="K105" s="622"/>
      <c r="L105" s="622"/>
      <c r="M105" s="622"/>
      <c r="N105" s="622"/>
      <c r="O105" s="622"/>
      <c r="P105" s="622"/>
      <c r="Q105" s="622"/>
      <c r="R105" s="622"/>
      <c r="S105" s="622"/>
      <c r="T105" s="622"/>
      <c r="U105" s="622"/>
      <c r="V105" s="622"/>
      <c r="W105" s="622"/>
      <c r="X105" s="622"/>
      <c r="Y105" s="622"/>
      <c r="Z105" s="622"/>
      <c r="AA105" s="622"/>
      <c r="AB105" s="622"/>
    </row>
    <row r="106" spans="1:28">
      <c r="A106" s="616" t="str">
        <f>IF(ISBLANK(C106),"",(MAX($A$104:A105)+0.001))</f>
        <v/>
      </c>
      <c r="F106" s="705"/>
      <c r="H106" s="625">
        <f t="shared" si="4"/>
        <v>0</v>
      </c>
      <c r="I106" s="621"/>
      <c r="J106" s="622"/>
      <c r="K106" s="622"/>
      <c r="L106" s="622"/>
      <c r="M106" s="622"/>
      <c r="N106" s="622"/>
      <c r="O106" s="622"/>
      <c r="P106" s="622"/>
      <c r="Q106" s="622"/>
      <c r="R106" s="622"/>
      <c r="S106" s="622"/>
      <c r="T106" s="622"/>
      <c r="U106" s="622"/>
      <c r="V106" s="622"/>
      <c r="W106" s="622"/>
      <c r="X106" s="622"/>
      <c r="Y106" s="622"/>
      <c r="Z106" s="622"/>
      <c r="AA106" s="622"/>
      <c r="AB106" s="622"/>
    </row>
    <row r="107" spans="1:28" ht="53.4">
      <c r="A107" s="616">
        <f>IF(ISBLANK(C107),"",(MAX($A$103:A106)+0.001))</f>
        <v>7.0010000000000003</v>
      </c>
      <c r="B107" s="624" t="s">
        <v>346</v>
      </c>
      <c r="C107" s="618">
        <v>1</v>
      </c>
      <c r="D107" s="618" t="s">
        <v>310</v>
      </c>
      <c r="F107" s="708"/>
      <c r="H107" s="625">
        <f t="shared" si="4"/>
        <v>0</v>
      </c>
      <c r="I107" s="621"/>
      <c r="J107" s="622"/>
      <c r="K107" s="622"/>
      <c r="L107" s="622"/>
      <c r="M107" s="622"/>
      <c r="N107" s="622"/>
      <c r="O107" s="622"/>
      <c r="P107" s="622"/>
      <c r="Q107" s="622"/>
      <c r="R107" s="622"/>
      <c r="S107" s="622"/>
      <c r="T107" s="622"/>
      <c r="U107" s="622"/>
      <c r="V107" s="622"/>
      <c r="W107" s="622"/>
      <c r="X107" s="622"/>
      <c r="Y107" s="622"/>
      <c r="Z107" s="622"/>
      <c r="AA107" s="622"/>
      <c r="AB107" s="622"/>
    </row>
    <row r="108" spans="1:28">
      <c r="A108" s="651">
        <f>IF(ISBLANK(C108),"",(MAX($A$104:A107)+0.001))</f>
        <v>7.0020000000000007</v>
      </c>
      <c r="B108" s="652" t="s">
        <v>347</v>
      </c>
      <c r="C108" s="653">
        <v>1</v>
      </c>
      <c r="D108" s="653" t="s">
        <v>310</v>
      </c>
      <c r="E108" s="654">
        <f>Elec_Est!AM59</f>
        <v>2.16</v>
      </c>
      <c r="F108" s="707">
        <f>Elec_Est!AO59</f>
        <v>0.52</v>
      </c>
      <c r="G108" s="654">
        <f>Elec_Est!E59</f>
        <v>21.37</v>
      </c>
      <c r="H108" s="655">
        <f t="shared" si="4"/>
        <v>21.37</v>
      </c>
      <c r="I108" s="621"/>
      <c r="J108" s="622"/>
      <c r="K108" s="622"/>
      <c r="L108" s="622"/>
      <c r="M108" s="622"/>
      <c r="N108" s="622"/>
      <c r="O108" s="622"/>
      <c r="P108" s="622"/>
      <c r="Q108" s="622"/>
      <c r="R108" s="622"/>
      <c r="S108" s="622"/>
      <c r="T108" s="622"/>
      <c r="U108" s="622"/>
      <c r="V108" s="622"/>
      <c r="W108" s="622"/>
      <c r="X108" s="622"/>
      <c r="Y108" s="622"/>
      <c r="Z108" s="622"/>
      <c r="AA108" s="622"/>
      <c r="AB108" s="622"/>
    </row>
    <row r="109" spans="1:28" ht="27">
      <c r="A109" s="616">
        <f>IF(ISBLANK(C109),"",(MAX($A$104:A108)+0.001))</f>
        <v>7.003000000000001</v>
      </c>
      <c r="B109" s="624" t="s">
        <v>348</v>
      </c>
      <c r="C109" s="618">
        <v>1</v>
      </c>
      <c r="D109" s="618" t="s">
        <v>279</v>
      </c>
      <c r="E109" s="619"/>
      <c r="F109" s="619"/>
      <c r="H109" s="625">
        <f t="shared" si="4"/>
        <v>0</v>
      </c>
      <c r="I109" s="621"/>
      <c r="J109" s="622"/>
      <c r="K109" s="622"/>
      <c r="L109" s="622"/>
      <c r="M109" s="622"/>
      <c r="N109" s="622"/>
      <c r="O109" s="622"/>
      <c r="P109" s="622"/>
      <c r="Q109" s="622"/>
      <c r="R109" s="622"/>
      <c r="S109" s="622"/>
      <c r="T109" s="622"/>
      <c r="U109" s="622"/>
      <c r="V109" s="622"/>
      <c r="W109" s="622"/>
      <c r="X109" s="622"/>
      <c r="Y109" s="622"/>
      <c r="Z109" s="622"/>
      <c r="AA109" s="622"/>
      <c r="AB109" s="622"/>
    </row>
    <row r="110" spans="1:28">
      <c r="A110" s="616" t="str">
        <f>IF(ISBLANK(C110),"",(MAX($A$104:A108)+0.001))</f>
        <v/>
      </c>
      <c r="B110" s="656" t="s">
        <v>330</v>
      </c>
      <c r="E110" s="619"/>
      <c r="F110" s="619"/>
      <c r="I110" s="621"/>
      <c r="J110" s="622"/>
      <c r="K110" s="622"/>
      <c r="L110" s="622"/>
      <c r="M110" s="622"/>
      <c r="N110" s="622"/>
      <c r="O110" s="622"/>
      <c r="P110" s="622"/>
      <c r="Q110" s="622"/>
      <c r="R110" s="622"/>
      <c r="S110" s="622"/>
      <c r="T110" s="622"/>
      <c r="U110" s="622"/>
      <c r="V110" s="622"/>
      <c r="W110" s="622"/>
      <c r="X110" s="622"/>
      <c r="Y110" s="622"/>
      <c r="Z110" s="622"/>
      <c r="AA110" s="622"/>
      <c r="AB110" s="622"/>
    </row>
    <row r="111" spans="1:28" ht="53.4">
      <c r="A111" s="616" t="str">
        <f>IF(ISBLANK(C111),"",(MAX($A$104:A107)+0.001))</f>
        <v/>
      </c>
      <c r="B111" s="647" t="s">
        <v>349</v>
      </c>
      <c r="E111" s="619"/>
      <c r="F111" s="619"/>
      <c r="H111" s="625">
        <f t="shared" si="4"/>
        <v>0</v>
      </c>
      <c r="I111" s="621"/>
      <c r="J111" s="622"/>
      <c r="K111" s="622"/>
      <c r="L111" s="622"/>
      <c r="M111" s="622"/>
      <c r="N111" s="622"/>
      <c r="O111" s="622"/>
      <c r="P111" s="622"/>
      <c r="Q111" s="622"/>
      <c r="R111" s="622"/>
      <c r="S111" s="622"/>
      <c r="T111" s="622"/>
      <c r="U111" s="622"/>
      <c r="V111" s="622"/>
      <c r="W111" s="622"/>
      <c r="X111" s="622"/>
      <c r="Y111" s="622"/>
      <c r="Z111" s="622"/>
      <c r="AA111" s="622"/>
      <c r="AB111" s="622"/>
    </row>
    <row r="112" spans="1:28" ht="27">
      <c r="A112" s="616">
        <f>IF(ISBLANK(C112),"",(MAX($A$104:A111)+0.001))</f>
        <v>7.0040000000000013</v>
      </c>
      <c r="B112" s="624" t="s">
        <v>350</v>
      </c>
      <c r="C112" s="618">
        <v>1</v>
      </c>
      <c r="D112" s="618" t="s">
        <v>310</v>
      </c>
      <c r="E112" s="619"/>
      <c r="F112" s="619"/>
      <c r="H112" s="625">
        <f t="shared" si="4"/>
        <v>0</v>
      </c>
      <c r="I112" s="621"/>
      <c r="J112" s="622"/>
      <c r="K112" s="622"/>
      <c r="L112" s="622"/>
      <c r="M112" s="622"/>
      <c r="N112" s="622"/>
      <c r="O112" s="622"/>
      <c r="P112" s="622"/>
      <c r="Q112" s="622"/>
      <c r="R112" s="622"/>
      <c r="S112" s="622"/>
      <c r="T112" s="622"/>
      <c r="U112" s="622"/>
      <c r="V112" s="622"/>
      <c r="W112" s="622"/>
      <c r="X112" s="622"/>
      <c r="Y112" s="622"/>
      <c r="Z112" s="622"/>
      <c r="AA112" s="622"/>
      <c r="AB112" s="622"/>
    </row>
    <row r="113" spans="1:28">
      <c r="A113" s="651">
        <f>IF(ISBLANK(C113),"",(MAX($A$104:A112)+0.001))</f>
        <v>7.0050000000000017</v>
      </c>
      <c r="B113" s="652" t="s">
        <v>347</v>
      </c>
      <c r="C113" s="653">
        <v>1</v>
      </c>
      <c r="D113" s="653" t="s">
        <v>310</v>
      </c>
      <c r="E113" s="654">
        <f>Elec_Est!AM66</f>
        <v>2.16</v>
      </c>
      <c r="F113" s="707">
        <f>Elec_Est!AO66</f>
        <v>0.52</v>
      </c>
      <c r="G113" s="654">
        <f>Elec_Est!E66</f>
        <v>21.37</v>
      </c>
      <c r="H113" s="655">
        <f t="shared" si="4"/>
        <v>21.37</v>
      </c>
      <c r="I113" s="621"/>
      <c r="J113" s="622"/>
      <c r="K113" s="622"/>
      <c r="L113" s="622"/>
      <c r="M113" s="622"/>
      <c r="N113" s="622"/>
      <c r="O113" s="622"/>
      <c r="P113" s="622"/>
      <c r="Q113" s="622"/>
      <c r="R113" s="622"/>
      <c r="S113" s="622"/>
      <c r="T113" s="622"/>
      <c r="U113" s="622"/>
      <c r="V113" s="622"/>
      <c r="W113" s="622"/>
      <c r="X113" s="622"/>
      <c r="Y113" s="622"/>
      <c r="Z113" s="622"/>
      <c r="AA113" s="622"/>
      <c r="AB113" s="622"/>
    </row>
    <row r="114" spans="1:28" ht="66.599999999999994">
      <c r="A114" s="616">
        <f>IF(ISBLANK(C114),"",(MAX($A$104:A113)+0.001))</f>
        <v>7.006000000000002</v>
      </c>
      <c r="B114" s="624" t="s">
        <v>351</v>
      </c>
      <c r="C114" s="618">
        <v>4</v>
      </c>
      <c r="D114" s="618" t="s">
        <v>306</v>
      </c>
      <c r="F114" s="705"/>
      <c r="H114" s="625">
        <f t="shared" si="4"/>
        <v>0</v>
      </c>
      <c r="I114" s="621"/>
      <c r="J114" s="622"/>
      <c r="K114" s="622"/>
      <c r="L114" s="622"/>
      <c r="M114" s="622"/>
      <c r="N114" s="622"/>
      <c r="O114" s="622"/>
      <c r="P114" s="622"/>
      <c r="Q114" s="622"/>
      <c r="R114" s="622"/>
      <c r="S114" s="622"/>
      <c r="T114" s="622"/>
      <c r="U114" s="622"/>
      <c r="V114" s="622"/>
      <c r="W114" s="622"/>
      <c r="X114" s="622"/>
      <c r="Y114" s="622"/>
      <c r="Z114" s="622"/>
      <c r="AA114" s="622"/>
      <c r="AB114" s="622"/>
    </row>
    <row r="115" spans="1:28">
      <c r="A115" s="616">
        <f>IF(ISBLANK(C115),"",(MAX($A$104:A114)+0.001))</f>
        <v>7.0070000000000023</v>
      </c>
      <c r="B115" s="624" t="s">
        <v>352</v>
      </c>
      <c r="C115" s="618">
        <v>1</v>
      </c>
      <c r="D115" s="618" t="s">
        <v>279</v>
      </c>
      <c r="F115" s="705"/>
      <c r="I115" s="621"/>
      <c r="J115" s="622"/>
      <c r="K115" s="622"/>
      <c r="L115" s="622"/>
      <c r="M115" s="622"/>
      <c r="N115" s="622"/>
      <c r="O115" s="622"/>
      <c r="P115" s="622"/>
      <c r="Q115" s="622"/>
      <c r="R115" s="622"/>
      <c r="S115" s="622"/>
      <c r="T115" s="622"/>
      <c r="U115" s="622"/>
      <c r="V115" s="622"/>
      <c r="W115" s="622"/>
      <c r="X115" s="622"/>
      <c r="Y115" s="622"/>
      <c r="Z115" s="622"/>
      <c r="AA115" s="622"/>
      <c r="AB115" s="622"/>
    </row>
    <row r="116" spans="1:28" ht="27">
      <c r="A116" s="651">
        <f>IF(ISBLANK(C116),"",(MAX($A$104:A114)+0.001))</f>
        <v>7.0070000000000023</v>
      </c>
      <c r="B116" s="652" t="s">
        <v>348</v>
      </c>
      <c r="C116" s="653">
        <v>1</v>
      </c>
      <c r="D116" s="653" t="s">
        <v>279</v>
      </c>
      <c r="E116" s="756" t="str">
        <f>Elec_Est!Q73</f>
        <v>NA</v>
      </c>
      <c r="F116" s="756" t="str">
        <f>Elec_Est!Q73</f>
        <v>NA</v>
      </c>
      <c r="G116" s="654">
        <f>Elec_Est!E73</f>
        <v>0</v>
      </c>
      <c r="H116" s="655">
        <f t="shared" si="4"/>
        <v>0</v>
      </c>
      <c r="I116" s="621"/>
      <c r="J116" s="622"/>
      <c r="K116" s="622"/>
      <c r="L116" s="622"/>
      <c r="M116" s="622"/>
      <c r="N116" s="622"/>
      <c r="O116" s="622"/>
      <c r="P116" s="622"/>
      <c r="Q116" s="622"/>
      <c r="R116" s="622"/>
      <c r="S116" s="622"/>
      <c r="T116" s="622"/>
      <c r="U116" s="622"/>
      <c r="V116" s="622"/>
      <c r="W116" s="622"/>
      <c r="X116" s="622"/>
      <c r="Y116" s="622"/>
      <c r="Z116" s="622"/>
      <c r="AA116" s="622"/>
      <c r="AB116" s="622"/>
    </row>
    <row r="117" spans="1:28">
      <c r="A117" s="616">
        <f>IF(ISBLANK(C117),"",(MAX($A$104:A115)+0.001))</f>
        <v>7.0080000000000027</v>
      </c>
      <c r="B117" s="656" t="s">
        <v>330</v>
      </c>
      <c r="C117" s="618">
        <v>1</v>
      </c>
      <c r="D117" s="618" t="s">
        <v>279</v>
      </c>
      <c r="F117" s="705"/>
      <c r="I117" s="621"/>
      <c r="J117" s="622"/>
      <c r="K117" s="622"/>
      <c r="L117" s="622"/>
      <c r="M117" s="622"/>
      <c r="N117" s="622"/>
      <c r="O117" s="622"/>
      <c r="P117" s="622"/>
      <c r="Q117" s="622"/>
      <c r="R117" s="622"/>
      <c r="S117" s="622"/>
      <c r="T117" s="622"/>
      <c r="U117" s="622"/>
      <c r="V117" s="622"/>
      <c r="W117" s="622"/>
      <c r="X117" s="622"/>
      <c r="Y117" s="622"/>
      <c r="Z117" s="622"/>
      <c r="AA117" s="622"/>
      <c r="AB117" s="622"/>
    </row>
    <row r="118" spans="1:28" ht="53.4">
      <c r="A118" s="616">
        <f>IF(ISBLANK(C118),"",(MAX($A$104:A116)+0.001))</f>
        <v>7.0080000000000027</v>
      </c>
      <c r="B118" s="624" t="s">
        <v>353</v>
      </c>
      <c r="C118" s="618">
        <v>1</v>
      </c>
      <c r="D118" s="618" t="s">
        <v>279</v>
      </c>
      <c r="F118" s="705"/>
      <c r="H118" s="625">
        <f t="shared" ref="H118:H125" si="5">C118*G118</f>
        <v>0</v>
      </c>
      <c r="I118" s="621"/>
      <c r="J118" s="622"/>
      <c r="K118" s="622"/>
      <c r="L118" s="622"/>
      <c r="M118" s="622"/>
      <c r="N118" s="622"/>
      <c r="O118" s="622"/>
      <c r="P118" s="622"/>
      <c r="Q118" s="622"/>
      <c r="R118" s="622"/>
      <c r="S118" s="622"/>
      <c r="T118" s="622"/>
      <c r="U118" s="622"/>
      <c r="V118" s="622"/>
      <c r="W118" s="622"/>
      <c r="X118" s="622"/>
      <c r="Y118" s="622"/>
      <c r="Z118" s="622"/>
      <c r="AA118" s="622"/>
      <c r="AB118" s="622"/>
    </row>
    <row r="119" spans="1:28">
      <c r="A119" s="616" t="str">
        <f>IF(ISBLANK(C119),"",(MAX($A$104:A118)+0.001))</f>
        <v/>
      </c>
      <c r="H119" s="625">
        <f t="shared" si="5"/>
        <v>0</v>
      </c>
      <c r="I119" s="621"/>
      <c r="J119" s="622"/>
      <c r="K119" s="622"/>
      <c r="L119" s="622"/>
      <c r="M119" s="622"/>
      <c r="N119" s="622"/>
      <c r="O119" s="622"/>
      <c r="P119" s="622"/>
      <c r="Q119" s="622"/>
      <c r="R119" s="622"/>
      <c r="S119" s="622"/>
      <c r="T119" s="622"/>
      <c r="U119" s="622"/>
      <c r="V119" s="622"/>
      <c r="W119" s="622"/>
      <c r="X119" s="622"/>
      <c r="Y119" s="622"/>
      <c r="Z119" s="622"/>
      <c r="AA119" s="622"/>
      <c r="AB119" s="622"/>
    </row>
    <row r="120" spans="1:28" ht="40.200000000000003">
      <c r="A120" s="616">
        <f>IF(ISBLANK(C120),"",(MAX($A$104:A119)+0.001))</f>
        <v>7.009000000000003</v>
      </c>
      <c r="B120" s="624" t="s">
        <v>354</v>
      </c>
      <c r="C120" s="618">
        <v>1</v>
      </c>
      <c r="D120" s="618" t="s">
        <v>279</v>
      </c>
      <c r="G120" s="618"/>
      <c r="H120" s="625">
        <f t="shared" si="5"/>
        <v>0</v>
      </c>
      <c r="I120" s="621"/>
      <c r="J120" s="622"/>
      <c r="K120" s="622"/>
      <c r="L120" s="622"/>
      <c r="M120" s="622"/>
      <c r="N120" s="622"/>
      <c r="O120" s="622"/>
      <c r="P120" s="622"/>
      <c r="Q120" s="622"/>
      <c r="R120" s="622"/>
      <c r="S120" s="622"/>
      <c r="T120" s="622"/>
      <c r="U120" s="622"/>
      <c r="V120" s="622"/>
      <c r="W120" s="622"/>
      <c r="X120" s="622"/>
      <c r="Y120" s="622"/>
      <c r="Z120" s="622"/>
      <c r="AA120" s="622"/>
      <c r="AB120" s="622"/>
    </row>
    <row r="121" spans="1:28">
      <c r="A121" s="616" t="str">
        <f>IF(ISBLANK(C121),"",(MAX($A$104:A120)+0.001))</f>
        <v/>
      </c>
      <c r="H121" s="625">
        <f t="shared" si="5"/>
        <v>0</v>
      </c>
      <c r="I121" s="621"/>
      <c r="J121" s="622"/>
      <c r="K121" s="622"/>
      <c r="L121" s="622"/>
      <c r="M121" s="622"/>
      <c r="N121" s="622"/>
      <c r="O121" s="622"/>
      <c r="P121" s="622"/>
      <c r="Q121" s="622"/>
      <c r="R121" s="622"/>
      <c r="S121" s="622"/>
      <c r="T121" s="622"/>
      <c r="U121" s="622"/>
      <c r="V121" s="622"/>
      <c r="W121" s="622"/>
      <c r="X121" s="622"/>
      <c r="Y121" s="622"/>
      <c r="Z121" s="622"/>
      <c r="AA121" s="622"/>
      <c r="AB121" s="622"/>
    </row>
    <row r="122" spans="1:28">
      <c r="A122" s="635" t="str">
        <f>IF(ISBLANK(C122),"",(MAX($A$104:A121)+0.001))</f>
        <v/>
      </c>
      <c r="B122" s="648" t="s">
        <v>314</v>
      </c>
      <c r="C122" s="636"/>
      <c r="D122" s="636"/>
      <c r="E122" s="636"/>
      <c r="F122" s="636"/>
      <c r="G122" s="637"/>
      <c r="H122" s="631">
        <f t="shared" si="5"/>
        <v>0</v>
      </c>
      <c r="I122" s="621"/>
      <c r="J122" s="622"/>
      <c r="K122" s="622"/>
      <c r="L122" s="622"/>
      <c r="M122" s="622"/>
      <c r="N122" s="622"/>
      <c r="O122" s="622"/>
      <c r="P122" s="622"/>
      <c r="Q122" s="622"/>
      <c r="R122" s="622"/>
      <c r="S122" s="622"/>
      <c r="T122" s="622"/>
      <c r="U122" s="622"/>
      <c r="V122" s="622"/>
      <c r="W122" s="622"/>
      <c r="X122" s="622"/>
      <c r="Y122" s="622"/>
      <c r="Z122" s="622"/>
      <c r="AA122" s="622"/>
      <c r="AB122" s="622"/>
    </row>
    <row r="123" spans="1:28" ht="40.200000000000003">
      <c r="A123" s="616">
        <f>IF(ISBLANK(C123),"",(MAX($A$104:A122)+0.001))</f>
        <v>7.0100000000000033</v>
      </c>
      <c r="B123" s="624" t="s">
        <v>315</v>
      </c>
      <c r="C123" s="618">
        <v>1</v>
      </c>
      <c r="D123" s="618" t="s">
        <v>316</v>
      </c>
      <c r="H123" s="625">
        <f t="shared" si="5"/>
        <v>0</v>
      </c>
      <c r="I123" s="621"/>
      <c r="J123" s="622"/>
      <c r="K123" s="622"/>
      <c r="L123" s="622"/>
      <c r="M123" s="622"/>
      <c r="N123" s="622"/>
      <c r="O123" s="622"/>
      <c r="P123" s="622"/>
      <c r="Q123" s="622"/>
      <c r="R123" s="622"/>
      <c r="S123" s="622"/>
      <c r="T123" s="622"/>
      <c r="U123" s="622"/>
      <c r="V123" s="622"/>
      <c r="W123" s="622"/>
      <c r="X123" s="622"/>
      <c r="Y123" s="622"/>
      <c r="Z123" s="622"/>
      <c r="AA123" s="622"/>
      <c r="AB123" s="622"/>
    </row>
    <row r="124" spans="1:28" s="634" customFormat="1" ht="79.8">
      <c r="A124" s="616">
        <f>IF(ISBLANK(C124),"",(MAX($A$104:A123)+0.001))</f>
        <v>7.0110000000000037</v>
      </c>
      <c r="B124" s="624" t="s">
        <v>317</v>
      </c>
      <c r="C124" s="618">
        <v>1</v>
      </c>
      <c r="D124" s="618" t="s">
        <v>316</v>
      </c>
      <c r="E124" s="618"/>
      <c r="F124" s="618"/>
      <c r="G124" s="619"/>
      <c r="H124" s="625">
        <f t="shared" si="5"/>
        <v>0</v>
      </c>
      <c r="I124" s="632"/>
      <c r="J124" s="633"/>
      <c r="K124" s="633"/>
      <c r="L124" s="633"/>
      <c r="M124" s="633"/>
      <c r="N124" s="633"/>
      <c r="O124" s="633"/>
      <c r="P124" s="633"/>
      <c r="Q124" s="633"/>
      <c r="R124" s="633"/>
      <c r="S124" s="633"/>
      <c r="T124" s="633"/>
      <c r="U124" s="633"/>
      <c r="V124" s="633"/>
      <c r="W124" s="633"/>
      <c r="X124" s="633"/>
      <c r="Y124" s="633"/>
      <c r="Z124" s="633"/>
      <c r="AA124" s="633"/>
      <c r="AB124" s="633"/>
    </row>
    <row r="125" spans="1:28">
      <c r="A125" s="616" t="str">
        <f>IF(ISBLANK(C125),"",(MAX($A$104:A124)+0.001))</f>
        <v/>
      </c>
      <c r="H125" s="625">
        <f t="shared" si="5"/>
        <v>0</v>
      </c>
      <c r="I125" s="621"/>
      <c r="J125" s="622"/>
      <c r="K125" s="622"/>
      <c r="L125" s="622"/>
      <c r="M125" s="622"/>
      <c r="N125" s="622"/>
      <c r="O125" s="622"/>
      <c r="P125" s="622"/>
      <c r="Q125" s="622"/>
      <c r="R125" s="622"/>
      <c r="S125" s="622"/>
      <c r="T125" s="622"/>
      <c r="U125" s="622"/>
      <c r="V125" s="622"/>
      <c r="W125" s="622"/>
      <c r="X125" s="622"/>
      <c r="Y125" s="622"/>
      <c r="Z125" s="622"/>
      <c r="AA125" s="622"/>
      <c r="AB125" s="622"/>
    </row>
    <row r="126" spans="1:28">
      <c r="A126" s="640"/>
      <c r="B126" s="641" t="s">
        <v>355</v>
      </c>
      <c r="C126" s="642"/>
      <c r="D126" s="642"/>
      <c r="E126" s="733">
        <f>SUM(E103:E125)</f>
        <v>4.32</v>
      </c>
      <c r="F126" s="732">
        <f>SUM(F103:F125)</f>
        <v>1.04</v>
      </c>
      <c r="G126" s="643"/>
      <c r="H126" s="649">
        <f>SUM(H104:H125)</f>
        <v>42.74</v>
      </c>
      <c r="I126" s="621"/>
      <c r="J126" s="622"/>
      <c r="K126" s="622"/>
      <c r="L126" s="622"/>
      <c r="M126" s="622"/>
      <c r="N126" s="622"/>
      <c r="O126" s="622"/>
      <c r="P126" s="622"/>
      <c r="Q126" s="622"/>
      <c r="R126" s="622"/>
      <c r="S126" s="622"/>
      <c r="T126" s="622"/>
      <c r="U126" s="622"/>
      <c r="V126" s="622"/>
      <c r="W126" s="622"/>
      <c r="X126" s="622"/>
      <c r="Y126" s="622"/>
      <c r="Z126" s="622"/>
      <c r="AA126" s="622"/>
      <c r="AB126" s="622"/>
    </row>
    <row r="127" spans="1:28" s="634" customFormat="1" ht="27" customHeight="1">
      <c r="A127" s="616"/>
      <c r="B127" s="624"/>
      <c r="C127" s="618"/>
      <c r="D127" s="618"/>
      <c r="E127" s="618"/>
      <c r="F127" s="618"/>
      <c r="G127" s="619"/>
      <c r="H127" s="625"/>
      <c r="I127" s="632"/>
      <c r="J127" s="633"/>
      <c r="K127" s="633"/>
      <c r="L127" s="633"/>
      <c r="M127" s="633"/>
      <c r="N127" s="633"/>
      <c r="O127" s="633"/>
      <c r="P127" s="633"/>
      <c r="Q127" s="633"/>
      <c r="R127" s="633"/>
      <c r="S127" s="633"/>
      <c r="T127" s="633"/>
      <c r="U127" s="633"/>
      <c r="V127" s="633"/>
      <c r="W127" s="633"/>
      <c r="X127" s="633"/>
      <c r="Y127" s="633"/>
      <c r="Z127" s="633"/>
      <c r="AA127" s="633"/>
      <c r="AB127" s="633"/>
    </row>
    <row r="128" spans="1:28" ht="27">
      <c r="B128" s="626" t="s">
        <v>356</v>
      </c>
      <c r="I128" s="621"/>
      <c r="J128" s="622"/>
      <c r="K128" s="622"/>
      <c r="L128" s="622"/>
      <c r="M128" s="622"/>
      <c r="N128" s="622"/>
      <c r="O128" s="622"/>
      <c r="P128" s="622"/>
      <c r="Q128" s="622"/>
      <c r="R128" s="622"/>
      <c r="S128" s="622"/>
      <c r="T128" s="622"/>
      <c r="U128" s="622"/>
      <c r="V128" s="622"/>
      <c r="W128" s="622"/>
      <c r="X128" s="622"/>
      <c r="Y128" s="622"/>
      <c r="Z128" s="622"/>
      <c r="AA128" s="622"/>
      <c r="AB128" s="622"/>
    </row>
    <row r="129" spans="1:28" ht="27">
      <c r="A129" s="627" t="s">
        <v>141</v>
      </c>
      <c r="B129" s="628" t="s">
        <v>191</v>
      </c>
      <c r="C129" s="629" t="s">
        <v>192</v>
      </c>
      <c r="D129" s="629" t="s">
        <v>193</v>
      </c>
      <c r="E129" s="629"/>
      <c r="F129" s="629"/>
      <c r="G129" s="630" t="s">
        <v>274</v>
      </c>
      <c r="H129" s="631" t="s">
        <v>275</v>
      </c>
      <c r="I129" s="621"/>
      <c r="J129" s="622"/>
      <c r="K129" s="622"/>
      <c r="L129" s="622"/>
      <c r="M129" s="622"/>
      <c r="N129" s="622"/>
      <c r="O129" s="622"/>
      <c r="P129" s="622"/>
      <c r="Q129" s="622"/>
      <c r="R129" s="622"/>
      <c r="S129" s="622"/>
      <c r="T129" s="622"/>
      <c r="U129" s="622"/>
      <c r="V129" s="622"/>
      <c r="W129" s="622"/>
      <c r="X129" s="622"/>
      <c r="Y129" s="622"/>
      <c r="Z129" s="622"/>
      <c r="AA129" s="622"/>
      <c r="AB129" s="622"/>
    </row>
    <row r="130" spans="1:28">
      <c r="B130" s="638" t="s">
        <v>357</v>
      </c>
      <c r="I130" s="621"/>
      <c r="J130" s="622"/>
      <c r="K130" s="622"/>
      <c r="L130" s="622"/>
      <c r="M130" s="622"/>
      <c r="N130" s="622"/>
      <c r="O130" s="622"/>
      <c r="P130" s="622"/>
      <c r="Q130" s="622"/>
      <c r="R130" s="622"/>
      <c r="S130" s="622"/>
      <c r="T130" s="622"/>
      <c r="U130" s="622"/>
      <c r="V130" s="622"/>
      <c r="W130" s="622"/>
      <c r="X130" s="622"/>
      <c r="Y130" s="622"/>
      <c r="Z130" s="622"/>
      <c r="AA130" s="622"/>
      <c r="AB130" s="622"/>
    </row>
    <row r="131" spans="1:28">
      <c r="A131" s="616">
        <v>8</v>
      </c>
      <c r="B131" s="624" t="s">
        <v>358</v>
      </c>
      <c r="C131" s="618">
        <v>1</v>
      </c>
      <c r="D131" s="618" t="s">
        <v>359</v>
      </c>
      <c r="H131" s="625" t="s">
        <v>360</v>
      </c>
      <c r="I131" s="621"/>
      <c r="J131" s="622"/>
      <c r="K131" s="622"/>
      <c r="L131" s="622"/>
      <c r="M131" s="622"/>
      <c r="N131" s="622"/>
      <c r="O131" s="622"/>
      <c r="P131" s="622"/>
      <c r="Q131" s="622"/>
      <c r="R131" s="622"/>
      <c r="S131" s="622"/>
      <c r="T131" s="622"/>
      <c r="U131" s="622"/>
      <c r="V131" s="622"/>
      <c r="W131" s="622"/>
      <c r="X131" s="622"/>
      <c r="Y131" s="622"/>
      <c r="Z131" s="622"/>
      <c r="AA131" s="622"/>
      <c r="AB131" s="622"/>
    </row>
    <row r="132" spans="1:28">
      <c r="A132" s="616">
        <f>IF(ISBLANK(C132),"",(MAX($A$104:A131)+0.001))</f>
        <v>8.0009999999999994</v>
      </c>
      <c r="B132" s="624" t="s">
        <v>361</v>
      </c>
      <c r="C132" s="618">
        <v>1</v>
      </c>
      <c r="D132" s="618" t="s">
        <v>359</v>
      </c>
      <c r="H132" s="625" t="s">
        <v>360</v>
      </c>
      <c r="I132" s="621"/>
      <c r="J132" s="622"/>
      <c r="K132" s="622"/>
      <c r="L132" s="622"/>
      <c r="M132" s="622"/>
      <c r="N132" s="622"/>
      <c r="O132" s="622"/>
      <c r="P132" s="622"/>
      <c r="Q132" s="622"/>
      <c r="R132" s="622"/>
      <c r="S132" s="622"/>
      <c r="T132" s="622"/>
      <c r="U132" s="622"/>
      <c r="V132" s="622"/>
      <c r="W132" s="622"/>
      <c r="X132" s="622"/>
      <c r="Y132" s="622"/>
      <c r="Z132" s="622"/>
      <c r="AA132" s="622"/>
      <c r="AB132" s="622"/>
    </row>
    <row r="133" spans="1:28" s="646" customFormat="1">
      <c r="A133" s="616">
        <f>IF(ISBLANK(C133),"",(MAX($A$104:A132)+0.001))</f>
        <v>8.0019999999999989</v>
      </c>
      <c r="B133" s="624" t="s">
        <v>362</v>
      </c>
      <c r="C133" s="618">
        <v>1</v>
      </c>
      <c r="D133" s="618" t="s">
        <v>359</v>
      </c>
      <c r="E133" s="618"/>
      <c r="F133" s="618"/>
      <c r="G133" s="619"/>
      <c r="H133" s="625" t="s">
        <v>360</v>
      </c>
      <c r="I133" s="644"/>
      <c r="J133" s="645"/>
      <c r="K133" s="645"/>
      <c r="L133" s="645"/>
      <c r="M133" s="645"/>
      <c r="N133" s="645"/>
      <c r="O133" s="645"/>
      <c r="P133" s="645"/>
      <c r="Q133" s="645"/>
      <c r="R133" s="645"/>
      <c r="S133" s="645"/>
      <c r="T133" s="645"/>
      <c r="U133" s="645"/>
      <c r="V133" s="645"/>
      <c r="W133" s="645"/>
      <c r="X133" s="645"/>
      <c r="Y133" s="645"/>
      <c r="Z133" s="645"/>
      <c r="AA133" s="645"/>
      <c r="AB133" s="645"/>
    </row>
    <row r="134" spans="1:28">
      <c r="A134" s="640"/>
      <c r="B134" s="641" t="s">
        <v>363</v>
      </c>
      <c r="C134" s="642"/>
      <c r="D134" s="642"/>
      <c r="E134" s="642"/>
      <c r="F134" s="642"/>
      <c r="G134" s="643"/>
      <c r="H134" s="649" t="s">
        <v>360</v>
      </c>
      <c r="I134" s="621"/>
      <c r="J134" s="622"/>
      <c r="K134" s="622"/>
      <c r="L134" s="622"/>
      <c r="M134" s="622"/>
      <c r="N134" s="622"/>
      <c r="O134" s="622"/>
      <c r="P134" s="622"/>
      <c r="Q134" s="622"/>
      <c r="R134" s="622"/>
      <c r="S134" s="622"/>
      <c r="T134" s="622"/>
      <c r="U134" s="622"/>
      <c r="V134" s="622"/>
      <c r="W134" s="622"/>
      <c r="X134" s="622"/>
      <c r="Y134" s="622"/>
      <c r="Z134" s="622"/>
      <c r="AA134" s="622"/>
      <c r="AB134" s="622"/>
    </row>
    <row r="135" spans="1:28" s="634" customFormat="1" ht="27" customHeight="1">
      <c r="A135" s="616"/>
      <c r="B135" s="626"/>
      <c r="C135" s="618"/>
      <c r="D135" s="618"/>
      <c r="E135" s="618"/>
      <c r="F135" s="618"/>
      <c r="G135" s="619"/>
      <c r="H135" s="625"/>
      <c r="I135" s="632"/>
      <c r="J135" s="633"/>
      <c r="K135" s="633"/>
      <c r="L135" s="633"/>
      <c r="M135" s="633"/>
      <c r="N135" s="633"/>
      <c r="O135" s="633"/>
      <c r="P135" s="633"/>
      <c r="Q135" s="633"/>
      <c r="R135" s="633"/>
      <c r="S135" s="633"/>
      <c r="T135" s="633"/>
      <c r="U135" s="633"/>
      <c r="V135" s="633"/>
      <c r="W135" s="633"/>
      <c r="X135" s="633"/>
      <c r="Y135" s="633"/>
      <c r="Z135" s="633"/>
      <c r="AA135" s="633"/>
      <c r="AB135" s="633"/>
    </row>
    <row r="136" spans="1:28">
      <c r="B136" s="626" t="s">
        <v>364</v>
      </c>
      <c r="I136" s="621"/>
      <c r="J136" s="622"/>
      <c r="K136" s="622"/>
      <c r="L136" s="622"/>
      <c r="M136" s="622"/>
      <c r="N136" s="622"/>
      <c r="O136" s="622"/>
      <c r="P136" s="622"/>
      <c r="Q136" s="622"/>
      <c r="R136" s="622"/>
      <c r="S136" s="622"/>
      <c r="T136" s="622"/>
      <c r="U136" s="622"/>
      <c r="V136" s="622"/>
      <c r="W136" s="622"/>
      <c r="X136" s="622"/>
      <c r="Y136" s="622"/>
      <c r="Z136" s="622"/>
      <c r="AA136" s="622"/>
      <c r="AB136" s="622"/>
    </row>
    <row r="137" spans="1:28" ht="27">
      <c r="A137" s="627" t="s">
        <v>141</v>
      </c>
      <c r="B137" s="628" t="s">
        <v>191</v>
      </c>
      <c r="C137" s="629" t="s">
        <v>192</v>
      </c>
      <c r="D137" s="629" t="s">
        <v>193</v>
      </c>
      <c r="E137" s="629"/>
      <c r="F137" s="629"/>
      <c r="G137" s="630" t="s">
        <v>274</v>
      </c>
      <c r="H137" s="631" t="s">
        <v>275</v>
      </c>
      <c r="I137" s="621"/>
      <c r="J137" s="622"/>
      <c r="K137" s="622"/>
      <c r="L137" s="622"/>
      <c r="M137" s="622"/>
      <c r="N137" s="622"/>
      <c r="O137" s="622"/>
      <c r="P137" s="622"/>
      <c r="Q137" s="622"/>
      <c r="R137" s="622"/>
      <c r="S137" s="622"/>
      <c r="T137" s="622"/>
      <c r="U137" s="622"/>
      <c r="V137" s="622"/>
      <c r="W137" s="622"/>
      <c r="X137" s="622"/>
      <c r="Y137" s="622"/>
      <c r="Z137" s="622"/>
      <c r="AA137" s="622"/>
      <c r="AB137" s="622"/>
    </row>
    <row r="138" spans="1:28" ht="27">
      <c r="A138" s="616">
        <v>11</v>
      </c>
      <c r="B138" s="624" t="s">
        <v>303</v>
      </c>
      <c r="C138" s="618">
        <v>1</v>
      </c>
      <c r="D138" s="618" t="s">
        <v>279</v>
      </c>
      <c r="G138" s="619" t="s">
        <v>280</v>
      </c>
      <c r="H138" s="625" t="s">
        <v>280</v>
      </c>
      <c r="I138" s="621"/>
      <c r="J138" s="622"/>
      <c r="K138" s="622"/>
      <c r="L138" s="622"/>
      <c r="M138" s="622"/>
      <c r="N138" s="622"/>
      <c r="O138" s="622"/>
      <c r="P138" s="622"/>
      <c r="Q138" s="622"/>
      <c r="R138" s="622"/>
      <c r="S138" s="622"/>
      <c r="T138" s="622"/>
      <c r="U138" s="622"/>
      <c r="V138" s="622"/>
      <c r="W138" s="622"/>
      <c r="X138" s="622"/>
      <c r="Y138" s="622"/>
      <c r="Z138" s="622"/>
      <c r="AA138" s="622"/>
      <c r="AB138" s="622"/>
    </row>
    <row r="139" spans="1:28" ht="40.200000000000003">
      <c r="A139" s="616" t="str">
        <f>IF(ISBLANK(C139),"",(MAX($A$104:A138)+0.001))</f>
        <v/>
      </c>
      <c r="B139" s="647" t="s">
        <v>365</v>
      </c>
      <c r="H139" s="625">
        <f t="shared" ref="H139:H185" si="6">C139*G139</f>
        <v>0</v>
      </c>
      <c r="I139" s="621"/>
      <c r="J139" s="622"/>
      <c r="K139" s="622"/>
      <c r="L139" s="622"/>
      <c r="M139" s="622"/>
      <c r="N139" s="622"/>
      <c r="O139" s="622"/>
      <c r="P139" s="622"/>
      <c r="Q139" s="622"/>
      <c r="R139" s="622"/>
      <c r="S139" s="622"/>
      <c r="T139" s="622"/>
      <c r="U139" s="622"/>
      <c r="V139" s="622"/>
      <c r="W139" s="622"/>
      <c r="X139" s="622"/>
      <c r="Y139" s="622"/>
      <c r="Z139" s="622"/>
      <c r="AA139" s="622"/>
      <c r="AB139" s="622"/>
    </row>
    <row r="140" spans="1:28">
      <c r="H140" s="625">
        <f t="shared" si="6"/>
        <v>0</v>
      </c>
      <c r="I140" s="621"/>
      <c r="J140" s="622"/>
      <c r="K140" s="622"/>
      <c r="L140" s="622"/>
      <c r="M140" s="622"/>
      <c r="N140" s="622"/>
      <c r="O140" s="622"/>
      <c r="P140" s="622"/>
      <c r="Q140" s="622"/>
      <c r="R140" s="622"/>
      <c r="S140" s="622"/>
      <c r="T140" s="622"/>
      <c r="U140" s="622"/>
      <c r="V140" s="622"/>
      <c r="W140" s="622"/>
      <c r="X140" s="622"/>
      <c r="Y140" s="622"/>
      <c r="Z140" s="622"/>
      <c r="AA140" s="622"/>
      <c r="AB140" s="622"/>
    </row>
    <row r="141" spans="1:28" ht="40.200000000000003">
      <c r="A141" s="616">
        <f>IF(ISBLANK(C141),"",(MAX($A$138:A140)+0.001))</f>
        <v>11.000999999999999</v>
      </c>
      <c r="B141" s="624" t="s">
        <v>366</v>
      </c>
      <c r="C141" s="658">
        <v>25</v>
      </c>
      <c r="D141" s="618" t="s">
        <v>306</v>
      </c>
      <c r="H141" s="625">
        <f t="shared" si="6"/>
        <v>0</v>
      </c>
      <c r="I141" s="621"/>
      <c r="J141" s="622"/>
      <c r="K141" s="622"/>
      <c r="L141" s="622"/>
      <c r="M141" s="622"/>
      <c r="N141" s="622"/>
      <c r="O141" s="622"/>
      <c r="P141" s="622"/>
      <c r="Q141" s="622"/>
      <c r="R141" s="622"/>
      <c r="S141" s="622"/>
      <c r="T141" s="622"/>
      <c r="U141" s="622"/>
      <c r="V141" s="622"/>
      <c r="W141" s="622"/>
      <c r="X141" s="622"/>
      <c r="Y141" s="622"/>
      <c r="Z141" s="622"/>
      <c r="AA141" s="622"/>
      <c r="AB141" s="622"/>
    </row>
    <row r="142" spans="1:28">
      <c r="C142" s="658"/>
      <c r="H142" s="625">
        <f t="shared" si="6"/>
        <v>0</v>
      </c>
      <c r="I142" s="621"/>
      <c r="J142" s="622"/>
      <c r="K142" s="622"/>
      <c r="L142" s="622"/>
      <c r="M142" s="622"/>
      <c r="N142" s="622"/>
      <c r="O142" s="622"/>
      <c r="P142" s="622"/>
      <c r="Q142" s="622"/>
      <c r="R142" s="622"/>
      <c r="S142" s="622"/>
      <c r="T142" s="622"/>
      <c r="U142" s="622"/>
      <c r="V142" s="622"/>
      <c r="W142" s="622"/>
      <c r="X142" s="622"/>
      <c r="Y142" s="622"/>
      <c r="Z142" s="622"/>
      <c r="AA142" s="622"/>
      <c r="AB142" s="622"/>
    </row>
    <row r="143" spans="1:28" ht="53.4">
      <c r="A143" s="616">
        <f>IF(ISBLANK(C143),"",(MAX($A$138:A142)+0.001))</f>
        <v>11.001999999999999</v>
      </c>
      <c r="B143" s="624" t="s">
        <v>367</v>
      </c>
      <c r="C143" s="658">
        <v>1</v>
      </c>
      <c r="D143" s="618" t="s">
        <v>279</v>
      </c>
      <c r="H143" s="625">
        <f t="shared" si="6"/>
        <v>0</v>
      </c>
      <c r="I143" s="621"/>
      <c r="J143" s="622"/>
      <c r="K143" s="622"/>
      <c r="L143" s="622"/>
      <c r="M143" s="622"/>
      <c r="N143" s="622"/>
      <c r="O143" s="622"/>
      <c r="P143" s="622"/>
      <c r="Q143" s="622"/>
      <c r="R143" s="622"/>
      <c r="S143" s="622"/>
      <c r="T143" s="622"/>
      <c r="U143" s="622"/>
      <c r="V143" s="622"/>
      <c r="W143" s="622"/>
      <c r="X143" s="622"/>
      <c r="Y143" s="622"/>
      <c r="Z143" s="622"/>
      <c r="AA143" s="622"/>
      <c r="AB143" s="622"/>
    </row>
    <row r="144" spans="1:28" ht="27">
      <c r="B144" s="647" t="s">
        <v>368</v>
      </c>
      <c r="C144" s="658"/>
      <c r="H144" s="625">
        <f t="shared" si="6"/>
        <v>0</v>
      </c>
      <c r="I144" s="621"/>
      <c r="J144" s="622"/>
      <c r="K144" s="622"/>
      <c r="L144" s="622"/>
      <c r="M144" s="622"/>
      <c r="N144" s="622"/>
      <c r="O144" s="622"/>
      <c r="P144" s="622"/>
      <c r="Q144" s="622"/>
      <c r="R144" s="622"/>
      <c r="S144" s="622"/>
      <c r="T144" s="622"/>
      <c r="U144" s="622"/>
      <c r="V144" s="622"/>
      <c r="W144" s="622"/>
      <c r="X144" s="622"/>
      <c r="Y144" s="622"/>
      <c r="Z144" s="622"/>
      <c r="AA144" s="622"/>
      <c r="AB144" s="622"/>
    </row>
    <row r="145" spans="1:28">
      <c r="A145" s="616">
        <f>IF(ISBLANK(C145),"",(MAX($A$138:A144)+0.001))</f>
        <v>11.002999999999998</v>
      </c>
      <c r="B145" s="624" t="s">
        <v>369</v>
      </c>
      <c r="C145" s="658">
        <v>3</v>
      </c>
      <c r="D145" s="618" t="s">
        <v>279</v>
      </c>
      <c r="H145" s="625">
        <f t="shared" si="6"/>
        <v>0</v>
      </c>
      <c r="I145" s="621"/>
      <c r="J145" s="622"/>
      <c r="K145" s="622"/>
      <c r="L145" s="622"/>
      <c r="M145" s="622"/>
      <c r="N145" s="622"/>
      <c r="O145" s="622"/>
      <c r="P145" s="622"/>
      <c r="Q145" s="622"/>
      <c r="R145" s="622"/>
      <c r="S145" s="622"/>
      <c r="T145" s="622"/>
      <c r="U145" s="622"/>
      <c r="V145" s="622"/>
      <c r="W145" s="622"/>
      <c r="X145" s="622"/>
      <c r="Y145" s="622"/>
      <c r="Z145" s="622"/>
      <c r="AA145" s="622"/>
      <c r="AB145" s="622"/>
    </row>
    <row r="146" spans="1:28" ht="40.200000000000003">
      <c r="A146" s="616" t="str">
        <f>IF(ISBLANK(C146),"",(MAX($A$138:A145)+0.001))</f>
        <v/>
      </c>
      <c r="B146" s="659" t="s">
        <v>370</v>
      </c>
      <c r="C146" s="658"/>
      <c r="H146" s="625">
        <f t="shared" si="6"/>
        <v>0</v>
      </c>
      <c r="I146" s="621"/>
      <c r="J146" s="622"/>
      <c r="K146" s="622"/>
      <c r="L146" s="622"/>
      <c r="M146" s="622"/>
      <c r="N146" s="622"/>
      <c r="O146" s="622"/>
      <c r="P146" s="622"/>
      <c r="Q146" s="622"/>
      <c r="R146" s="622"/>
      <c r="S146" s="622"/>
      <c r="T146" s="622"/>
      <c r="U146" s="622"/>
      <c r="V146" s="622"/>
      <c r="W146" s="622"/>
      <c r="X146" s="622"/>
      <c r="Y146" s="622"/>
      <c r="Z146" s="622"/>
      <c r="AA146" s="622"/>
      <c r="AB146" s="622"/>
    </row>
    <row r="147" spans="1:28">
      <c r="A147" s="616">
        <f>IF(ISBLANK(C147),"",(MAX($A$138:A146)+0.001))</f>
        <v>11.003999999999998</v>
      </c>
      <c r="B147" s="660" t="s">
        <v>371</v>
      </c>
      <c r="C147" s="658">
        <v>1</v>
      </c>
      <c r="D147" s="618" t="s">
        <v>310</v>
      </c>
      <c r="H147" s="625">
        <f t="shared" si="6"/>
        <v>0</v>
      </c>
      <c r="I147" s="621"/>
      <c r="J147" s="622"/>
      <c r="K147" s="622"/>
      <c r="L147" s="622"/>
      <c r="M147" s="622"/>
      <c r="N147" s="622"/>
      <c r="O147" s="622"/>
      <c r="P147" s="622"/>
      <c r="Q147" s="622"/>
      <c r="R147" s="622"/>
      <c r="S147" s="622"/>
      <c r="T147" s="622"/>
      <c r="U147" s="622"/>
      <c r="V147" s="622"/>
      <c r="W147" s="622"/>
      <c r="X147" s="622"/>
      <c r="Y147" s="622"/>
      <c r="Z147" s="622"/>
      <c r="AA147" s="622"/>
      <c r="AB147" s="622"/>
    </row>
    <row r="148" spans="1:28">
      <c r="A148" s="616">
        <f>IF(ISBLANK(C148),"",(MAX($A$138:A147)+0.001))</f>
        <v>11.004999999999997</v>
      </c>
      <c r="B148" s="624" t="s">
        <v>372</v>
      </c>
      <c r="C148" s="658">
        <v>1</v>
      </c>
      <c r="D148" s="618" t="s">
        <v>310</v>
      </c>
      <c r="H148" s="625">
        <f t="shared" si="6"/>
        <v>0</v>
      </c>
      <c r="I148" s="621"/>
      <c r="J148" s="622"/>
      <c r="K148" s="622"/>
      <c r="L148" s="622"/>
      <c r="M148" s="622"/>
      <c r="N148" s="622"/>
      <c r="O148" s="622"/>
      <c r="P148" s="622"/>
      <c r="Q148" s="622"/>
      <c r="R148" s="622"/>
      <c r="S148" s="622"/>
      <c r="T148" s="622"/>
      <c r="U148" s="622"/>
      <c r="V148" s="622"/>
      <c r="W148" s="622"/>
      <c r="X148" s="622"/>
      <c r="Y148" s="622"/>
      <c r="Z148" s="622"/>
      <c r="AA148" s="622"/>
      <c r="AB148" s="622"/>
    </row>
    <row r="149" spans="1:28">
      <c r="A149" s="616">
        <f>IF(ISBLANK(C149),"",(MAX($A$138:A148)+0.001))</f>
        <v>11.005999999999997</v>
      </c>
      <c r="B149" s="624" t="s">
        <v>373</v>
      </c>
      <c r="C149" s="658">
        <v>1</v>
      </c>
      <c r="D149" s="618" t="s">
        <v>310</v>
      </c>
      <c r="H149" s="625">
        <f t="shared" si="6"/>
        <v>0</v>
      </c>
      <c r="I149" s="621"/>
      <c r="J149" s="622"/>
      <c r="K149" s="622"/>
      <c r="L149" s="622"/>
      <c r="M149" s="622"/>
      <c r="N149" s="622"/>
      <c r="O149" s="622"/>
      <c r="P149" s="622"/>
      <c r="Q149" s="622"/>
      <c r="R149" s="622"/>
      <c r="S149" s="622"/>
      <c r="T149" s="622"/>
      <c r="U149" s="622"/>
      <c r="V149" s="622"/>
      <c r="W149" s="622"/>
      <c r="X149" s="622"/>
      <c r="Y149" s="622"/>
      <c r="Z149" s="622"/>
      <c r="AA149" s="622"/>
      <c r="AB149" s="622"/>
    </row>
    <row r="150" spans="1:28">
      <c r="A150" s="616">
        <f>IF(ISBLANK(C150),"",(MAX($A$138:A149)+0.001))</f>
        <v>11.006999999999996</v>
      </c>
      <c r="B150" s="624" t="s">
        <v>374</v>
      </c>
      <c r="C150" s="658">
        <v>1</v>
      </c>
      <c r="D150" s="618" t="s">
        <v>310</v>
      </c>
      <c r="H150" s="625">
        <f t="shared" si="6"/>
        <v>0</v>
      </c>
      <c r="I150" s="621"/>
      <c r="J150" s="622"/>
      <c r="K150" s="622"/>
      <c r="L150" s="622"/>
      <c r="M150" s="622"/>
      <c r="N150" s="622"/>
      <c r="O150" s="622"/>
      <c r="P150" s="622"/>
      <c r="Q150" s="622"/>
      <c r="R150" s="622"/>
      <c r="S150" s="622"/>
      <c r="T150" s="622"/>
      <c r="U150" s="622"/>
      <c r="V150" s="622"/>
      <c r="W150" s="622"/>
      <c r="X150" s="622"/>
      <c r="Y150" s="622"/>
      <c r="Z150" s="622"/>
      <c r="AA150" s="622"/>
      <c r="AB150" s="622"/>
    </row>
    <row r="151" spans="1:28">
      <c r="A151" s="616">
        <f>IF(ISBLANK(C151),"",(MAX($A$138:A150)+0.001))</f>
        <v>11.007999999999996</v>
      </c>
      <c r="B151" s="624" t="s">
        <v>375</v>
      </c>
      <c r="C151" s="658">
        <v>1</v>
      </c>
      <c r="D151" s="618" t="s">
        <v>310</v>
      </c>
      <c r="H151" s="625">
        <f t="shared" si="6"/>
        <v>0</v>
      </c>
      <c r="I151" s="621"/>
      <c r="J151" s="622"/>
      <c r="K151" s="622"/>
      <c r="L151" s="622"/>
      <c r="M151" s="622"/>
      <c r="N151" s="622"/>
      <c r="O151" s="622"/>
      <c r="P151" s="622"/>
      <c r="Q151" s="622"/>
      <c r="R151" s="622"/>
      <c r="S151" s="622"/>
      <c r="T151" s="622"/>
      <c r="U151" s="622"/>
      <c r="V151" s="622"/>
      <c r="W151" s="622"/>
      <c r="X151" s="622"/>
      <c r="Y151" s="622"/>
      <c r="Z151" s="622"/>
      <c r="AA151" s="622"/>
      <c r="AB151" s="622"/>
    </row>
    <row r="152" spans="1:28">
      <c r="A152" s="616">
        <f>IF(ISBLANK(C152),"",(MAX($A$138:A151)+0.001))</f>
        <v>11.008999999999995</v>
      </c>
      <c r="B152" s="624" t="s">
        <v>376</v>
      </c>
      <c r="C152" s="658">
        <v>1</v>
      </c>
      <c r="D152" s="618" t="s">
        <v>310</v>
      </c>
      <c r="H152" s="625">
        <f t="shared" si="6"/>
        <v>0</v>
      </c>
      <c r="I152" s="621"/>
      <c r="J152" s="622"/>
      <c r="K152" s="622"/>
      <c r="L152" s="622"/>
      <c r="M152" s="622"/>
      <c r="N152" s="622"/>
      <c r="O152" s="622"/>
      <c r="P152" s="622"/>
      <c r="Q152" s="622"/>
      <c r="R152" s="622"/>
      <c r="S152" s="622"/>
      <c r="T152" s="622"/>
      <c r="U152" s="622"/>
      <c r="V152" s="622"/>
      <c r="W152" s="622"/>
      <c r="X152" s="622"/>
      <c r="Y152" s="622"/>
      <c r="Z152" s="622"/>
      <c r="AA152" s="622"/>
      <c r="AB152" s="622"/>
    </row>
    <row r="153" spans="1:28">
      <c r="A153" s="616">
        <f>IF(ISBLANK(C153),"",(MAX($A$138:A152)+0.001))</f>
        <v>11.009999999999994</v>
      </c>
      <c r="B153" s="624" t="s">
        <v>377</v>
      </c>
      <c r="C153" s="658">
        <v>1</v>
      </c>
      <c r="D153" s="618" t="s">
        <v>310</v>
      </c>
      <c r="H153" s="625">
        <f t="shared" si="6"/>
        <v>0</v>
      </c>
      <c r="I153" s="621"/>
      <c r="J153" s="622"/>
      <c r="K153" s="622"/>
      <c r="L153" s="622"/>
      <c r="M153" s="622"/>
      <c r="N153" s="622"/>
      <c r="O153" s="622"/>
      <c r="P153" s="622"/>
      <c r="Q153" s="622"/>
      <c r="R153" s="622"/>
      <c r="S153" s="622"/>
      <c r="T153" s="622"/>
      <c r="U153" s="622"/>
      <c r="V153" s="622"/>
      <c r="W153" s="622"/>
      <c r="X153" s="622"/>
      <c r="Y153" s="622"/>
      <c r="Z153" s="622"/>
      <c r="AA153" s="622"/>
      <c r="AB153" s="622"/>
    </row>
    <row r="154" spans="1:28">
      <c r="A154" s="616" t="str">
        <f>IF(ISBLANK(C154),"",(MAX($A$138:A153)+0.001))</f>
        <v/>
      </c>
      <c r="C154" s="658"/>
      <c r="H154" s="625">
        <f t="shared" si="6"/>
        <v>0</v>
      </c>
      <c r="I154" s="621"/>
      <c r="J154" s="622"/>
      <c r="K154" s="622"/>
      <c r="L154" s="622"/>
      <c r="M154" s="622"/>
      <c r="N154" s="622"/>
      <c r="O154" s="622"/>
      <c r="P154" s="622"/>
      <c r="Q154" s="622"/>
      <c r="R154" s="622"/>
      <c r="S154" s="622"/>
      <c r="T154" s="622"/>
      <c r="U154" s="622"/>
      <c r="V154" s="622"/>
      <c r="W154" s="622"/>
      <c r="X154" s="622"/>
      <c r="Y154" s="622"/>
      <c r="Z154" s="622"/>
      <c r="AA154" s="622"/>
      <c r="AB154" s="622"/>
    </row>
    <row r="155" spans="1:28">
      <c r="A155" s="616" t="str">
        <f>IF(ISBLANK(C155),"",(MAX($A$138:A154)+0.001))</f>
        <v/>
      </c>
      <c r="B155" s="659" t="s">
        <v>378</v>
      </c>
      <c r="C155" s="658"/>
      <c r="H155" s="625">
        <f t="shared" si="6"/>
        <v>0</v>
      </c>
      <c r="I155" s="621"/>
      <c r="J155" s="622"/>
      <c r="K155" s="622"/>
      <c r="L155" s="622"/>
      <c r="M155" s="622"/>
      <c r="N155" s="622"/>
      <c r="O155" s="622"/>
      <c r="P155" s="622"/>
      <c r="Q155" s="622"/>
      <c r="R155" s="622"/>
      <c r="S155" s="622"/>
      <c r="T155" s="622"/>
      <c r="U155" s="622"/>
      <c r="V155" s="622"/>
      <c r="W155" s="622"/>
      <c r="X155" s="622"/>
      <c r="Y155" s="622"/>
      <c r="Z155" s="622"/>
      <c r="AA155" s="622"/>
      <c r="AB155" s="622"/>
    </row>
    <row r="156" spans="1:28">
      <c r="A156" s="616">
        <f>IF(ISBLANK(C156),"",(MAX($A$138:A155)+0.001))</f>
        <v>11.010999999999994</v>
      </c>
      <c r="B156" s="660" t="s">
        <v>379</v>
      </c>
      <c r="C156" s="658">
        <v>1</v>
      </c>
      <c r="D156" s="618" t="s">
        <v>310</v>
      </c>
      <c r="H156" s="625">
        <f t="shared" si="6"/>
        <v>0</v>
      </c>
      <c r="I156" s="621"/>
      <c r="J156" s="622"/>
      <c r="K156" s="622"/>
      <c r="L156" s="622"/>
      <c r="M156" s="622"/>
      <c r="N156" s="622"/>
      <c r="O156" s="622"/>
      <c r="P156" s="622"/>
      <c r="Q156" s="622"/>
      <c r="R156" s="622"/>
      <c r="S156" s="622"/>
      <c r="T156" s="622"/>
      <c r="U156" s="622"/>
      <c r="V156" s="622"/>
      <c r="W156" s="622"/>
      <c r="X156" s="622"/>
      <c r="Y156" s="622"/>
      <c r="Z156" s="622"/>
      <c r="AA156" s="622"/>
      <c r="AB156" s="622"/>
    </row>
    <row r="157" spans="1:28">
      <c r="A157" s="616">
        <f>IF(ISBLANK(C157),"",(MAX($A$138:A156)+0.001))</f>
        <v>11.011999999999993</v>
      </c>
      <c r="B157" s="660" t="s">
        <v>380</v>
      </c>
      <c r="C157" s="658">
        <v>1</v>
      </c>
      <c r="D157" s="618" t="s">
        <v>310</v>
      </c>
      <c r="H157" s="625">
        <f t="shared" si="6"/>
        <v>0</v>
      </c>
      <c r="I157" s="621"/>
      <c r="J157" s="622"/>
      <c r="K157" s="622"/>
      <c r="L157" s="622"/>
      <c r="M157" s="622"/>
      <c r="N157" s="622"/>
      <c r="O157" s="622"/>
      <c r="P157" s="622"/>
      <c r="Q157" s="622"/>
      <c r="R157" s="622"/>
      <c r="S157" s="622"/>
      <c r="T157" s="622"/>
      <c r="U157" s="622"/>
      <c r="V157" s="622"/>
      <c r="W157" s="622"/>
      <c r="X157" s="622"/>
      <c r="Y157" s="622"/>
      <c r="Z157" s="622"/>
      <c r="AA157" s="622"/>
      <c r="AB157" s="622"/>
    </row>
    <row r="158" spans="1:28">
      <c r="A158" s="616">
        <f>IF(ISBLANK(C158),"",(MAX($A$138:A157)+0.001))</f>
        <v>11.012999999999993</v>
      </c>
      <c r="B158" s="660" t="s">
        <v>381</v>
      </c>
      <c r="C158" s="658">
        <v>1</v>
      </c>
      <c r="D158" s="618" t="s">
        <v>310</v>
      </c>
      <c r="H158" s="625">
        <f t="shared" si="6"/>
        <v>0</v>
      </c>
      <c r="I158" s="621"/>
      <c r="J158" s="622"/>
      <c r="K158" s="622"/>
      <c r="L158" s="622"/>
      <c r="M158" s="622"/>
      <c r="N158" s="622"/>
      <c r="O158" s="622"/>
      <c r="P158" s="622"/>
      <c r="Q158" s="622"/>
      <c r="R158" s="622"/>
      <c r="S158" s="622"/>
      <c r="T158" s="622"/>
      <c r="U158" s="622"/>
      <c r="V158" s="622"/>
      <c r="W158" s="622"/>
      <c r="X158" s="622"/>
      <c r="Y158" s="622"/>
      <c r="Z158" s="622"/>
      <c r="AA158" s="622"/>
      <c r="AB158" s="622"/>
    </row>
    <row r="159" spans="1:28">
      <c r="A159" s="616">
        <f>IF(ISBLANK(C159),"",(MAX($A$138:A158)+0.001))</f>
        <v>11.013999999999992</v>
      </c>
      <c r="B159" s="660" t="s">
        <v>382</v>
      </c>
      <c r="C159" s="658">
        <v>1</v>
      </c>
      <c r="D159" s="618" t="s">
        <v>310</v>
      </c>
      <c r="H159" s="625">
        <f t="shared" si="6"/>
        <v>0</v>
      </c>
      <c r="I159" s="621"/>
      <c r="J159" s="622"/>
      <c r="K159" s="622"/>
      <c r="L159" s="622"/>
      <c r="M159" s="622"/>
      <c r="N159" s="622"/>
      <c r="O159" s="622"/>
      <c r="P159" s="622"/>
      <c r="Q159" s="622"/>
      <c r="R159" s="622"/>
      <c r="S159" s="622"/>
      <c r="T159" s="622"/>
      <c r="U159" s="622"/>
      <c r="V159" s="622"/>
      <c r="W159" s="622"/>
      <c r="X159" s="622"/>
      <c r="Y159" s="622"/>
      <c r="Z159" s="622"/>
      <c r="AA159" s="622"/>
      <c r="AB159" s="622"/>
    </row>
    <row r="160" spans="1:28">
      <c r="A160" s="616" t="str">
        <f>IF(ISBLANK(C160),"",(MAX($A$138:A159)+0.001))</f>
        <v/>
      </c>
      <c r="B160" s="661"/>
      <c r="C160" s="658"/>
      <c r="H160" s="625">
        <f t="shared" si="6"/>
        <v>0</v>
      </c>
      <c r="I160" s="621"/>
      <c r="J160" s="622"/>
      <c r="K160" s="622"/>
      <c r="L160" s="622"/>
      <c r="M160" s="622"/>
      <c r="N160" s="622"/>
      <c r="O160" s="622"/>
      <c r="P160" s="622"/>
      <c r="Q160" s="622"/>
      <c r="R160" s="622"/>
      <c r="S160" s="622"/>
      <c r="T160" s="622"/>
      <c r="U160" s="622"/>
      <c r="V160" s="622"/>
      <c r="W160" s="622"/>
      <c r="X160" s="622"/>
      <c r="Y160" s="622"/>
      <c r="Z160" s="622"/>
      <c r="AA160" s="622"/>
      <c r="AB160" s="622"/>
    </row>
    <row r="161" spans="1:28">
      <c r="A161" s="616" t="str">
        <f>IF(ISBLANK(C161),"",(MAX($A$138:A160)+0.001))</f>
        <v/>
      </c>
      <c r="B161" s="659" t="s">
        <v>383</v>
      </c>
      <c r="C161" s="658"/>
      <c r="H161" s="625">
        <f t="shared" si="6"/>
        <v>0</v>
      </c>
      <c r="I161" s="621"/>
      <c r="J161" s="622"/>
      <c r="K161" s="622"/>
      <c r="L161" s="622"/>
      <c r="M161" s="622"/>
      <c r="N161" s="622"/>
      <c r="O161" s="622"/>
      <c r="P161" s="622"/>
      <c r="Q161" s="622"/>
      <c r="R161" s="622"/>
      <c r="S161" s="622"/>
      <c r="T161" s="622"/>
      <c r="U161" s="622"/>
      <c r="V161" s="622"/>
      <c r="W161" s="622"/>
      <c r="X161" s="622"/>
      <c r="Y161" s="622"/>
      <c r="Z161" s="622"/>
      <c r="AA161" s="622"/>
      <c r="AB161" s="622"/>
    </row>
    <row r="162" spans="1:28">
      <c r="A162" s="616">
        <f>IF(ISBLANK(C162),"",(MAX($A$138:A161)+0.001))</f>
        <v>11.014999999999992</v>
      </c>
      <c r="B162" s="660" t="s">
        <v>384</v>
      </c>
      <c r="C162" s="658">
        <v>1</v>
      </c>
      <c r="D162" s="618" t="s">
        <v>310</v>
      </c>
      <c r="H162" s="625">
        <f t="shared" si="6"/>
        <v>0</v>
      </c>
      <c r="I162" s="621"/>
      <c r="J162" s="622"/>
      <c r="K162" s="622"/>
      <c r="L162" s="622"/>
      <c r="M162" s="622"/>
      <c r="N162" s="622"/>
      <c r="O162" s="622"/>
      <c r="P162" s="622"/>
      <c r="Q162" s="622"/>
      <c r="R162" s="622"/>
      <c r="S162" s="622"/>
      <c r="T162" s="622"/>
      <c r="U162" s="622"/>
      <c r="V162" s="622"/>
      <c r="W162" s="622"/>
      <c r="X162" s="622"/>
      <c r="Y162" s="622"/>
      <c r="Z162" s="622"/>
      <c r="AA162" s="622"/>
      <c r="AB162" s="622"/>
    </row>
    <row r="163" spans="1:28">
      <c r="A163" s="616">
        <f>IF(ISBLANK(C163),"",(MAX($A$138:A162)+0.001))</f>
        <v>11.015999999999991</v>
      </c>
      <c r="B163" s="660" t="s">
        <v>385</v>
      </c>
      <c r="C163" s="658">
        <v>1</v>
      </c>
      <c r="D163" s="618" t="s">
        <v>310</v>
      </c>
      <c r="H163" s="625">
        <f t="shared" si="6"/>
        <v>0</v>
      </c>
      <c r="I163" s="621"/>
      <c r="J163" s="622"/>
      <c r="K163" s="622"/>
      <c r="L163" s="622"/>
      <c r="M163" s="622"/>
      <c r="N163" s="622"/>
      <c r="O163" s="622"/>
      <c r="P163" s="622"/>
      <c r="Q163" s="622"/>
      <c r="R163" s="622"/>
      <c r="S163" s="622"/>
      <c r="T163" s="622"/>
      <c r="U163" s="622"/>
      <c r="V163" s="622"/>
      <c r="W163" s="622"/>
      <c r="X163" s="622"/>
      <c r="Y163" s="622"/>
      <c r="Z163" s="622"/>
      <c r="AA163" s="622"/>
      <c r="AB163" s="622"/>
    </row>
    <row r="164" spans="1:28">
      <c r="A164" s="616">
        <f>IF(ISBLANK(C164),"",(MAX($A$138:A163)+0.001))</f>
        <v>11.016999999999991</v>
      </c>
      <c r="B164" s="660" t="s">
        <v>386</v>
      </c>
      <c r="C164" s="658">
        <v>1</v>
      </c>
      <c r="D164" s="618" t="s">
        <v>310</v>
      </c>
      <c r="H164" s="625">
        <f t="shared" si="6"/>
        <v>0</v>
      </c>
      <c r="I164" s="621"/>
      <c r="J164" s="622"/>
      <c r="K164" s="622"/>
      <c r="L164" s="622"/>
      <c r="M164" s="622"/>
      <c r="N164" s="622"/>
      <c r="O164" s="622"/>
      <c r="P164" s="622"/>
      <c r="Q164" s="622"/>
      <c r="R164" s="622"/>
      <c r="S164" s="622"/>
      <c r="T164" s="622"/>
      <c r="U164" s="622"/>
      <c r="V164" s="622"/>
      <c r="W164" s="622"/>
      <c r="X164" s="622"/>
      <c r="Y164" s="622"/>
      <c r="Z164" s="622"/>
      <c r="AA164" s="622"/>
      <c r="AB164" s="622"/>
    </row>
    <row r="165" spans="1:28">
      <c r="A165" s="616">
        <f>IF(ISBLANK(C165),"",(MAX($A$138:A164)+0.001))</f>
        <v>11.01799999999999</v>
      </c>
      <c r="B165" s="660" t="s">
        <v>387</v>
      </c>
      <c r="C165" s="658">
        <v>1</v>
      </c>
      <c r="D165" s="618" t="s">
        <v>310</v>
      </c>
      <c r="H165" s="625">
        <f t="shared" si="6"/>
        <v>0</v>
      </c>
      <c r="I165" s="621"/>
      <c r="J165" s="622"/>
      <c r="K165" s="622"/>
      <c r="L165" s="622"/>
      <c r="M165" s="622"/>
      <c r="N165" s="622"/>
      <c r="O165" s="622"/>
      <c r="P165" s="622"/>
      <c r="Q165" s="622"/>
      <c r="R165" s="622"/>
      <c r="S165" s="622"/>
      <c r="T165" s="622"/>
      <c r="U165" s="622"/>
      <c r="V165" s="622"/>
      <c r="W165" s="622"/>
      <c r="X165" s="622"/>
      <c r="Y165" s="622"/>
      <c r="Z165" s="622"/>
      <c r="AA165" s="622"/>
      <c r="AB165" s="622"/>
    </row>
    <row r="166" spans="1:28">
      <c r="A166" s="616">
        <f>IF(ISBLANK(C166),"",(MAX($A$138:A165)+0.001))</f>
        <v>11.018999999999989</v>
      </c>
      <c r="B166" s="660" t="s">
        <v>388</v>
      </c>
      <c r="C166" s="658">
        <v>1</v>
      </c>
      <c r="D166" s="618" t="s">
        <v>310</v>
      </c>
      <c r="H166" s="625">
        <f t="shared" si="6"/>
        <v>0</v>
      </c>
      <c r="I166" s="621"/>
      <c r="J166" s="622"/>
      <c r="K166" s="622"/>
      <c r="L166" s="622"/>
      <c r="M166" s="622"/>
      <c r="N166" s="622"/>
      <c r="O166" s="622"/>
      <c r="P166" s="622"/>
      <c r="Q166" s="622"/>
      <c r="R166" s="622"/>
      <c r="S166" s="622"/>
      <c r="T166" s="622"/>
      <c r="U166" s="622"/>
      <c r="V166" s="622"/>
      <c r="W166" s="622"/>
      <c r="X166" s="622"/>
      <c r="Y166" s="622"/>
      <c r="Z166" s="622"/>
      <c r="AA166" s="622"/>
      <c r="AB166" s="622"/>
    </row>
    <row r="167" spans="1:28">
      <c r="A167" s="616">
        <f>IF(ISBLANK(C167),"",(MAX($A$138:A166)+0.001))</f>
        <v>11.019999999999989</v>
      </c>
      <c r="B167" s="660" t="s">
        <v>377</v>
      </c>
      <c r="C167" s="658">
        <v>1</v>
      </c>
      <c r="D167" s="618" t="s">
        <v>310</v>
      </c>
      <c r="H167" s="625">
        <f t="shared" si="6"/>
        <v>0</v>
      </c>
      <c r="I167" s="621"/>
      <c r="J167" s="622"/>
      <c r="K167" s="622"/>
      <c r="L167" s="622"/>
      <c r="M167" s="622"/>
      <c r="N167" s="622"/>
      <c r="O167" s="622"/>
      <c r="P167" s="622"/>
      <c r="Q167" s="622"/>
      <c r="R167" s="622"/>
      <c r="S167" s="622"/>
      <c r="T167" s="622"/>
      <c r="U167" s="622"/>
      <c r="V167" s="622"/>
      <c r="W167" s="622"/>
      <c r="X167" s="622"/>
      <c r="Y167" s="622"/>
      <c r="Z167" s="622"/>
      <c r="AA167" s="622"/>
      <c r="AB167" s="622"/>
    </row>
    <row r="168" spans="1:28">
      <c r="A168" s="616">
        <f>IF(ISBLANK(C168),"",(MAX($A$138:A167)+0.001))</f>
        <v>11.020999999999988</v>
      </c>
      <c r="B168" s="660" t="s">
        <v>376</v>
      </c>
      <c r="C168" s="658">
        <v>1</v>
      </c>
      <c r="D168" s="618" t="s">
        <v>310</v>
      </c>
      <c r="H168" s="625">
        <f t="shared" si="6"/>
        <v>0</v>
      </c>
      <c r="I168" s="621"/>
      <c r="J168" s="622"/>
      <c r="K168" s="622"/>
      <c r="L168" s="622"/>
      <c r="M168" s="622"/>
      <c r="N168" s="622"/>
      <c r="O168" s="622"/>
      <c r="P168" s="622"/>
      <c r="Q168" s="622"/>
      <c r="R168" s="622"/>
      <c r="S168" s="622"/>
      <c r="T168" s="622"/>
      <c r="U168" s="622"/>
      <c r="V168" s="622"/>
      <c r="W168" s="622"/>
      <c r="X168" s="622"/>
      <c r="Y168" s="622"/>
      <c r="Z168" s="622"/>
      <c r="AA168" s="622"/>
      <c r="AB168" s="622"/>
    </row>
    <row r="169" spans="1:28">
      <c r="A169" s="616">
        <f>IF(ISBLANK(C169),"",(MAX($A$138:A168)+0.001))</f>
        <v>11.021999999999988</v>
      </c>
      <c r="B169" s="660" t="s">
        <v>389</v>
      </c>
      <c r="C169" s="658">
        <v>1</v>
      </c>
      <c r="D169" s="618" t="s">
        <v>310</v>
      </c>
      <c r="H169" s="625">
        <f t="shared" si="6"/>
        <v>0</v>
      </c>
      <c r="I169" s="621"/>
      <c r="J169" s="622"/>
      <c r="K169" s="622"/>
      <c r="L169" s="622"/>
      <c r="M169" s="622"/>
      <c r="N169" s="622"/>
      <c r="O169" s="622"/>
      <c r="P169" s="622"/>
      <c r="Q169" s="622"/>
      <c r="R169" s="622"/>
      <c r="S169" s="622"/>
      <c r="T169" s="622"/>
      <c r="U169" s="622"/>
      <c r="V169" s="622"/>
      <c r="W169" s="622"/>
      <c r="X169" s="622"/>
      <c r="Y169" s="622"/>
      <c r="Z169" s="622"/>
      <c r="AA169" s="622"/>
      <c r="AB169" s="622"/>
    </row>
    <row r="170" spans="1:28">
      <c r="A170" s="616">
        <f>IF(ISBLANK(C170),"",(MAX($A$138:A169)+0.001))</f>
        <v>11.022999999999987</v>
      </c>
      <c r="B170" s="660" t="s">
        <v>390</v>
      </c>
      <c r="C170" s="658">
        <v>1</v>
      </c>
      <c r="D170" s="618" t="s">
        <v>310</v>
      </c>
      <c r="H170" s="625">
        <f t="shared" si="6"/>
        <v>0</v>
      </c>
      <c r="I170" s="621"/>
      <c r="J170" s="622"/>
      <c r="K170" s="622"/>
      <c r="L170" s="622"/>
      <c r="M170" s="622"/>
      <c r="N170" s="622"/>
      <c r="O170" s="622"/>
      <c r="P170" s="622"/>
      <c r="Q170" s="622"/>
      <c r="R170" s="622"/>
      <c r="S170" s="622"/>
      <c r="T170" s="622"/>
      <c r="U170" s="622"/>
      <c r="V170" s="622"/>
      <c r="W170" s="622"/>
      <c r="X170" s="622"/>
      <c r="Y170" s="622"/>
      <c r="Z170" s="622"/>
      <c r="AA170" s="622"/>
      <c r="AB170" s="622"/>
    </row>
    <row r="171" spans="1:28">
      <c r="A171" s="616">
        <f>IF(ISBLANK(C171),"",(MAX($A$138:A170)+0.001))</f>
        <v>11.023999999999987</v>
      </c>
      <c r="B171" s="660" t="s">
        <v>391</v>
      </c>
      <c r="C171" s="658">
        <v>1</v>
      </c>
      <c r="D171" s="618" t="s">
        <v>310</v>
      </c>
      <c r="H171" s="625">
        <f t="shared" si="6"/>
        <v>0</v>
      </c>
      <c r="I171" s="621"/>
      <c r="J171" s="622"/>
      <c r="K171" s="622"/>
      <c r="L171" s="622"/>
      <c r="M171" s="622"/>
      <c r="N171" s="622"/>
      <c r="O171" s="622"/>
      <c r="P171" s="622"/>
      <c r="Q171" s="622"/>
      <c r="R171" s="622"/>
      <c r="S171" s="622"/>
      <c r="T171" s="622"/>
      <c r="U171" s="622"/>
      <c r="V171" s="622"/>
      <c r="W171" s="622"/>
      <c r="X171" s="622"/>
      <c r="Y171" s="622"/>
      <c r="Z171" s="622"/>
      <c r="AA171" s="622"/>
      <c r="AB171" s="622"/>
    </row>
    <row r="172" spans="1:28" ht="27">
      <c r="A172" s="616">
        <f>IF(ISBLANK(C172),"",(MAX($A$138:A171)+0.001))</f>
        <v>11.024999999999986</v>
      </c>
      <c r="B172" s="660" t="s">
        <v>392</v>
      </c>
      <c r="C172" s="658">
        <v>6</v>
      </c>
      <c r="D172" s="618" t="s">
        <v>310</v>
      </c>
      <c r="H172" s="625">
        <f t="shared" si="6"/>
        <v>0</v>
      </c>
      <c r="I172" s="621"/>
      <c r="J172" s="622"/>
      <c r="K172" s="622"/>
      <c r="L172" s="622"/>
      <c r="M172" s="622"/>
      <c r="N172" s="622"/>
      <c r="O172" s="622"/>
      <c r="P172" s="622"/>
      <c r="Q172" s="622"/>
      <c r="R172" s="622"/>
      <c r="S172" s="622"/>
      <c r="T172" s="622"/>
      <c r="U172" s="622"/>
      <c r="V172" s="622"/>
      <c r="W172" s="622"/>
      <c r="X172" s="622"/>
      <c r="Y172" s="622"/>
      <c r="Z172" s="622"/>
      <c r="AA172" s="622"/>
      <c r="AB172" s="622"/>
    </row>
    <row r="173" spans="1:28">
      <c r="A173" s="616" t="str">
        <f>IF(ISBLANK(C173),"",(MAX($A$138:A172)+0.001))</f>
        <v/>
      </c>
      <c r="B173" s="660"/>
      <c r="C173" s="658"/>
      <c r="H173" s="625">
        <f t="shared" si="6"/>
        <v>0</v>
      </c>
      <c r="I173" s="621"/>
      <c r="J173" s="622"/>
      <c r="K173" s="622"/>
      <c r="L173" s="622"/>
      <c r="M173" s="622"/>
      <c r="N173" s="622"/>
      <c r="O173" s="622"/>
      <c r="P173" s="622"/>
      <c r="Q173" s="622"/>
      <c r="R173" s="622"/>
      <c r="S173" s="622"/>
      <c r="T173" s="622"/>
      <c r="U173" s="622"/>
      <c r="V173" s="622"/>
      <c r="W173" s="622"/>
      <c r="X173" s="622"/>
      <c r="Y173" s="622"/>
      <c r="Z173" s="622"/>
      <c r="AA173" s="622"/>
      <c r="AB173" s="622"/>
    </row>
    <row r="174" spans="1:28">
      <c r="A174" s="616" t="str">
        <f>IF(ISBLANK(C174),"",(MAX($A$138:A173)+0.001))</f>
        <v/>
      </c>
      <c r="B174" s="638" t="s">
        <v>393</v>
      </c>
      <c r="C174" s="658"/>
      <c r="H174" s="625">
        <f t="shared" si="6"/>
        <v>0</v>
      </c>
      <c r="I174" s="621"/>
      <c r="J174" s="622"/>
      <c r="K174" s="622"/>
      <c r="L174" s="622"/>
      <c r="M174" s="622"/>
      <c r="N174" s="622"/>
      <c r="O174" s="622"/>
      <c r="P174" s="622"/>
      <c r="Q174" s="622"/>
      <c r="R174" s="622"/>
      <c r="S174" s="622"/>
      <c r="T174" s="622"/>
      <c r="U174" s="622"/>
      <c r="V174" s="622"/>
      <c r="W174" s="622"/>
      <c r="X174" s="622"/>
      <c r="Y174" s="622"/>
      <c r="Z174" s="622"/>
      <c r="AA174" s="622"/>
      <c r="AB174" s="622"/>
    </row>
    <row r="175" spans="1:28">
      <c r="A175" s="616">
        <f>IF(ISBLANK(C175),"",(MAX($A$138:A174)+0.001))</f>
        <v>11.025999999999986</v>
      </c>
      <c r="B175" s="660" t="s">
        <v>394</v>
      </c>
      <c r="C175" s="658">
        <v>5</v>
      </c>
      <c r="D175" s="618" t="s">
        <v>310</v>
      </c>
      <c r="H175" s="625">
        <f t="shared" si="6"/>
        <v>0</v>
      </c>
      <c r="I175" s="621"/>
      <c r="J175" s="622"/>
      <c r="K175" s="622"/>
      <c r="L175" s="622"/>
      <c r="M175" s="622"/>
      <c r="N175" s="622"/>
      <c r="O175" s="622"/>
      <c r="P175" s="622"/>
      <c r="Q175" s="622"/>
      <c r="R175" s="622"/>
      <c r="S175" s="622"/>
      <c r="T175" s="622"/>
      <c r="U175" s="622"/>
      <c r="V175" s="622"/>
      <c r="W175" s="622"/>
      <c r="X175" s="622"/>
      <c r="Y175" s="622"/>
      <c r="Z175" s="622"/>
      <c r="AA175" s="622"/>
      <c r="AB175" s="622"/>
    </row>
    <row r="176" spans="1:28">
      <c r="A176" s="616">
        <f>IF(ISBLANK(C176),"",(MAX($A$138:A175)+0.001))</f>
        <v>11.026999999999985</v>
      </c>
      <c r="B176" s="660" t="s">
        <v>395</v>
      </c>
      <c r="C176" s="658">
        <v>5</v>
      </c>
      <c r="D176" s="618" t="s">
        <v>310</v>
      </c>
      <c r="H176" s="625">
        <f t="shared" si="6"/>
        <v>0</v>
      </c>
      <c r="I176" s="621"/>
      <c r="J176" s="622"/>
      <c r="K176" s="622"/>
      <c r="L176" s="622"/>
      <c r="M176" s="622"/>
      <c r="N176" s="622"/>
      <c r="O176" s="622"/>
      <c r="P176" s="622"/>
      <c r="Q176" s="622"/>
      <c r="R176" s="622"/>
      <c r="S176" s="622"/>
      <c r="T176" s="622"/>
      <c r="U176" s="622"/>
      <c r="V176" s="622"/>
      <c r="W176" s="622"/>
      <c r="X176" s="622"/>
      <c r="Y176" s="622"/>
      <c r="Z176" s="622"/>
      <c r="AA176" s="622"/>
      <c r="AB176" s="622"/>
    </row>
    <row r="177" spans="1:28">
      <c r="A177" s="616" t="str">
        <f>IF(ISBLANK(C177),"",(MAX($A$138:A176)+0.001))</f>
        <v/>
      </c>
      <c r="H177" s="625">
        <f t="shared" si="6"/>
        <v>0</v>
      </c>
      <c r="I177" s="621"/>
      <c r="J177" s="622"/>
      <c r="K177" s="622"/>
      <c r="L177" s="622"/>
      <c r="M177" s="622"/>
      <c r="N177" s="622"/>
      <c r="O177" s="622"/>
      <c r="P177" s="622"/>
      <c r="Q177" s="622"/>
      <c r="R177" s="622"/>
      <c r="S177" s="622"/>
      <c r="T177" s="622"/>
      <c r="U177" s="622"/>
      <c r="V177" s="622"/>
      <c r="W177" s="622"/>
      <c r="X177" s="622"/>
      <c r="Y177" s="622"/>
      <c r="Z177" s="622"/>
      <c r="AA177" s="622"/>
      <c r="AB177" s="622"/>
    </row>
    <row r="178" spans="1:28">
      <c r="A178" s="635" t="str">
        <f>IF(ISBLANK(C178),"",(MAX($A$138:A177)+0.001))</f>
        <v/>
      </c>
      <c r="B178" s="648" t="s">
        <v>314</v>
      </c>
      <c r="C178" s="636"/>
      <c r="D178" s="636"/>
      <c r="E178" s="636"/>
      <c r="F178" s="636"/>
      <c r="G178" s="637"/>
      <c r="H178" s="631">
        <f t="shared" si="6"/>
        <v>0</v>
      </c>
      <c r="I178" s="662"/>
      <c r="J178" s="663"/>
      <c r="K178" s="663"/>
      <c r="L178" s="663"/>
      <c r="M178" s="663"/>
      <c r="N178" s="663"/>
      <c r="O178" s="663"/>
      <c r="P178" s="663"/>
      <c r="Q178" s="663"/>
      <c r="R178" s="663"/>
      <c r="S178" s="663"/>
      <c r="T178" s="663"/>
      <c r="U178" s="663"/>
      <c r="V178" s="663"/>
      <c r="W178" s="663"/>
      <c r="X178" s="663"/>
      <c r="Y178" s="663"/>
      <c r="Z178" s="663"/>
      <c r="AA178" s="663"/>
      <c r="AB178" s="663"/>
    </row>
    <row r="179" spans="1:28" ht="40.200000000000003">
      <c r="A179" s="616">
        <f>IF(ISBLANK(C179),"",(MAX($A$138:A178)+0.001))</f>
        <v>11.027999999999984</v>
      </c>
      <c r="B179" s="624" t="s">
        <v>315</v>
      </c>
      <c r="C179" s="618">
        <v>1</v>
      </c>
      <c r="D179" s="618" t="s">
        <v>316</v>
      </c>
      <c r="G179" s="619" t="s">
        <v>280</v>
      </c>
      <c r="H179" s="625" t="s">
        <v>396</v>
      </c>
      <c r="I179" s="621"/>
      <c r="J179" s="622"/>
      <c r="K179" s="622"/>
      <c r="L179" s="622"/>
      <c r="M179" s="622"/>
      <c r="N179" s="622"/>
      <c r="O179" s="622"/>
      <c r="P179" s="622"/>
      <c r="Q179" s="622"/>
      <c r="R179" s="622"/>
      <c r="S179" s="622"/>
      <c r="T179" s="622"/>
      <c r="U179" s="622"/>
      <c r="V179" s="622"/>
      <c r="W179" s="622"/>
      <c r="X179" s="622"/>
      <c r="Y179" s="622"/>
      <c r="Z179" s="622"/>
      <c r="AA179" s="622"/>
      <c r="AB179" s="622"/>
    </row>
    <row r="180" spans="1:28" s="634" customFormat="1" ht="79.8">
      <c r="A180" s="616">
        <f>IF(ISBLANK(C180),"",(MAX($A$138:A179)+0.001))</f>
        <v>11.028999999999984</v>
      </c>
      <c r="B180" s="624" t="s">
        <v>317</v>
      </c>
      <c r="C180" s="618">
        <v>1</v>
      </c>
      <c r="D180" s="618" t="s">
        <v>316</v>
      </c>
      <c r="E180" s="618"/>
      <c r="F180" s="618"/>
      <c r="G180" s="619" t="s">
        <v>280</v>
      </c>
      <c r="H180" s="625" t="s">
        <v>396</v>
      </c>
      <c r="I180" s="632"/>
      <c r="J180" s="633"/>
      <c r="K180" s="633"/>
      <c r="L180" s="633"/>
      <c r="M180" s="633"/>
      <c r="N180" s="633"/>
      <c r="O180" s="633"/>
      <c r="P180" s="633"/>
      <c r="Q180" s="633"/>
      <c r="R180" s="633"/>
      <c r="S180" s="633"/>
      <c r="T180" s="633"/>
      <c r="U180" s="633"/>
      <c r="V180" s="633"/>
      <c r="W180" s="633"/>
      <c r="X180" s="633"/>
      <c r="Y180" s="633"/>
      <c r="Z180" s="633"/>
      <c r="AA180" s="633"/>
      <c r="AB180" s="633"/>
    </row>
    <row r="181" spans="1:28">
      <c r="A181" s="616" t="str">
        <f>IF(ISBLANK(C181),"",(MAX($A$138:A180)+0.001))</f>
        <v/>
      </c>
      <c r="H181" s="625">
        <f t="shared" si="6"/>
        <v>0</v>
      </c>
      <c r="I181" s="621"/>
      <c r="J181" s="622"/>
      <c r="K181" s="622"/>
      <c r="L181" s="622"/>
      <c r="M181" s="622"/>
      <c r="N181" s="622"/>
      <c r="O181" s="622"/>
      <c r="P181" s="622"/>
      <c r="Q181" s="622"/>
      <c r="R181" s="622"/>
      <c r="S181" s="622"/>
      <c r="T181" s="622"/>
      <c r="U181" s="622"/>
      <c r="V181" s="622"/>
      <c r="W181" s="622"/>
      <c r="X181" s="622"/>
      <c r="Y181" s="622"/>
      <c r="Z181" s="622"/>
      <c r="AA181" s="622"/>
      <c r="AB181" s="622"/>
    </row>
    <row r="182" spans="1:28">
      <c r="A182" s="635" t="str">
        <f>IF(ISBLANK(C182),"",(MAX($A$138:A181)+0.001))</f>
        <v/>
      </c>
      <c r="B182" s="648" t="s">
        <v>339</v>
      </c>
      <c r="C182" s="636"/>
      <c r="D182" s="636"/>
      <c r="E182" s="636"/>
      <c r="F182" s="636"/>
      <c r="G182" s="637"/>
      <c r="H182" s="631">
        <f t="shared" si="6"/>
        <v>0</v>
      </c>
      <c r="I182" s="621"/>
      <c r="J182" s="622"/>
      <c r="K182" s="622"/>
      <c r="L182" s="622"/>
      <c r="M182" s="622"/>
      <c r="N182" s="622"/>
      <c r="O182" s="622"/>
      <c r="P182" s="622"/>
      <c r="Q182" s="622"/>
      <c r="R182" s="622"/>
      <c r="S182" s="622"/>
      <c r="T182" s="622"/>
      <c r="U182" s="622"/>
      <c r="V182" s="622"/>
      <c r="W182" s="622"/>
      <c r="X182" s="622"/>
      <c r="Y182" s="622"/>
      <c r="Z182" s="622"/>
      <c r="AA182" s="622"/>
      <c r="AB182" s="622"/>
    </row>
    <row r="183" spans="1:28" s="634" customFormat="1" ht="27">
      <c r="A183" s="616">
        <f>IF(ISBLANK(C183),"",(MAX($A$138:A182)+0.001))</f>
        <v>11.029999999999983</v>
      </c>
      <c r="B183" s="624" t="s">
        <v>340</v>
      </c>
      <c r="C183" s="618">
        <v>1</v>
      </c>
      <c r="D183" s="618" t="s">
        <v>316</v>
      </c>
      <c r="E183" s="618"/>
      <c r="F183" s="618"/>
      <c r="G183" s="619" t="s">
        <v>280</v>
      </c>
      <c r="H183" s="625" t="s">
        <v>396</v>
      </c>
      <c r="I183" s="632"/>
      <c r="J183" s="633"/>
      <c r="K183" s="633"/>
      <c r="L183" s="633"/>
      <c r="M183" s="633"/>
      <c r="N183" s="633"/>
      <c r="O183" s="633"/>
      <c r="P183" s="633"/>
      <c r="Q183" s="633"/>
      <c r="R183" s="633"/>
      <c r="S183" s="633"/>
      <c r="T183" s="633"/>
      <c r="U183" s="633"/>
      <c r="V183" s="633"/>
      <c r="W183" s="633"/>
      <c r="X183" s="633"/>
      <c r="Y183" s="633"/>
      <c r="Z183" s="633"/>
      <c r="AA183" s="633"/>
      <c r="AB183" s="633"/>
    </row>
    <row r="184" spans="1:28">
      <c r="A184" s="616" t="str">
        <f>IF(ISBLANK(C184),"",(MAX($A$138:A183)+0.001))</f>
        <v/>
      </c>
      <c r="H184" s="625">
        <f t="shared" si="6"/>
        <v>0</v>
      </c>
      <c r="I184" s="621"/>
      <c r="J184" s="622"/>
      <c r="K184" s="622"/>
      <c r="L184" s="622"/>
      <c r="M184" s="622"/>
      <c r="N184" s="622"/>
      <c r="O184" s="622"/>
      <c r="P184" s="622"/>
      <c r="Q184" s="622"/>
      <c r="R184" s="622"/>
      <c r="S184" s="622"/>
      <c r="T184" s="622"/>
      <c r="U184" s="622"/>
      <c r="V184" s="622"/>
      <c r="W184" s="622"/>
      <c r="X184" s="622"/>
      <c r="Y184" s="622"/>
      <c r="Z184" s="622"/>
      <c r="AA184" s="622"/>
      <c r="AB184" s="622"/>
    </row>
    <row r="185" spans="1:28">
      <c r="A185" s="635" t="str">
        <f>IF(ISBLANK(C185),"",(MAX($A$138:A184)+0.001))</f>
        <v/>
      </c>
      <c r="B185" s="648" t="s">
        <v>318</v>
      </c>
      <c r="C185" s="636"/>
      <c r="D185" s="636"/>
      <c r="E185" s="636"/>
      <c r="F185" s="636"/>
      <c r="G185" s="637"/>
      <c r="H185" s="631">
        <f t="shared" si="6"/>
        <v>0</v>
      </c>
      <c r="I185" s="621"/>
      <c r="J185" s="622"/>
      <c r="K185" s="622"/>
      <c r="L185" s="622"/>
      <c r="M185" s="622"/>
      <c r="N185" s="622"/>
      <c r="O185" s="622"/>
      <c r="P185" s="622"/>
      <c r="Q185" s="622"/>
      <c r="R185" s="622"/>
      <c r="S185" s="622"/>
      <c r="T185" s="622"/>
      <c r="U185" s="622"/>
      <c r="V185" s="622"/>
      <c r="W185" s="622"/>
      <c r="X185" s="622"/>
      <c r="Y185" s="622"/>
      <c r="Z185" s="622"/>
      <c r="AA185" s="622"/>
      <c r="AB185" s="622"/>
    </row>
    <row r="186" spans="1:28" ht="27">
      <c r="A186" s="616">
        <f>IF(ISBLANK(C186),"",(MAX($A$138:A185)+0.001))</f>
        <v>11.030999999999983</v>
      </c>
      <c r="B186" s="624" t="s">
        <v>319</v>
      </c>
      <c r="C186" s="618">
        <v>1</v>
      </c>
      <c r="D186" s="618" t="s">
        <v>316</v>
      </c>
      <c r="G186" s="619" t="s">
        <v>396</v>
      </c>
      <c r="H186" s="625" t="s">
        <v>396</v>
      </c>
      <c r="I186" s="621"/>
      <c r="J186" s="622"/>
      <c r="K186" s="622"/>
      <c r="L186" s="622"/>
      <c r="M186" s="622"/>
      <c r="N186" s="622"/>
      <c r="O186" s="622"/>
      <c r="P186" s="622"/>
      <c r="Q186" s="622"/>
      <c r="R186" s="622"/>
      <c r="S186" s="622"/>
      <c r="T186" s="622"/>
      <c r="U186" s="622"/>
      <c r="V186" s="622"/>
      <c r="W186" s="622"/>
      <c r="X186" s="622"/>
      <c r="Y186" s="622"/>
      <c r="Z186" s="622"/>
      <c r="AA186" s="622"/>
      <c r="AB186" s="622"/>
    </row>
    <row r="187" spans="1:28" s="646" customFormat="1">
      <c r="A187" s="616">
        <f>IF(ISBLANK(C187),"",(MAX($A$138:A186)+0.001))</f>
        <v>11.031999999999982</v>
      </c>
      <c r="B187" s="624" t="s">
        <v>341</v>
      </c>
      <c r="C187" s="618">
        <v>1</v>
      </c>
      <c r="D187" s="618" t="s">
        <v>316</v>
      </c>
      <c r="E187" s="618"/>
      <c r="F187" s="618"/>
      <c r="G187" s="619" t="s">
        <v>280</v>
      </c>
      <c r="H187" s="625" t="s">
        <v>396</v>
      </c>
      <c r="I187" s="644"/>
      <c r="J187" s="645"/>
      <c r="K187" s="645"/>
      <c r="L187" s="645"/>
      <c r="M187" s="645"/>
      <c r="N187" s="645"/>
      <c r="O187" s="645"/>
      <c r="P187" s="645"/>
      <c r="Q187" s="645"/>
      <c r="R187" s="645"/>
      <c r="S187" s="645"/>
      <c r="T187" s="645"/>
      <c r="U187" s="645"/>
      <c r="V187" s="645"/>
      <c r="W187" s="645"/>
      <c r="X187" s="645"/>
      <c r="Y187" s="645"/>
      <c r="Z187" s="645"/>
      <c r="AA187" s="645"/>
      <c r="AB187" s="645"/>
    </row>
    <row r="188" spans="1:28" ht="27">
      <c r="A188" s="616">
        <f>IF(ISBLANK(C188),"",(MAX($A$138:A187)+0.001))</f>
        <v>11.032999999999982</v>
      </c>
      <c r="B188" s="624" t="s">
        <v>342</v>
      </c>
      <c r="C188" s="618">
        <v>1</v>
      </c>
      <c r="D188" s="618" t="s">
        <v>316</v>
      </c>
      <c r="G188" s="619" t="s">
        <v>280</v>
      </c>
      <c r="H188" s="625" t="s">
        <v>396</v>
      </c>
      <c r="I188" s="621"/>
      <c r="J188" s="622"/>
      <c r="K188" s="622"/>
      <c r="L188" s="622"/>
      <c r="M188" s="622"/>
      <c r="N188" s="622"/>
      <c r="O188" s="622"/>
      <c r="P188" s="622"/>
      <c r="Q188" s="622"/>
      <c r="R188" s="622"/>
      <c r="S188" s="622"/>
      <c r="T188" s="622"/>
      <c r="U188" s="622"/>
      <c r="V188" s="622"/>
      <c r="W188" s="622"/>
      <c r="X188" s="622"/>
      <c r="Y188" s="622"/>
      <c r="Z188" s="622"/>
      <c r="AA188" s="622"/>
      <c r="AB188" s="622"/>
    </row>
    <row r="189" spans="1:28">
      <c r="A189" s="640"/>
      <c r="B189" s="641" t="s">
        <v>397</v>
      </c>
      <c r="C189" s="642"/>
      <c r="D189" s="642"/>
      <c r="E189" s="642"/>
      <c r="F189" s="642"/>
      <c r="G189" s="643"/>
      <c r="H189" s="649">
        <f>SUM(H138:H188)</f>
        <v>0</v>
      </c>
      <c r="I189" s="621"/>
      <c r="J189" s="622"/>
      <c r="K189" s="622"/>
      <c r="L189" s="622"/>
      <c r="M189" s="622"/>
      <c r="N189" s="622"/>
      <c r="O189" s="622"/>
      <c r="P189" s="622"/>
      <c r="Q189" s="622"/>
      <c r="R189" s="622"/>
      <c r="S189" s="622"/>
      <c r="T189" s="622"/>
      <c r="U189" s="622"/>
      <c r="V189" s="622"/>
      <c r="W189" s="622"/>
      <c r="X189" s="622"/>
      <c r="Y189" s="622"/>
      <c r="Z189" s="622"/>
      <c r="AA189" s="622"/>
      <c r="AB189" s="622"/>
    </row>
    <row r="190" spans="1:28" s="634" customFormat="1" ht="27" customHeight="1">
      <c r="A190" s="616"/>
      <c r="B190" s="624"/>
      <c r="C190" s="618"/>
      <c r="D190" s="618"/>
      <c r="E190" s="618"/>
      <c r="F190" s="618"/>
      <c r="G190" s="619"/>
      <c r="H190" s="625"/>
      <c r="I190" s="632"/>
      <c r="J190" s="633"/>
      <c r="K190" s="633"/>
      <c r="L190" s="633"/>
      <c r="M190" s="633"/>
      <c r="N190" s="633"/>
      <c r="O190" s="633"/>
      <c r="P190" s="633"/>
      <c r="Q190" s="633"/>
      <c r="R190" s="633"/>
      <c r="S190" s="633"/>
      <c r="T190" s="633"/>
      <c r="U190" s="633"/>
      <c r="V190" s="633"/>
      <c r="W190" s="633"/>
      <c r="X190" s="633"/>
      <c r="Y190" s="633"/>
      <c r="Z190" s="633"/>
      <c r="AA190" s="633"/>
      <c r="AB190" s="633"/>
    </row>
    <row r="191" spans="1:28">
      <c r="A191" s="635"/>
      <c r="B191" s="664" t="s">
        <v>398</v>
      </c>
      <c r="C191" s="636"/>
      <c r="D191" s="636"/>
      <c r="E191" s="636"/>
      <c r="F191" s="636"/>
      <c r="G191" s="637"/>
      <c r="H191" s="631"/>
      <c r="I191" s="621"/>
      <c r="J191" s="622"/>
      <c r="K191" s="622"/>
      <c r="L191" s="622"/>
      <c r="M191" s="622"/>
      <c r="N191" s="622"/>
      <c r="O191" s="622"/>
      <c r="P191" s="622"/>
      <c r="Q191" s="622"/>
      <c r="R191" s="622"/>
      <c r="S191" s="622"/>
      <c r="T191" s="622"/>
      <c r="U191" s="622"/>
      <c r="V191" s="622"/>
      <c r="W191" s="622"/>
      <c r="X191" s="622"/>
      <c r="Y191" s="622"/>
      <c r="Z191" s="622"/>
      <c r="AA191" s="622"/>
      <c r="AB191" s="622"/>
    </row>
    <row r="192" spans="1:28">
      <c r="B192" s="647" t="s">
        <v>399</v>
      </c>
      <c r="I192" s="621"/>
      <c r="J192" s="622"/>
      <c r="K192" s="622"/>
      <c r="L192" s="622"/>
      <c r="M192" s="622"/>
      <c r="N192" s="622"/>
      <c r="O192" s="622"/>
      <c r="P192" s="622"/>
      <c r="Q192" s="622"/>
      <c r="R192" s="622"/>
      <c r="S192" s="622"/>
      <c r="T192" s="622"/>
      <c r="U192" s="622"/>
      <c r="V192" s="622"/>
      <c r="W192" s="622"/>
      <c r="X192" s="622"/>
      <c r="Y192" s="622"/>
      <c r="Z192" s="622"/>
      <c r="AA192" s="622"/>
      <c r="AB192" s="622"/>
    </row>
    <row r="193" spans="1:28">
      <c r="A193" s="616">
        <v>12</v>
      </c>
      <c r="B193" s="624" t="s">
        <v>400</v>
      </c>
      <c r="C193" s="618">
        <v>1</v>
      </c>
      <c r="D193" s="618" t="s">
        <v>139</v>
      </c>
      <c r="H193" s="625">
        <f t="shared" ref="H193" si="7">C193*G193</f>
        <v>0</v>
      </c>
      <c r="I193" s="621"/>
      <c r="J193" s="622"/>
      <c r="K193" s="622"/>
      <c r="L193" s="622"/>
      <c r="M193" s="622"/>
      <c r="N193" s="622"/>
      <c r="O193" s="622"/>
      <c r="P193" s="622"/>
      <c r="Q193" s="622"/>
      <c r="R193" s="622"/>
      <c r="S193" s="622"/>
      <c r="T193" s="622"/>
      <c r="U193" s="622"/>
      <c r="V193" s="622"/>
      <c r="W193" s="622"/>
      <c r="X193" s="622"/>
      <c r="Y193" s="622"/>
      <c r="Z193" s="622"/>
      <c r="AA193" s="622"/>
      <c r="AB193" s="622"/>
    </row>
    <row r="194" spans="1:28">
      <c r="A194" s="640"/>
      <c r="B194" s="641" t="s">
        <v>401</v>
      </c>
      <c r="C194" s="642"/>
      <c r="D194" s="642"/>
      <c r="E194" s="642"/>
      <c r="F194" s="642"/>
      <c r="G194" s="643"/>
      <c r="H194" s="649">
        <f>SUM(H191:H193)</f>
        <v>0</v>
      </c>
      <c r="I194" s="621"/>
      <c r="J194" s="622"/>
      <c r="K194" s="622"/>
      <c r="L194" s="622"/>
      <c r="M194" s="622"/>
      <c r="N194" s="622"/>
      <c r="O194" s="622"/>
      <c r="P194" s="622"/>
      <c r="Q194" s="622"/>
      <c r="R194" s="622"/>
      <c r="S194" s="622"/>
      <c r="T194" s="622"/>
      <c r="U194" s="622"/>
      <c r="V194" s="622"/>
      <c r="W194" s="622"/>
      <c r="X194" s="622"/>
      <c r="Y194" s="622"/>
      <c r="Z194" s="622"/>
      <c r="AA194" s="622"/>
      <c r="AB194" s="622"/>
    </row>
    <row r="195" spans="1:28">
      <c r="A195" s="640"/>
      <c r="B195" s="641"/>
      <c r="C195" s="642"/>
      <c r="D195" s="642"/>
      <c r="E195" s="642"/>
      <c r="F195" s="642"/>
      <c r="G195" s="643"/>
      <c r="H195" s="649"/>
      <c r="I195" s="621"/>
      <c r="J195" s="622"/>
      <c r="K195" s="622"/>
      <c r="L195" s="622"/>
      <c r="M195" s="622"/>
      <c r="N195" s="622"/>
      <c r="O195" s="622"/>
      <c r="P195" s="622"/>
      <c r="Q195" s="622"/>
      <c r="R195" s="622"/>
      <c r="S195" s="622"/>
      <c r="T195" s="622"/>
      <c r="U195" s="622"/>
      <c r="V195" s="622"/>
      <c r="W195" s="622"/>
      <c r="X195" s="622"/>
      <c r="Y195" s="622"/>
      <c r="Z195" s="622"/>
      <c r="AA195" s="622"/>
      <c r="AB195" s="622"/>
    </row>
    <row r="196" spans="1:28" s="671" customFormat="1">
      <c r="A196" s="665"/>
      <c r="B196" s="666" t="s">
        <v>402</v>
      </c>
      <c r="C196" s="665"/>
      <c r="D196" s="665"/>
      <c r="E196" s="665"/>
      <c r="F196" s="665"/>
      <c r="G196" s="667"/>
      <c r="H196" s="668"/>
      <c r="I196" s="669"/>
      <c r="J196" s="670"/>
      <c r="K196" s="670"/>
      <c r="L196" s="670"/>
      <c r="M196" s="670"/>
      <c r="N196" s="670"/>
      <c r="O196" s="670"/>
      <c r="P196" s="670"/>
      <c r="Q196" s="670"/>
      <c r="R196" s="670"/>
      <c r="S196" s="670"/>
      <c r="T196" s="670"/>
      <c r="U196" s="670"/>
      <c r="V196" s="670"/>
      <c r="W196" s="670"/>
      <c r="X196" s="670"/>
      <c r="Y196" s="670"/>
      <c r="Z196" s="670"/>
      <c r="AA196" s="670"/>
      <c r="AB196" s="670"/>
    </row>
    <row r="197" spans="1:28" s="671" customFormat="1" ht="27">
      <c r="A197" s="672" t="s">
        <v>141</v>
      </c>
      <c r="B197" s="673" t="s">
        <v>191</v>
      </c>
      <c r="C197" s="672" t="s">
        <v>192</v>
      </c>
      <c r="D197" s="672" t="s">
        <v>193</v>
      </c>
      <c r="E197" s="672"/>
      <c r="F197" s="672"/>
      <c r="G197" s="674" t="s">
        <v>274</v>
      </c>
      <c r="H197" s="674" t="s">
        <v>275</v>
      </c>
      <c r="I197" s="669"/>
      <c r="J197" s="670"/>
      <c r="K197" s="670"/>
      <c r="L197" s="670"/>
      <c r="M197" s="670"/>
      <c r="N197" s="670"/>
      <c r="O197" s="670"/>
      <c r="P197" s="670"/>
      <c r="Q197" s="670"/>
      <c r="R197" s="670"/>
      <c r="S197" s="670"/>
      <c r="T197" s="670"/>
      <c r="U197" s="670"/>
      <c r="V197" s="670"/>
      <c r="W197" s="670"/>
      <c r="X197" s="670"/>
      <c r="Y197" s="670"/>
      <c r="Z197" s="670"/>
      <c r="AA197" s="670"/>
      <c r="AB197" s="670"/>
    </row>
    <row r="198" spans="1:28">
      <c r="I198" s="621"/>
      <c r="J198" s="622"/>
      <c r="K198" s="622"/>
      <c r="L198" s="622"/>
      <c r="M198" s="622"/>
      <c r="N198" s="622"/>
      <c r="O198" s="622"/>
      <c r="P198" s="622"/>
      <c r="Q198" s="622"/>
      <c r="R198" s="622"/>
      <c r="S198" s="622"/>
      <c r="T198" s="622"/>
      <c r="U198" s="622"/>
      <c r="V198" s="622"/>
      <c r="W198" s="622"/>
      <c r="X198" s="622"/>
      <c r="Y198" s="622"/>
      <c r="Z198" s="622"/>
      <c r="AA198" s="622"/>
      <c r="AB198" s="622"/>
    </row>
    <row r="199" spans="1:28">
      <c r="I199" s="621"/>
      <c r="J199" s="622"/>
      <c r="K199" s="622"/>
      <c r="L199" s="622"/>
      <c r="M199" s="622"/>
      <c r="N199" s="622"/>
      <c r="O199" s="622"/>
      <c r="P199" s="622"/>
      <c r="Q199" s="622"/>
      <c r="R199" s="622"/>
      <c r="S199" s="622"/>
      <c r="T199" s="622"/>
      <c r="U199" s="622"/>
      <c r="V199" s="622"/>
      <c r="W199" s="622"/>
      <c r="X199" s="622"/>
      <c r="Y199" s="622"/>
      <c r="Z199" s="622"/>
      <c r="AA199" s="622"/>
      <c r="AB199" s="622"/>
    </row>
    <row r="200" spans="1:28">
      <c r="I200" s="621"/>
      <c r="J200" s="622"/>
      <c r="K200" s="622"/>
      <c r="L200" s="622"/>
      <c r="M200" s="622"/>
      <c r="N200" s="622"/>
      <c r="O200" s="622"/>
      <c r="P200" s="622"/>
      <c r="Q200" s="622"/>
      <c r="R200" s="622"/>
      <c r="S200" s="622"/>
      <c r="T200" s="622"/>
      <c r="U200" s="622"/>
      <c r="V200" s="622"/>
      <c r="W200" s="622"/>
      <c r="X200" s="622"/>
      <c r="Y200" s="622"/>
      <c r="Z200" s="622"/>
      <c r="AA200" s="622"/>
      <c r="AB200" s="622"/>
    </row>
    <row r="201" spans="1:28">
      <c r="I201" s="621"/>
      <c r="J201" s="622"/>
      <c r="K201" s="622"/>
      <c r="L201" s="622"/>
      <c r="M201" s="622"/>
      <c r="N201" s="622"/>
      <c r="O201" s="622"/>
      <c r="P201" s="622"/>
      <c r="Q201" s="622"/>
      <c r="R201" s="622"/>
      <c r="S201" s="622"/>
      <c r="T201" s="622"/>
      <c r="U201" s="622"/>
      <c r="V201" s="622"/>
      <c r="W201" s="622"/>
      <c r="X201" s="622"/>
      <c r="Y201" s="622"/>
      <c r="Z201" s="622"/>
      <c r="AA201" s="622"/>
      <c r="AB201" s="622"/>
    </row>
    <row r="202" spans="1:28">
      <c r="I202" s="621"/>
      <c r="J202" s="622"/>
      <c r="K202" s="622"/>
      <c r="L202" s="622"/>
      <c r="M202" s="622"/>
      <c r="N202" s="622"/>
      <c r="O202" s="622"/>
      <c r="P202" s="622"/>
      <c r="Q202" s="622"/>
      <c r="R202" s="622"/>
      <c r="S202" s="622"/>
      <c r="T202" s="622"/>
      <c r="U202" s="622"/>
      <c r="V202" s="622"/>
      <c r="W202" s="622"/>
      <c r="X202" s="622"/>
      <c r="Y202" s="622"/>
      <c r="Z202" s="622"/>
      <c r="AA202" s="622"/>
      <c r="AB202" s="622"/>
    </row>
    <row r="203" spans="1:28">
      <c r="I203" s="621"/>
      <c r="J203" s="622"/>
      <c r="K203" s="622"/>
      <c r="L203" s="622"/>
      <c r="M203" s="622"/>
      <c r="N203" s="622"/>
      <c r="O203" s="622"/>
      <c r="P203" s="622"/>
      <c r="Q203" s="622"/>
      <c r="R203" s="622"/>
      <c r="S203" s="622"/>
      <c r="T203" s="622"/>
      <c r="U203" s="622"/>
      <c r="V203" s="622"/>
      <c r="W203" s="622"/>
      <c r="X203" s="622"/>
      <c r="Y203" s="622"/>
      <c r="Z203" s="622"/>
      <c r="AA203" s="622"/>
      <c r="AB203" s="622"/>
    </row>
    <row r="204" spans="1:28">
      <c r="I204" s="621"/>
      <c r="J204" s="622"/>
      <c r="K204" s="622"/>
      <c r="L204" s="622"/>
      <c r="M204" s="622"/>
      <c r="N204" s="622"/>
      <c r="O204" s="622"/>
      <c r="P204" s="622"/>
      <c r="Q204" s="622"/>
      <c r="R204" s="622"/>
      <c r="S204" s="622"/>
      <c r="T204" s="622"/>
      <c r="U204" s="622"/>
      <c r="V204" s="622"/>
      <c r="W204" s="622"/>
      <c r="X204" s="622"/>
      <c r="Y204" s="622"/>
      <c r="Z204" s="622"/>
      <c r="AA204" s="622"/>
      <c r="AB204" s="622"/>
    </row>
    <row r="205" spans="1:28">
      <c r="I205" s="621"/>
      <c r="J205" s="622"/>
      <c r="K205" s="622"/>
      <c r="L205" s="622"/>
      <c r="M205" s="622"/>
      <c r="N205" s="622"/>
      <c r="O205" s="622"/>
      <c r="P205" s="622"/>
      <c r="Q205" s="622"/>
      <c r="R205" s="622"/>
      <c r="S205" s="622"/>
      <c r="T205" s="622"/>
      <c r="U205" s="622"/>
      <c r="V205" s="622"/>
      <c r="W205" s="622"/>
      <c r="X205" s="622"/>
      <c r="Y205" s="622"/>
      <c r="Z205" s="622"/>
      <c r="AA205" s="622"/>
      <c r="AB205" s="622"/>
    </row>
    <row r="206" spans="1:28">
      <c r="I206" s="621"/>
      <c r="J206" s="622"/>
      <c r="K206" s="622"/>
      <c r="L206" s="622"/>
      <c r="M206" s="622"/>
      <c r="N206" s="622"/>
      <c r="O206" s="622"/>
      <c r="P206" s="622"/>
      <c r="Q206" s="622"/>
      <c r="R206" s="622"/>
      <c r="S206" s="622"/>
      <c r="T206" s="622"/>
      <c r="U206" s="622"/>
      <c r="V206" s="622"/>
      <c r="W206" s="622"/>
      <c r="X206" s="622"/>
      <c r="Y206" s="622"/>
      <c r="Z206" s="622"/>
      <c r="AA206" s="622"/>
      <c r="AB206" s="622"/>
    </row>
    <row r="207" spans="1:28">
      <c r="I207" s="621"/>
      <c r="J207" s="622"/>
      <c r="K207" s="622"/>
      <c r="L207" s="622"/>
      <c r="M207" s="622"/>
      <c r="N207" s="622"/>
      <c r="O207" s="622"/>
      <c r="P207" s="622"/>
      <c r="Q207" s="622"/>
      <c r="R207" s="622"/>
      <c r="S207" s="622"/>
      <c r="T207" s="622"/>
      <c r="U207" s="622"/>
      <c r="V207" s="622"/>
      <c r="W207" s="622"/>
      <c r="X207" s="622"/>
      <c r="Y207" s="622"/>
      <c r="Z207" s="622"/>
      <c r="AA207" s="622"/>
      <c r="AB207" s="622"/>
    </row>
    <row r="208" spans="1:28">
      <c r="I208" s="621"/>
      <c r="J208" s="622"/>
      <c r="K208" s="622"/>
      <c r="L208" s="622"/>
      <c r="M208" s="622"/>
      <c r="N208" s="622"/>
      <c r="O208" s="622"/>
      <c r="P208" s="622"/>
      <c r="Q208" s="622"/>
      <c r="R208" s="622"/>
      <c r="S208" s="622"/>
      <c r="T208" s="622"/>
      <c r="U208" s="622"/>
      <c r="V208" s="622"/>
      <c r="W208" s="622"/>
      <c r="X208" s="622"/>
      <c r="Y208" s="622"/>
      <c r="Z208" s="622"/>
      <c r="AA208" s="622"/>
      <c r="AB208" s="622"/>
    </row>
    <row r="209" spans="9:28">
      <c r="I209" s="621"/>
      <c r="J209" s="622"/>
      <c r="K209" s="622"/>
      <c r="L209" s="622"/>
      <c r="M209" s="622"/>
      <c r="N209" s="622"/>
      <c r="O209" s="622"/>
      <c r="P209" s="622"/>
      <c r="Q209" s="622"/>
      <c r="R209" s="622"/>
      <c r="S209" s="622"/>
      <c r="T209" s="622"/>
      <c r="U209" s="622"/>
      <c r="V209" s="622"/>
      <c r="W209" s="622"/>
      <c r="X209" s="622"/>
      <c r="Y209" s="622"/>
      <c r="Z209" s="622"/>
      <c r="AA209" s="622"/>
      <c r="AB209" s="622"/>
    </row>
    <row r="210" spans="9:28">
      <c r="I210" s="621"/>
      <c r="J210" s="622"/>
      <c r="K210" s="622"/>
      <c r="L210" s="622"/>
      <c r="M210" s="622"/>
      <c r="N210" s="622"/>
      <c r="O210" s="622"/>
      <c r="P210" s="622"/>
      <c r="Q210" s="622"/>
      <c r="R210" s="622"/>
      <c r="S210" s="622"/>
      <c r="T210" s="622"/>
      <c r="U210" s="622"/>
      <c r="V210" s="622"/>
      <c r="W210" s="622"/>
      <c r="X210" s="622"/>
      <c r="Y210" s="622"/>
      <c r="Z210" s="622"/>
      <c r="AA210" s="622"/>
      <c r="AB210" s="622"/>
    </row>
    <row r="211" spans="9:28">
      <c r="I211" s="621"/>
      <c r="J211" s="622"/>
      <c r="K211" s="622"/>
      <c r="L211" s="622"/>
      <c r="M211" s="622"/>
      <c r="N211" s="622"/>
      <c r="O211" s="622"/>
      <c r="P211" s="622"/>
      <c r="Q211" s="622"/>
      <c r="R211" s="622"/>
      <c r="S211" s="622"/>
      <c r="T211" s="622"/>
      <c r="U211" s="622"/>
      <c r="V211" s="622"/>
      <c r="W211" s="622"/>
      <c r="X211" s="622"/>
      <c r="Y211" s="622"/>
      <c r="Z211" s="622"/>
      <c r="AA211" s="622"/>
      <c r="AB211" s="622"/>
    </row>
    <row r="212" spans="9:28">
      <c r="I212" s="621"/>
      <c r="J212" s="622"/>
      <c r="K212" s="622"/>
      <c r="L212" s="622"/>
      <c r="M212" s="622"/>
      <c r="N212" s="622"/>
      <c r="O212" s="622"/>
      <c r="P212" s="622"/>
      <c r="Q212" s="622"/>
      <c r="R212" s="622"/>
      <c r="S212" s="622"/>
      <c r="T212" s="622"/>
      <c r="U212" s="622"/>
      <c r="V212" s="622"/>
      <c r="W212" s="622"/>
      <c r="X212" s="622"/>
      <c r="Y212" s="622"/>
      <c r="Z212" s="622"/>
      <c r="AA212" s="622"/>
      <c r="AB212" s="622"/>
    </row>
    <row r="213" spans="9:28">
      <c r="I213" s="621"/>
      <c r="J213" s="622"/>
      <c r="K213" s="622"/>
      <c r="L213" s="622"/>
      <c r="M213" s="622"/>
      <c r="N213" s="622"/>
      <c r="O213" s="622"/>
      <c r="P213" s="622"/>
      <c r="Q213" s="622"/>
      <c r="R213" s="622"/>
      <c r="S213" s="622"/>
      <c r="T213" s="622"/>
      <c r="U213" s="622"/>
      <c r="V213" s="622"/>
      <c r="W213" s="622"/>
      <c r="X213" s="622"/>
      <c r="Y213" s="622"/>
      <c r="Z213" s="622"/>
      <c r="AA213" s="622"/>
      <c r="AB213" s="622"/>
    </row>
    <row r="214" spans="9:28">
      <c r="I214" s="621"/>
      <c r="J214" s="622"/>
      <c r="K214" s="622"/>
      <c r="L214" s="622"/>
      <c r="M214" s="622"/>
      <c r="N214" s="622"/>
      <c r="O214" s="622"/>
      <c r="P214" s="622"/>
      <c r="Q214" s="622"/>
      <c r="R214" s="622"/>
      <c r="S214" s="622"/>
      <c r="T214" s="622"/>
      <c r="U214" s="622"/>
      <c r="V214" s="622"/>
      <c r="W214" s="622"/>
      <c r="X214" s="622"/>
      <c r="Y214" s="622"/>
      <c r="Z214" s="622"/>
      <c r="AA214" s="622"/>
      <c r="AB214" s="622"/>
    </row>
    <row r="215" spans="9:28">
      <c r="I215" s="621"/>
      <c r="J215" s="622"/>
      <c r="K215" s="622"/>
      <c r="L215" s="622"/>
      <c r="M215" s="622"/>
      <c r="N215" s="622"/>
      <c r="O215" s="622"/>
      <c r="P215" s="622"/>
      <c r="Q215" s="622"/>
      <c r="R215" s="622"/>
      <c r="S215" s="622"/>
      <c r="T215" s="622"/>
      <c r="U215" s="622"/>
      <c r="V215" s="622"/>
      <c r="W215" s="622"/>
      <c r="X215" s="622"/>
      <c r="Y215" s="622"/>
      <c r="Z215" s="622"/>
      <c r="AA215" s="622"/>
      <c r="AB215" s="622"/>
    </row>
    <row r="216" spans="9:28">
      <c r="I216" s="621"/>
      <c r="J216" s="622"/>
      <c r="K216" s="622"/>
      <c r="L216" s="622"/>
      <c r="M216" s="622"/>
      <c r="N216" s="622"/>
      <c r="O216" s="622"/>
      <c r="P216" s="622"/>
      <c r="Q216" s="622"/>
      <c r="R216" s="622"/>
      <c r="S216" s="622"/>
      <c r="T216" s="622"/>
      <c r="U216" s="622"/>
      <c r="V216" s="622"/>
      <c r="W216" s="622"/>
      <c r="X216" s="622"/>
      <c r="Y216" s="622"/>
      <c r="Z216" s="622"/>
      <c r="AA216" s="622"/>
      <c r="AB216" s="622"/>
    </row>
    <row r="217" spans="9:28">
      <c r="I217" s="621"/>
      <c r="J217" s="622"/>
      <c r="K217" s="622"/>
      <c r="L217" s="622"/>
      <c r="M217" s="622"/>
      <c r="N217" s="622"/>
      <c r="O217" s="622"/>
      <c r="P217" s="622"/>
      <c r="Q217" s="622"/>
      <c r="R217" s="622"/>
      <c r="S217" s="622"/>
      <c r="T217" s="622"/>
      <c r="U217" s="622"/>
      <c r="V217" s="622"/>
      <c r="W217" s="622"/>
      <c r="X217" s="622"/>
      <c r="Y217" s="622"/>
      <c r="Z217" s="622"/>
      <c r="AA217" s="622"/>
      <c r="AB217" s="622"/>
    </row>
    <row r="218" spans="9:28">
      <c r="I218" s="621"/>
      <c r="J218" s="622"/>
      <c r="K218" s="622"/>
      <c r="L218" s="622"/>
      <c r="M218" s="622"/>
      <c r="N218" s="622"/>
      <c r="O218" s="622"/>
      <c r="P218" s="622"/>
      <c r="Q218" s="622"/>
      <c r="R218" s="622"/>
      <c r="S218" s="622"/>
      <c r="T218" s="622"/>
      <c r="U218" s="622"/>
      <c r="V218" s="622"/>
      <c r="W218" s="622"/>
      <c r="X218" s="622"/>
      <c r="Y218" s="622"/>
      <c r="Z218" s="622"/>
      <c r="AA218" s="622"/>
      <c r="AB218" s="622"/>
    </row>
    <row r="219" spans="9:28">
      <c r="I219" s="621"/>
      <c r="J219" s="622"/>
      <c r="K219" s="622"/>
      <c r="L219" s="622"/>
      <c r="M219" s="622"/>
      <c r="N219" s="622"/>
      <c r="O219" s="622"/>
      <c r="P219" s="622"/>
      <c r="Q219" s="622"/>
      <c r="R219" s="622"/>
      <c r="S219" s="622"/>
      <c r="T219" s="622"/>
      <c r="U219" s="622"/>
      <c r="V219" s="622"/>
      <c r="W219" s="622"/>
      <c r="X219" s="622"/>
      <c r="Y219" s="622"/>
      <c r="Z219" s="622"/>
      <c r="AA219" s="622"/>
      <c r="AB219" s="622"/>
    </row>
    <row r="220" spans="9:28">
      <c r="I220" s="621"/>
      <c r="J220" s="622"/>
      <c r="K220" s="622"/>
      <c r="L220" s="622"/>
      <c r="M220" s="622"/>
      <c r="N220" s="622"/>
      <c r="O220" s="622"/>
      <c r="P220" s="622"/>
      <c r="Q220" s="622"/>
      <c r="R220" s="622"/>
      <c r="S220" s="622"/>
      <c r="T220" s="622"/>
      <c r="U220" s="622"/>
      <c r="V220" s="622"/>
      <c r="W220" s="622"/>
      <c r="X220" s="622"/>
      <c r="Y220" s="622"/>
      <c r="Z220" s="622"/>
      <c r="AA220" s="622"/>
      <c r="AB220" s="622"/>
    </row>
    <row r="221" spans="9:28">
      <c r="I221" s="621"/>
      <c r="J221" s="622"/>
      <c r="K221" s="622"/>
      <c r="L221" s="622"/>
      <c r="M221" s="622"/>
      <c r="N221" s="622"/>
      <c r="O221" s="622"/>
      <c r="P221" s="622"/>
      <c r="Q221" s="622"/>
      <c r="R221" s="622"/>
      <c r="S221" s="622"/>
      <c r="T221" s="622"/>
      <c r="U221" s="622"/>
      <c r="V221" s="622"/>
      <c r="W221" s="622"/>
      <c r="X221" s="622"/>
      <c r="Y221" s="622"/>
      <c r="Z221" s="622"/>
      <c r="AA221" s="622"/>
      <c r="AB221" s="622"/>
    </row>
    <row r="222" spans="9:28">
      <c r="I222" s="621"/>
      <c r="J222" s="622"/>
      <c r="K222" s="622"/>
      <c r="L222" s="622"/>
      <c r="M222" s="622"/>
      <c r="N222" s="622"/>
      <c r="O222" s="622"/>
      <c r="P222" s="622"/>
      <c r="Q222" s="622"/>
      <c r="R222" s="622"/>
      <c r="S222" s="622"/>
      <c r="T222" s="622"/>
      <c r="U222" s="622"/>
      <c r="V222" s="622"/>
      <c r="W222" s="622"/>
      <c r="X222" s="622"/>
      <c r="Y222" s="622"/>
      <c r="Z222" s="622"/>
      <c r="AA222" s="622"/>
      <c r="AB222" s="622"/>
    </row>
    <row r="223" spans="9:28">
      <c r="I223" s="621"/>
      <c r="J223" s="622"/>
      <c r="K223" s="622"/>
      <c r="L223" s="622"/>
      <c r="M223" s="622"/>
      <c r="N223" s="622"/>
      <c r="O223" s="622"/>
      <c r="P223" s="622"/>
      <c r="Q223" s="622"/>
      <c r="R223" s="622"/>
      <c r="S223" s="622"/>
      <c r="T223" s="622"/>
      <c r="U223" s="622"/>
      <c r="V223" s="622"/>
      <c r="W223" s="622"/>
      <c r="X223" s="622"/>
      <c r="Y223" s="622"/>
      <c r="Z223" s="622"/>
      <c r="AA223" s="622"/>
      <c r="AB223" s="622"/>
    </row>
    <row r="224" spans="9:28">
      <c r="I224" s="621"/>
      <c r="J224" s="622"/>
      <c r="K224" s="622"/>
      <c r="L224" s="622"/>
      <c r="M224" s="622"/>
      <c r="N224" s="622"/>
      <c r="O224" s="622"/>
      <c r="P224" s="622"/>
      <c r="Q224" s="622"/>
      <c r="R224" s="622"/>
      <c r="S224" s="622"/>
      <c r="T224" s="622"/>
      <c r="U224" s="622"/>
      <c r="V224" s="622"/>
      <c r="W224" s="622"/>
      <c r="X224" s="622"/>
      <c r="Y224" s="622"/>
      <c r="Z224" s="622"/>
      <c r="AA224" s="622"/>
      <c r="AB224" s="622"/>
    </row>
    <row r="225" spans="1:28">
      <c r="I225" s="621"/>
      <c r="J225" s="622"/>
      <c r="K225" s="622"/>
      <c r="L225" s="622"/>
      <c r="M225" s="622"/>
      <c r="N225" s="622"/>
      <c r="O225" s="622"/>
      <c r="P225" s="622"/>
      <c r="Q225" s="622"/>
      <c r="R225" s="622"/>
      <c r="S225" s="622"/>
      <c r="T225" s="622"/>
      <c r="U225" s="622"/>
      <c r="V225" s="622"/>
      <c r="W225" s="622"/>
      <c r="X225" s="622"/>
      <c r="Y225" s="622"/>
      <c r="Z225" s="622"/>
      <c r="AA225" s="622"/>
      <c r="AB225" s="622"/>
    </row>
    <row r="226" spans="1:28">
      <c r="I226" s="621"/>
      <c r="J226" s="622"/>
      <c r="K226" s="622"/>
      <c r="L226" s="622"/>
      <c r="M226" s="622"/>
      <c r="N226" s="622"/>
      <c r="O226" s="622"/>
      <c r="P226" s="622"/>
      <c r="Q226" s="622"/>
      <c r="R226" s="622"/>
      <c r="S226" s="622"/>
      <c r="T226" s="622"/>
      <c r="U226" s="622"/>
      <c r="V226" s="622"/>
      <c r="W226" s="622"/>
      <c r="X226" s="622"/>
      <c r="Y226" s="622"/>
      <c r="Z226" s="622"/>
      <c r="AA226" s="622"/>
      <c r="AB226" s="622"/>
    </row>
    <row r="227" spans="1:28">
      <c r="I227" s="621"/>
      <c r="J227" s="622"/>
      <c r="K227" s="622"/>
      <c r="L227" s="622"/>
      <c r="M227" s="622"/>
      <c r="N227" s="622"/>
      <c r="O227" s="622"/>
      <c r="P227" s="622"/>
      <c r="Q227" s="622"/>
      <c r="R227" s="622"/>
      <c r="S227" s="622"/>
      <c r="T227" s="622"/>
      <c r="U227" s="622"/>
      <c r="V227" s="622"/>
      <c r="W227" s="622"/>
      <c r="X227" s="622"/>
      <c r="Y227" s="622"/>
      <c r="Z227" s="622"/>
      <c r="AA227" s="622"/>
      <c r="AB227" s="622"/>
    </row>
    <row r="228" spans="1:28">
      <c r="I228" s="621"/>
      <c r="J228" s="622"/>
      <c r="K228" s="622"/>
      <c r="L228" s="622"/>
      <c r="M228" s="622"/>
      <c r="N228" s="622"/>
      <c r="O228" s="622"/>
      <c r="P228" s="622"/>
      <c r="Q228" s="622"/>
      <c r="R228" s="622"/>
      <c r="S228" s="622"/>
      <c r="T228" s="622"/>
      <c r="U228" s="622"/>
      <c r="V228" s="622"/>
      <c r="W228" s="622"/>
      <c r="X228" s="622"/>
      <c r="Y228" s="622"/>
      <c r="Z228" s="622"/>
      <c r="AA228" s="622"/>
      <c r="AB228" s="622"/>
    </row>
    <row r="229" spans="1:28">
      <c r="I229" s="621"/>
      <c r="J229" s="622"/>
      <c r="K229" s="622"/>
      <c r="L229" s="622"/>
      <c r="M229" s="622"/>
      <c r="N229" s="622"/>
      <c r="O229" s="622"/>
      <c r="P229" s="622"/>
      <c r="Q229" s="622"/>
      <c r="R229" s="622"/>
      <c r="S229" s="622"/>
      <c r="T229" s="622"/>
      <c r="U229" s="622"/>
      <c r="V229" s="622"/>
      <c r="W229" s="622"/>
      <c r="X229" s="622"/>
      <c r="Y229" s="622"/>
      <c r="Z229" s="622"/>
      <c r="AA229" s="622"/>
      <c r="AB229" s="622"/>
    </row>
    <row r="230" spans="1:28">
      <c r="I230" s="621"/>
      <c r="J230" s="622"/>
      <c r="K230" s="622"/>
      <c r="L230" s="622"/>
      <c r="M230" s="622"/>
      <c r="N230" s="622"/>
      <c r="O230" s="622"/>
      <c r="P230" s="622"/>
      <c r="Q230" s="622"/>
      <c r="R230" s="622"/>
      <c r="S230" s="622"/>
      <c r="T230" s="622"/>
      <c r="U230" s="622"/>
      <c r="V230" s="622"/>
      <c r="W230" s="622"/>
      <c r="X230" s="622"/>
      <c r="Y230" s="622"/>
      <c r="Z230" s="622"/>
      <c r="AA230" s="622"/>
      <c r="AB230" s="622"/>
    </row>
    <row r="231" spans="1:28">
      <c r="I231" s="621"/>
      <c r="J231" s="622"/>
      <c r="K231" s="622"/>
      <c r="L231" s="622"/>
      <c r="M231" s="622"/>
      <c r="N231" s="622"/>
      <c r="O231" s="622"/>
      <c r="P231" s="622"/>
      <c r="Q231" s="622"/>
      <c r="R231" s="622"/>
      <c r="S231" s="622"/>
      <c r="T231" s="622"/>
      <c r="U231" s="622"/>
      <c r="V231" s="622"/>
      <c r="W231" s="622"/>
      <c r="X231" s="622"/>
      <c r="Y231" s="622"/>
      <c r="Z231" s="622"/>
      <c r="AA231" s="622"/>
      <c r="AB231" s="622"/>
    </row>
    <row r="232" spans="1:28">
      <c r="I232" s="621"/>
      <c r="J232" s="622"/>
      <c r="K232" s="622"/>
      <c r="L232" s="622"/>
      <c r="M232" s="622"/>
      <c r="N232" s="622"/>
      <c r="O232" s="622"/>
      <c r="P232" s="622"/>
      <c r="Q232" s="622"/>
      <c r="R232" s="622"/>
      <c r="S232" s="622"/>
      <c r="T232" s="622"/>
      <c r="U232" s="622"/>
      <c r="V232" s="622"/>
      <c r="W232" s="622"/>
      <c r="X232" s="622"/>
      <c r="Y232" s="622"/>
      <c r="Z232" s="622"/>
      <c r="AA232" s="622"/>
      <c r="AB232" s="622"/>
    </row>
    <row r="233" spans="1:28">
      <c r="A233" s="640"/>
      <c r="B233" s="641" t="s">
        <v>403</v>
      </c>
      <c r="C233" s="642"/>
      <c r="D233" s="642"/>
      <c r="E233" s="642"/>
      <c r="F233" s="642"/>
      <c r="G233" s="643"/>
      <c r="H233" s="649">
        <f>SUM(H198:H232)</f>
        <v>0</v>
      </c>
      <c r="I233" s="621"/>
      <c r="J233" s="622"/>
      <c r="K233" s="622"/>
      <c r="L233" s="622"/>
      <c r="M233" s="622"/>
      <c r="N233" s="622"/>
      <c r="O233" s="622"/>
      <c r="P233" s="622"/>
      <c r="Q233" s="622"/>
      <c r="R233" s="622"/>
      <c r="S233" s="622"/>
      <c r="T233" s="622"/>
      <c r="U233" s="622"/>
      <c r="V233" s="622"/>
      <c r="W233" s="622"/>
      <c r="X233" s="622"/>
      <c r="Y233" s="622"/>
      <c r="Z233" s="622"/>
      <c r="AA233" s="622"/>
      <c r="AB233" s="622"/>
    </row>
    <row r="234" spans="1:28">
      <c r="I234" s="621"/>
      <c r="J234" s="622"/>
      <c r="K234" s="622"/>
      <c r="L234" s="622"/>
      <c r="M234" s="622"/>
      <c r="N234" s="622"/>
      <c r="O234" s="622"/>
      <c r="P234" s="622"/>
      <c r="Q234" s="622"/>
      <c r="R234" s="622"/>
      <c r="S234" s="622"/>
      <c r="T234" s="622"/>
      <c r="U234" s="622"/>
      <c r="V234" s="622"/>
      <c r="W234" s="622"/>
      <c r="X234" s="622"/>
      <c r="Y234" s="622"/>
      <c r="Z234" s="622"/>
      <c r="AA234" s="622"/>
      <c r="AB234" s="622"/>
    </row>
    <row r="235" spans="1:28">
      <c r="I235" s="621"/>
      <c r="J235" s="622"/>
      <c r="K235" s="622"/>
      <c r="L235" s="622"/>
      <c r="M235" s="622"/>
      <c r="N235" s="622"/>
      <c r="O235" s="622"/>
      <c r="P235" s="622"/>
      <c r="Q235" s="622"/>
      <c r="R235" s="622"/>
      <c r="S235" s="622"/>
      <c r="T235" s="622"/>
      <c r="U235" s="622"/>
      <c r="V235" s="622"/>
      <c r="W235" s="622"/>
      <c r="X235" s="622"/>
      <c r="Y235" s="622"/>
      <c r="Z235" s="622"/>
      <c r="AA235" s="622"/>
      <c r="AB235" s="622"/>
    </row>
    <row r="236" spans="1:28">
      <c r="B236" s="638"/>
      <c r="I236" s="621"/>
      <c r="J236" s="622"/>
      <c r="K236" s="622"/>
      <c r="L236" s="622"/>
      <c r="M236" s="622"/>
      <c r="N236" s="622"/>
      <c r="O236" s="622"/>
      <c r="P236" s="622"/>
      <c r="Q236" s="622"/>
      <c r="R236" s="622"/>
      <c r="S236" s="622"/>
      <c r="T236" s="622"/>
      <c r="U236" s="622"/>
      <c r="V236" s="622"/>
      <c r="W236" s="622"/>
      <c r="X236" s="622"/>
      <c r="Y236" s="622"/>
      <c r="Z236" s="622"/>
      <c r="AA236" s="622"/>
      <c r="AB236" s="622"/>
    </row>
    <row r="237" spans="1:28">
      <c r="I237" s="621"/>
      <c r="J237" s="622"/>
      <c r="K237" s="622"/>
      <c r="L237" s="622"/>
      <c r="M237" s="622"/>
      <c r="N237" s="622"/>
      <c r="O237" s="622"/>
      <c r="P237" s="622"/>
      <c r="Q237" s="622"/>
      <c r="R237" s="622"/>
      <c r="S237" s="622"/>
      <c r="T237" s="622"/>
      <c r="U237" s="622"/>
      <c r="V237" s="622"/>
      <c r="W237" s="622"/>
      <c r="X237" s="622"/>
      <c r="Y237" s="622"/>
      <c r="Z237" s="622"/>
      <c r="AA237" s="622"/>
      <c r="AB237" s="622"/>
    </row>
    <row r="238" spans="1:28">
      <c r="I238" s="621"/>
      <c r="J238" s="622"/>
      <c r="K238" s="622"/>
      <c r="L238" s="622"/>
      <c r="M238" s="622"/>
      <c r="N238" s="622"/>
      <c r="O238" s="622"/>
      <c r="P238" s="622"/>
      <c r="Q238" s="622"/>
      <c r="R238" s="622"/>
      <c r="S238" s="622"/>
      <c r="T238" s="622"/>
      <c r="U238" s="622"/>
      <c r="V238" s="622"/>
      <c r="W238" s="622"/>
      <c r="X238" s="622"/>
      <c r="Y238" s="622"/>
      <c r="Z238" s="622"/>
      <c r="AA238" s="622"/>
      <c r="AB238" s="622"/>
    </row>
    <row r="239" spans="1:28">
      <c r="I239" s="621"/>
      <c r="J239" s="622"/>
      <c r="K239" s="622"/>
      <c r="L239" s="622"/>
      <c r="M239" s="622"/>
      <c r="N239" s="622"/>
      <c r="O239" s="622"/>
      <c r="P239" s="622"/>
      <c r="Q239" s="622"/>
      <c r="R239" s="622"/>
      <c r="S239" s="622"/>
      <c r="T239" s="622"/>
      <c r="U239" s="622"/>
      <c r="V239" s="622"/>
      <c r="W239" s="622"/>
      <c r="X239" s="622"/>
      <c r="Y239" s="622"/>
      <c r="Z239" s="622"/>
      <c r="AA239" s="622"/>
      <c r="AB239" s="622"/>
    </row>
    <row r="240" spans="1:28" ht="24.6">
      <c r="B240" s="675" t="s">
        <v>404</v>
      </c>
      <c r="I240" s="621"/>
      <c r="J240" s="622"/>
      <c r="K240" s="622"/>
      <c r="L240" s="622"/>
      <c r="M240" s="622"/>
      <c r="N240" s="622"/>
      <c r="O240" s="622"/>
      <c r="P240" s="622"/>
      <c r="Q240" s="622"/>
      <c r="R240" s="622"/>
      <c r="S240" s="622"/>
      <c r="T240" s="622"/>
      <c r="U240" s="622"/>
      <c r="V240" s="622"/>
      <c r="W240" s="622"/>
      <c r="X240" s="622"/>
      <c r="Y240" s="622"/>
      <c r="Z240" s="622"/>
      <c r="AA240" s="622"/>
      <c r="AB240" s="622"/>
    </row>
    <row r="241" spans="1:28">
      <c r="I241" s="621"/>
      <c r="J241" s="622"/>
      <c r="K241" s="622"/>
      <c r="L241" s="622"/>
      <c r="M241" s="622"/>
      <c r="N241" s="622"/>
      <c r="O241" s="622"/>
      <c r="P241" s="622"/>
      <c r="Q241" s="622"/>
      <c r="R241" s="622"/>
      <c r="S241" s="622"/>
      <c r="T241" s="622"/>
      <c r="U241" s="622"/>
      <c r="V241" s="622"/>
      <c r="W241" s="622"/>
      <c r="X241" s="622"/>
      <c r="Y241" s="622"/>
      <c r="Z241" s="622"/>
      <c r="AA241" s="622"/>
      <c r="AB241" s="622"/>
    </row>
    <row r="242" spans="1:28">
      <c r="A242" s="635"/>
      <c r="B242" s="664" t="s">
        <v>405</v>
      </c>
      <c r="C242" s="636"/>
      <c r="D242" s="636"/>
      <c r="E242" s="636"/>
      <c r="F242" s="636"/>
      <c r="G242" s="637"/>
      <c r="H242" s="631"/>
      <c r="I242" s="621"/>
      <c r="J242" s="622"/>
      <c r="K242" s="622"/>
      <c r="L242" s="622"/>
      <c r="M242" s="622"/>
      <c r="N242" s="622"/>
      <c r="O242" s="622"/>
      <c r="P242" s="622"/>
      <c r="Q242" s="622"/>
      <c r="R242" s="622"/>
      <c r="S242" s="622"/>
      <c r="T242" s="622"/>
      <c r="U242" s="622"/>
      <c r="V242" s="622"/>
      <c r="W242" s="622"/>
      <c r="X242" s="622"/>
      <c r="Y242" s="622"/>
      <c r="Z242" s="622"/>
      <c r="AA242" s="622"/>
      <c r="AB242" s="622"/>
    </row>
    <row r="243" spans="1:28">
      <c r="A243" s="676">
        <v>1</v>
      </c>
      <c r="B243" s="677" t="str">
        <f>B34</f>
        <v>TOTAL FOR PRELIMINARIES in € exc VAT</v>
      </c>
      <c r="C243" s="653"/>
      <c r="D243" s="653"/>
      <c r="E243" s="653"/>
      <c r="F243" s="653"/>
      <c r="G243" s="654"/>
      <c r="H243" s="678" t="str">
        <f>H34</f>
        <v>INC</v>
      </c>
      <c r="I243" s="621"/>
      <c r="J243" s="622"/>
      <c r="K243" s="622"/>
      <c r="L243" s="622"/>
      <c r="M243" s="622"/>
      <c r="N243" s="622"/>
      <c r="O243" s="622"/>
      <c r="P243" s="622"/>
      <c r="Q243" s="622"/>
      <c r="R243" s="622"/>
      <c r="S243" s="622"/>
      <c r="T243" s="622"/>
      <c r="U243" s="622"/>
      <c r="V243" s="622"/>
      <c r="W243" s="622"/>
      <c r="X243" s="622"/>
      <c r="Y243" s="622"/>
      <c r="Z243" s="622"/>
      <c r="AA243" s="622"/>
      <c r="AB243" s="622"/>
    </row>
    <row r="244" spans="1:28">
      <c r="A244" s="679">
        <v>2</v>
      </c>
      <c r="B244" s="680"/>
      <c r="H244" s="681"/>
      <c r="I244" s="621"/>
      <c r="J244" s="622"/>
      <c r="K244" s="622"/>
      <c r="L244" s="622"/>
      <c r="M244" s="622"/>
      <c r="N244" s="622"/>
      <c r="O244" s="622"/>
      <c r="P244" s="622"/>
      <c r="Q244" s="622"/>
      <c r="R244" s="622"/>
      <c r="S244" s="622"/>
      <c r="T244" s="622"/>
      <c r="U244" s="622"/>
      <c r="V244" s="622"/>
      <c r="W244" s="622"/>
      <c r="X244" s="622"/>
      <c r="Y244" s="622"/>
      <c r="Z244" s="622"/>
      <c r="AA244" s="622"/>
      <c r="AB244" s="622"/>
    </row>
    <row r="245" spans="1:28">
      <c r="A245" s="679">
        <v>3</v>
      </c>
      <c r="B245" s="680"/>
      <c r="H245" s="681"/>
      <c r="I245" s="621"/>
      <c r="J245" s="622"/>
      <c r="K245" s="622"/>
      <c r="L245" s="622"/>
      <c r="M245" s="622"/>
      <c r="N245" s="622"/>
      <c r="O245" s="622"/>
      <c r="P245" s="622"/>
      <c r="Q245" s="622"/>
      <c r="R245" s="622"/>
      <c r="S245" s="622"/>
      <c r="T245" s="622"/>
      <c r="U245" s="622"/>
      <c r="V245" s="622"/>
      <c r="W245" s="622"/>
      <c r="X245" s="622"/>
      <c r="Y245" s="622"/>
      <c r="Z245" s="622"/>
      <c r="AA245" s="622"/>
      <c r="AB245" s="622"/>
    </row>
    <row r="246" spans="1:28">
      <c r="A246" s="676">
        <v>4</v>
      </c>
      <c r="B246" s="677" t="str">
        <f>B57</f>
        <v>TOTAL FOR SPRINKLER SYSTEM in € exc VAT</v>
      </c>
      <c r="C246" s="653"/>
      <c r="D246" s="653"/>
      <c r="E246" s="653"/>
      <c r="F246" s="653"/>
      <c r="G246" s="654"/>
      <c r="H246" s="682">
        <f>H57</f>
        <v>0</v>
      </c>
      <c r="I246" s="621"/>
      <c r="J246" s="622"/>
      <c r="K246" s="622"/>
      <c r="L246" s="622"/>
      <c r="M246" s="622"/>
      <c r="N246" s="622"/>
      <c r="O246" s="622"/>
      <c r="P246" s="622"/>
      <c r="Q246" s="622"/>
      <c r="R246" s="622"/>
      <c r="S246" s="622"/>
      <c r="T246" s="622"/>
      <c r="U246" s="622"/>
      <c r="V246" s="622"/>
      <c r="W246" s="622"/>
      <c r="X246" s="622"/>
      <c r="Y246" s="622"/>
      <c r="Z246" s="622"/>
      <c r="AA246" s="622"/>
      <c r="AB246" s="622"/>
    </row>
    <row r="247" spans="1:28">
      <c r="A247" s="679">
        <v>5</v>
      </c>
      <c r="B247" s="680"/>
      <c r="H247" s="681"/>
      <c r="I247" s="621"/>
      <c r="J247" s="622"/>
      <c r="K247" s="622"/>
      <c r="L247" s="622"/>
      <c r="M247" s="622"/>
      <c r="N247" s="622"/>
      <c r="O247" s="622"/>
      <c r="P247" s="622"/>
      <c r="Q247" s="622"/>
      <c r="R247" s="622"/>
      <c r="S247" s="622"/>
      <c r="T247" s="622"/>
      <c r="U247" s="622"/>
      <c r="V247" s="622"/>
      <c r="W247" s="622"/>
      <c r="X247" s="622"/>
      <c r="Y247" s="622"/>
      <c r="Z247" s="622"/>
      <c r="AA247" s="622"/>
      <c r="AB247" s="622"/>
    </row>
    <row r="248" spans="1:28">
      <c r="A248" s="676">
        <v>6</v>
      </c>
      <c r="B248" s="677" t="str">
        <f>B99</f>
        <v>TOTAL FOR VENTILATION INSTALLATION in € exc VAT</v>
      </c>
      <c r="C248" s="653"/>
      <c r="D248" s="653"/>
      <c r="E248" s="682">
        <f>E99</f>
        <v>186.6</v>
      </c>
      <c r="F248" s="703">
        <f>F99</f>
        <v>1.7999999999999998</v>
      </c>
      <c r="G248" s="654"/>
      <c r="H248" s="682">
        <f>H99</f>
        <v>306.84000000000003</v>
      </c>
      <c r="I248" s="621"/>
      <c r="J248" s="622"/>
      <c r="K248" s="622"/>
      <c r="L248" s="622"/>
      <c r="M248" s="622"/>
      <c r="N248" s="622"/>
      <c r="O248" s="622"/>
      <c r="P248" s="622"/>
      <c r="Q248" s="622"/>
      <c r="R248" s="622"/>
      <c r="S248" s="622"/>
      <c r="T248" s="622"/>
      <c r="U248" s="622"/>
      <c r="V248" s="622"/>
      <c r="W248" s="622"/>
      <c r="X248" s="622"/>
      <c r="Y248" s="622"/>
      <c r="Z248" s="622"/>
      <c r="AA248" s="622"/>
      <c r="AB248" s="622"/>
    </row>
    <row r="249" spans="1:28">
      <c r="A249" s="676">
        <v>7</v>
      </c>
      <c r="B249" s="677" t="str">
        <f>B126</f>
        <v>TOTAL FOR AIR CONDITIONING INSTALLATION in € exc VAT</v>
      </c>
      <c r="C249" s="653"/>
      <c r="D249" s="653"/>
      <c r="E249" s="682">
        <f>E126</f>
        <v>4.32</v>
      </c>
      <c r="F249" s="703">
        <f>F126</f>
        <v>1.04</v>
      </c>
      <c r="G249" s="654"/>
      <c r="H249" s="682">
        <f>H126</f>
        <v>42.74</v>
      </c>
      <c r="I249" s="621"/>
      <c r="J249" s="622"/>
      <c r="K249" s="622"/>
      <c r="L249" s="622"/>
      <c r="M249" s="622"/>
      <c r="N249" s="622"/>
      <c r="O249" s="622"/>
      <c r="P249" s="622"/>
      <c r="Q249" s="622"/>
      <c r="R249" s="622"/>
      <c r="S249" s="622"/>
      <c r="T249" s="622"/>
      <c r="U249" s="622"/>
      <c r="V249" s="622"/>
      <c r="W249" s="622"/>
      <c r="X249" s="622"/>
      <c r="Y249" s="622"/>
      <c r="Z249" s="622"/>
      <c r="AA249" s="622"/>
      <c r="AB249" s="622"/>
    </row>
    <row r="250" spans="1:28">
      <c r="A250" s="676">
        <v>8</v>
      </c>
      <c r="B250" s="677" t="str">
        <f>B134</f>
        <v>TOTAL FOR DAY RATES &amp; MAINTENANCE in € exc VAT</v>
      </c>
      <c r="C250" s="653"/>
      <c r="D250" s="653"/>
      <c r="E250" s="653"/>
      <c r="F250" s="704"/>
      <c r="G250" s="654"/>
      <c r="H250" s="682" t="str">
        <f>H134</f>
        <v>rate</v>
      </c>
      <c r="I250" s="621"/>
      <c r="J250" s="622"/>
      <c r="K250" s="622"/>
      <c r="L250" s="622"/>
      <c r="M250" s="622"/>
      <c r="N250" s="622"/>
      <c r="O250" s="622"/>
      <c r="P250" s="622"/>
      <c r="Q250" s="622"/>
      <c r="R250" s="622"/>
      <c r="S250" s="622"/>
      <c r="T250" s="622"/>
      <c r="U250" s="622"/>
      <c r="V250" s="622"/>
      <c r="W250" s="622"/>
      <c r="X250" s="622"/>
      <c r="Y250" s="622"/>
      <c r="Z250" s="622"/>
      <c r="AA250" s="622"/>
      <c r="AB250" s="622"/>
    </row>
    <row r="251" spans="1:28">
      <c r="A251" s="679">
        <v>9</v>
      </c>
      <c r="B251" s="680"/>
      <c r="F251" s="705"/>
      <c r="H251" s="681"/>
      <c r="I251" s="621"/>
      <c r="J251" s="622"/>
      <c r="K251" s="622"/>
      <c r="L251" s="622"/>
      <c r="M251" s="622"/>
      <c r="N251" s="622"/>
      <c r="O251" s="622"/>
      <c r="P251" s="622"/>
      <c r="Q251" s="622"/>
      <c r="R251" s="622"/>
      <c r="S251" s="622"/>
      <c r="T251" s="622"/>
      <c r="U251" s="622"/>
      <c r="V251" s="622"/>
      <c r="W251" s="622"/>
      <c r="X251" s="622"/>
      <c r="Y251" s="622"/>
      <c r="Z251" s="622"/>
      <c r="AA251" s="622"/>
      <c r="AB251" s="622"/>
    </row>
    <row r="252" spans="1:28">
      <c r="A252" s="676">
        <f>A251+1</f>
        <v>10</v>
      </c>
      <c r="B252" s="677" t="str">
        <f>B189</f>
        <v>TOTAL FOR PLUMBING INSTALLATION in € exc VAT</v>
      </c>
      <c r="C252" s="653"/>
      <c r="D252" s="653"/>
      <c r="E252" s="653"/>
      <c r="F252" s="704"/>
      <c r="G252" s="654"/>
      <c r="H252" s="682">
        <f>H189</f>
        <v>0</v>
      </c>
      <c r="I252" s="621"/>
      <c r="J252" s="622"/>
      <c r="K252" s="622"/>
      <c r="L252" s="622"/>
      <c r="M252" s="622"/>
      <c r="N252" s="622"/>
      <c r="O252" s="622"/>
      <c r="P252" s="622"/>
      <c r="Q252" s="622"/>
      <c r="R252" s="622"/>
      <c r="S252" s="622"/>
      <c r="T252" s="622"/>
      <c r="U252" s="622"/>
      <c r="V252" s="622"/>
      <c r="W252" s="622"/>
      <c r="X252" s="622"/>
      <c r="Y252" s="622"/>
      <c r="Z252" s="622"/>
      <c r="AA252" s="622"/>
      <c r="AB252" s="622"/>
    </row>
    <row r="253" spans="1:28">
      <c r="A253" s="676">
        <f t="shared" ref="A253:A254" si="8">A252+1</f>
        <v>11</v>
      </c>
      <c r="B253" s="677" t="str">
        <f>B194</f>
        <v>TOTAL FOR FIRE FIGHTING EQUIPMENT in € exc VAT</v>
      </c>
      <c r="C253" s="653"/>
      <c r="D253" s="653"/>
      <c r="E253" s="653"/>
      <c r="F253" s="704"/>
      <c r="G253" s="654"/>
      <c r="H253" s="682">
        <f>H194</f>
        <v>0</v>
      </c>
      <c r="I253" s="621"/>
      <c r="J253" s="622"/>
      <c r="K253" s="622"/>
      <c r="L253" s="622"/>
      <c r="M253" s="622"/>
      <c r="N253" s="622"/>
      <c r="O253" s="622"/>
      <c r="P253" s="622"/>
      <c r="Q253" s="622"/>
      <c r="R253" s="622"/>
      <c r="S253" s="622"/>
      <c r="T253" s="622"/>
      <c r="U253" s="622"/>
      <c r="V253" s="622"/>
      <c r="W253" s="622"/>
      <c r="X253" s="622"/>
      <c r="Y253" s="622"/>
      <c r="Z253" s="622"/>
      <c r="AA253" s="622"/>
      <c r="AB253" s="622"/>
    </row>
    <row r="254" spans="1:28">
      <c r="A254" s="679">
        <f t="shared" si="8"/>
        <v>12</v>
      </c>
      <c r="B254" s="680" t="str">
        <f>B233</f>
        <v>TOTAL FOR UNBILLED ITEMS in € exc VAT</v>
      </c>
      <c r="F254" s="705"/>
      <c r="H254" s="681">
        <f>H233</f>
        <v>0</v>
      </c>
      <c r="I254" s="621"/>
      <c r="J254" s="622"/>
      <c r="K254" s="622"/>
      <c r="L254" s="622"/>
      <c r="M254" s="622"/>
      <c r="N254" s="622"/>
      <c r="O254" s="622"/>
      <c r="P254" s="622"/>
      <c r="Q254" s="622"/>
      <c r="R254" s="622"/>
      <c r="S254" s="622"/>
      <c r="T254" s="622"/>
      <c r="U254" s="622"/>
      <c r="V254" s="622"/>
      <c r="W254" s="622"/>
      <c r="X254" s="622"/>
      <c r="Y254" s="622"/>
      <c r="Z254" s="622"/>
      <c r="AA254" s="622"/>
      <c r="AB254" s="622"/>
    </row>
    <row r="255" spans="1:28">
      <c r="A255" s="635"/>
      <c r="B255" s="664" t="s">
        <v>406</v>
      </c>
      <c r="C255" s="636"/>
      <c r="D255" s="636"/>
      <c r="E255" s="683">
        <f>SUM(E243:E254)</f>
        <v>190.92</v>
      </c>
      <c r="F255" s="706">
        <f>SUM(F243:F254)</f>
        <v>2.84</v>
      </c>
      <c r="G255" s="637"/>
      <c r="H255" s="683">
        <f>SUM(H243:H254)</f>
        <v>349.58000000000004</v>
      </c>
      <c r="I255" s="621"/>
      <c r="J255" s="622"/>
      <c r="K255" s="622"/>
      <c r="L255" s="622"/>
      <c r="M255" s="622"/>
      <c r="N255" s="622"/>
      <c r="O255" s="622"/>
      <c r="P255" s="622"/>
      <c r="Q255" s="622"/>
      <c r="R255" s="622"/>
      <c r="S255" s="622"/>
      <c r="T255" s="622"/>
      <c r="U255" s="622"/>
      <c r="V255" s="622"/>
      <c r="W255" s="622"/>
      <c r="X255" s="622"/>
      <c r="Y255" s="622"/>
      <c r="Z255" s="622"/>
      <c r="AA255" s="622"/>
      <c r="AB255" s="622"/>
    </row>
    <row r="256" spans="1:28">
      <c r="I256" s="621"/>
      <c r="J256" s="622"/>
      <c r="K256" s="622"/>
      <c r="L256" s="622"/>
      <c r="M256" s="622"/>
      <c r="N256" s="622"/>
      <c r="O256" s="622"/>
      <c r="P256" s="622"/>
      <c r="Q256" s="622"/>
      <c r="R256" s="622"/>
      <c r="S256" s="622"/>
      <c r="T256" s="622"/>
      <c r="U256" s="622"/>
      <c r="V256" s="622"/>
      <c r="W256" s="622"/>
      <c r="X256" s="622"/>
      <c r="Y256" s="622"/>
      <c r="Z256" s="622"/>
      <c r="AA256" s="622"/>
      <c r="AB256" s="622"/>
    </row>
    <row r="257" spans="7:28">
      <c r="G257" s="619" t="s">
        <v>407</v>
      </c>
      <c r="H257" s="625">
        <v>80000</v>
      </c>
      <c r="I257" s="621"/>
      <c r="J257" s="622"/>
      <c r="K257" s="622"/>
      <c r="L257" s="622"/>
      <c r="M257" s="622"/>
      <c r="N257" s="622"/>
      <c r="O257" s="622"/>
      <c r="P257" s="622"/>
      <c r="Q257" s="622"/>
      <c r="R257" s="622"/>
      <c r="S257" s="622"/>
      <c r="T257" s="622"/>
      <c r="U257" s="622"/>
      <c r="V257" s="622"/>
      <c r="W257" s="622"/>
      <c r="X257" s="622"/>
      <c r="Y257" s="622"/>
      <c r="Z257" s="622"/>
      <c r="AA257" s="622"/>
      <c r="AB257" s="622"/>
    </row>
    <row r="258" spans="7:28">
      <c r="G258" s="619" t="s">
        <v>408</v>
      </c>
      <c r="H258" s="625">
        <v>60000</v>
      </c>
      <c r="I258" s="621"/>
      <c r="J258" s="622"/>
      <c r="K258" s="622"/>
      <c r="L258" s="622"/>
      <c r="M258" s="622"/>
      <c r="N258" s="622"/>
      <c r="O258" s="622"/>
      <c r="P258" s="622"/>
      <c r="Q258" s="622"/>
      <c r="R258" s="622"/>
      <c r="S258" s="622"/>
      <c r="T258" s="622"/>
      <c r="U258" s="622"/>
      <c r="V258" s="622"/>
      <c r="W258" s="622"/>
      <c r="X258" s="622"/>
      <c r="Y258" s="622"/>
      <c r="Z258" s="622"/>
      <c r="AA258" s="622"/>
      <c r="AB258" s="622"/>
    </row>
    <row r="259" spans="7:28">
      <c r="G259" s="619" t="s">
        <v>408</v>
      </c>
      <c r="H259" s="625">
        <v>40000</v>
      </c>
      <c r="I259" s="621"/>
      <c r="J259" s="622"/>
      <c r="K259" s="622"/>
      <c r="L259" s="622"/>
      <c r="M259" s="622"/>
      <c r="N259" s="622"/>
      <c r="O259" s="622"/>
      <c r="P259" s="622"/>
      <c r="Q259" s="622"/>
      <c r="R259" s="622"/>
      <c r="S259" s="622"/>
      <c r="T259" s="622"/>
      <c r="U259" s="622"/>
      <c r="V259" s="622"/>
      <c r="W259" s="622"/>
      <c r="X259" s="622"/>
      <c r="Y259" s="622"/>
      <c r="Z259" s="622"/>
      <c r="AA259" s="622"/>
      <c r="AB259" s="622"/>
    </row>
    <row r="260" spans="7:28">
      <c r="I260" s="621"/>
      <c r="J260" s="622"/>
      <c r="K260" s="622"/>
      <c r="L260" s="622"/>
      <c r="M260" s="622"/>
      <c r="N260" s="622"/>
      <c r="O260" s="622"/>
      <c r="P260" s="622"/>
      <c r="Q260" s="622"/>
      <c r="R260" s="622"/>
      <c r="S260" s="622"/>
      <c r="T260" s="622"/>
      <c r="U260" s="622"/>
      <c r="V260" s="622"/>
      <c r="W260" s="622"/>
      <c r="X260" s="622"/>
      <c r="Y260" s="622"/>
      <c r="Z260" s="622"/>
      <c r="AA260" s="622"/>
      <c r="AB260" s="622"/>
    </row>
    <row r="261" spans="7:28">
      <c r="H261" s="625">
        <f>SUM(H255:H259)</f>
        <v>180349.58000000002</v>
      </c>
      <c r="I261" s="621"/>
      <c r="J261" s="622"/>
      <c r="K261" s="622"/>
      <c r="L261" s="622"/>
      <c r="M261" s="622"/>
      <c r="N261" s="622"/>
      <c r="O261" s="622"/>
      <c r="P261" s="622"/>
      <c r="Q261" s="622"/>
      <c r="R261" s="622"/>
      <c r="S261" s="622"/>
      <c r="T261" s="622"/>
      <c r="U261" s="622"/>
      <c r="V261" s="622"/>
      <c r="W261" s="622"/>
      <c r="X261" s="622"/>
      <c r="Y261" s="622"/>
      <c r="Z261" s="622"/>
      <c r="AA261" s="622"/>
      <c r="AB261" s="622"/>
    </row>
  </sheetData>
  <mergeCells count="4">
    <mergeCell ref="G3:H3"/>
    <mergeCell ref="B35:D35"/>
    <mergeCell ref="I66:L66"/>
    <mergeCell ref="I67:L67"/>
  </mergeCells>
  <pageMargins left="0.7" right="1.2578125" top="0.75" bottom="0.75" header="0.3" footer="0.3"/>
  <pageSetup paperSize="9" scale="73" fitToHeight="0" orientation="portrait" r:id="rId1"/>
  <headerFooter>
    <oddHeader>&amp;L&amp;"Myriad Pro Light,Bold"&amp;K0070C0CYAN ENGINEERING LTD&amp;C&amp;"Myriad Pro Light,Bold"&amp;K0070C0 AX SUNNY COAST&amp;R&amp;"Myriad Pro Light,Bold"&amp;K0070C0BILL OF QUANTITIES</oddHeader>
    <oddFooter>&amp;C&amp;"Myriad Pro Light,Bold"&amp;K0070C0REV 00 DATE 16.10.2025&amp;R&amp;"Myriad Pro Light,Bold"&amp;K0070C0 PAGE &amp;P OF &amp;N</oddFooter>
  </headerFooter>
  <rowBreaks count="8" manualBreakCount="8">
    <brk id="37" max="5" man="1"/>
    <brk id="58" max="5" man="1"/>
    <brk id="100" max="5" man="1"/>
    <brk id="127" max="5" man="1"/>
    <brk id="135" max="5" man="1"/>
    <brk id="190" max="5" man="1"/>
    <brk id="195" max="5" man="1"/>
    <brk id="239"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Notes</vt:lpstr>
      <vt:lpstr>Elec_Est</vt:lpstr>
      <vt:lpstr>ML_Sum</vt:lpstr>
      <vt:lpstr>Quote</vt:lpstr>
      <vt:lpstr>MUR MEP BOQ</vt:lpstr>
      <vt:lpstr>AREAS</vt:lpstr>
      <vt:lpstr>Elec_Est!Print_Area</vt:lpstr>
      <vt:lpstr>'MUR MEP BOQ'!Print_Area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Ramon Farrugia</cp:lastModifiedBy>
  <cp:lastPrinted>2024-11-20T15:00:16Z</cp:lastPrinted>
  <dcterms:created xsi:type="dcterms:W3CDTF">2004-05-27T15:45:27Z</dcterms:created>
  <dcterms:modified xsi:type="dcterms:W3CDTF">2025-11-10T15:10:31Z</dcterms:modified>
  <cp:contentStatus/>
</cp:coreProperties>
</file>