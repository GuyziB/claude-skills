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pclnas\bms\1. Estimates\3. Small Jobs\SJ585 - Portomaso Level 4 - Dampers\1. Estimate\"/>
    </mc:Choice>
  </mc:AlternateContent>
  <xr:revisionPtr revIDLastSave="0" documentId="13_ncr:1_{F94AA18D-2E85-431B-8FA3-DC6101DD821E}" xr6:coauthVersionLast="47" xr6:coauthVersionMax="47" xr10:uidLastSave="{00000000-0000-0000-0000-000000000000}"/>
  <bookViews>
    <workbookView xWindow="28680" yWindow="-120" windowWidth="29040" windowHeight="15720" tabRatio="811" activeTab="6" xr2:uid="{00000000-000D-0000-FFFF-FFFF00000000}"/>
  </bookViews>
  <sheets>
    <sheet name="Notes" sheetId="10" r:id="rId1"/>
    <sheet name="ML_Sum" sheetId="1" r:id="rId2"/>
    <sheet name="Quote" sheetId="18" r:id="rId3"/>
    <sheet name="Elec_Rates" sheetId="11" r:id="rId4"/>
    <sheet name="Elec_Est" sheetId="8" r:id="rId5"/>
    <sheet name="Example_Blocks" sheetId="23" r:id="rId6"/>
    <sheet name="E_BOQ" sheetId="14" r:id="rId7"/>
    <sheet name="E_DBOQ" sheetId="20" r:id="rId8"/>
  </sheets>
  <externalReferences>
    <externalReference r:id="rId9"/>
    <externalReference r:id="rId10"/>
    <externalReference r:id="rId11"/>
  </externalReferences>
  <definedNames>
    <definedName name="_xlnm._FilterDatabase" localSheetId="6" hidden="1">E_BOQ!$E$1:$E$565</definedName>
    <definedName name="_xlnm._FilterDatabase" localSheetId="4" hidden="1">Elec_Est!$G$1:$G$199</definedName>
    <definedName name="_xlnm._FilterDatabase" localSheetId="3" hidden="1">Elec_Rates!$L$1:$L$261</definedName>
    <definedName name="_xlnm._FilterDatabase" localSheetId="5" hidden="1">Example_Blocks!$G$1:$G$359</definedName>
    <definedName name="Access_Control">[1]Elec_Est!#REF!</definedName>
    <definedName name="AREAS" localSheetId="6">#REF!</definedName>
    <definedName name="AREAS" localSheetId="5">[2]ML_Sum!$X$1:$AD$16</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6">E_BOQ!$A$1:$F$565</definedName>
    <definedName name="_xlnm.Print_Area" localSheetId="4">Elec_Est!$A$1:$T$198</definedName>
    <definedName name="_xlnm.Print_Area" localSheetId="5">Example_Blocks!$A$1:$T$359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4" l="1"/>
  <c r="C11" i="14"/>
  <c r="F11" i="14" s="1"/>
  <c r="B11" i="14"/>
  <c r="A11" i="14"/>
  <c r="D9" i="14"/>
  <c r="C9" i="14"/>
  <c r="F9" i="14" s="1"/>
  <c r="B9" i="14"/>
  <c r="A9" i="14"/>
  <c r="D7" i="14"/>
  <c r="C7" i="14"/>
  <c r="F7" i="14" s="1"/>
  <c r="B7" i="14"/>
  <c r="A7" i="14"/>
  <c r="D5" i="14"/>
  <c r="C5" i="14"/>
  <c r="F5" i="14" s="1"/>
  <c r="B5" i="14"/>
  <c r="A5" i="14"/>
  <c r="B3" i="14"/>
  <c r="A3" i="14"/>
  <c r="R56" i="8"/>
  <c r="R55" i="8"/>
  <c r="R54" i="8"/>
  <c r="R53" i="8"/>
  <c r="Q52" i="8"/>
  <c r="R52" i="8" s="1"/>
  <c r="R51" i="8"/>
  <c r="R46" i="8"/>
  <c r="R45" i="8"/>
  <c r="R44" i="8"/>
  <c r="R43" i="8"/>
  <c r="Q42" i="8"/>
  <c r="R42" i="8" s="1"/>
  <c r="R47" i="8" s="1"/>
  <c r="R41" i="8"/>
  <c r="R36" i="8"/>
  <c r="R35" i="8"/>
  <c r="R34" i="8"/>
  <c r="R33" i="8"/>
  <c r="Q32" i="8"/>
  <c r="R32" i="8" s="1"/>
  <c r="R31" i="8"/>
  <c r="R37" i="8" s="1"/>
  <c r="R24" i="8"/>
  <c r="Q22" i="8"/>
  <c r="R22" i="8" s="1"/>
  <c r="T6" i="1"/>
  <c r="T4" i="1"/>
  <c r="T3" i="1"/>
  <c r="T2" i="1"/>
  <c r="R2" i="1"/>
  <c r="A69" i="23"/>
  <c r="R140" i="11"/>
  <c r="R139" i="11"/>
  <c r="R138" i="11"/>
  <c r="R137" i="11"/>
  <c r="Q136" i="11"/>
  <c r="R136" i="11" s="1"/>
  <c r="R135" i="11"/>
  <c r="R134" i="11"/>
  <c r="R133" i="11"/>
  <c r="R132" i="11"/>
  <c r="R131" i="11"/>
  <c r="R130" i="11"/>
  <c r="R129" i="11"/>
  <c r="R128" i="11"/>
  <c r="R127" i="11"/>
  <c r="R126" i="11"/>
  <c r="R125" i="11"/>
  <c r="R124" i="11"/>
  <c r="R123" i="11"/>
  <c r="R122" i="11"/>
  <c r="R121" i="11"/>
  <c r="R120" i="11"/>
  <c r="R119" i="11"/>
  <c r="R118" i="11"/>
  <c r="R117" i="11"/>
  <c r="R141" i="11" s="1"/>
  <c r="B115" i="11"/>
  <c r="R168" i="11"/>
  <c r="R167" i="11"/>
  <c r="A166" i="11"/>
  <c r="A165" i="11"/>
  <c r="R164" i="11"/>
  <c r="A164" i="11"/>
  <c r="A163" i="11"/>
  <c r="R163" i="11" s="1"/>
  <c r="A162" i="11"/>
  <c r="A161" i="11"/>
  <c r="R161" i="11" s="1"/>
  <c r="R160" i="11"/>
  <c r="A159" i="11"/>
  <c r="A158" i="11"/>
  <c r="A157" i="11"/>
  <c r="R156" i="11"/>
  <c r="A156" i="11"/>
  <c r="A155" i="11"/>
  <c r="A154" i="11"/>
  <c r="A153" i="11"/>
  <c r="A152" i="11"/>
  <c r="A151" i="11"/>
  <c r="A150" i="11"/>
  <c r="A149" i="11"/>
  <c r="A148" i="11"/>
  <c r="A147" i="11"/>
  <c r="A146" i="11"/>
  <c r="R145" i="11"/>
  <c r="B143" i="11"/>
  <c r="A214" i="23"/>
  <c r="A213" i="23"/>
  <c r="R212" i="23"/>
  <c r="A212" i="23"/>
  <c r="R211" i="23"/>
  <c r="A211" i="23"/>
  <c r="A210" i="23"/>
  <c r="R209" i="23"/>
  <c r="A209" i="23"/>
  <c r="R208" i="23"/>
  <c r="A207" i="23"/>
  <c r="A206" i="23"/>
  <c r="A205" i="23"/>
  <c r="R204" i="23"/>
  <c r="A204" i="23"/>
  <c r="T204" i="23" s="1"/>
  <c r="R203" i="23"/>
  <c r="A203" i="23"/>
  <c r="T203" i="23" s="1"/>
  <c r="A202" i="23"/>
  <c r="A201" i="23"/>
  <c r="A200" i="23"/>
  <c r="A199" i="23"/>
  <c r="R199" i="23" s="1"/>
  <c r="R198" i="23"/>
  <c r="A198" i="23"/>
  <c r="A197" i="23"/>
  <c r="A196" i="23"/>
  <c r="A195" i="23"/>
  <c r="A194" i="23"/>
  <c r="R216" i="23"/>
  <c r="B357" i="23"/>
  <c r="B356" i="23"/>
  <c r="B355" i="23"/>
  <c r="B354" i="23"/>
  <c r="B353" i="23"/>
  <c r="B352" i="23"/>
  <c r="B351" i="23"/>
  <c r="B350" i="23"/>
  <c r="B349" i="23"/>
  <c r="B348" i="23"/>
  <c r="B347" i="23"/>
  <c r="B346" i="23"/>
  <c r="B345" i="23"/>
  <c r="B344" i="23"/>
  <c r="B343" i="23"/>
  <c r="B342" i="23"/>
  <c r="B341" i="23"/>
  <c r="B340" i="23"/>
  <c r="B339" i="23"/>
  <c r="B338" i="23"/>
  <c r="B337" i="23"/>
  <c r="B336" i="23"/>
  <c r="B335" i="23"/>
  <c r="D334" i="23"/>
  <c r="B334" i="23" s="1"/>
  <c r="D333" i="23"/>
  <c r="B333" i="23" s="1"/>
  <c r="D332" i="23"/>
  <c r="B332" i="23" s="1"/>
  <c r="D331" i="23"/>
  <c r="B331" i="23" s="1"/>
  <c r="D330" i="23"/>
  <c r="B330" i="23" s="1"/>
  <c r="D329" i="23"/>
  <c r="B329" i="23" s="1"/>
  <c r="D328" i="23"/>
  <c r="B328" i="23" s="1"/>
  <c r="D327" i="23"/>
  <c r="B327" i="23" s="1"/>
  <c r="D326" i="23"/>
  <c r="B326" i="23" s="1"/>
  <c r="D325" i="23"/>
  <c r="B325" i="23" s="1"/>
  <c r="D324" i="23"/>
  <c r="B324" i="23" s="1"/>
  <c r="D323" i="23"/>
  <c r="B323" i="23" s="1"/>
  <c r="D322" i="23"/>
  <c r="B322" i="23" s="1"/>
  <c r="T314" i="23"/>
  <c r="R314" i="23"/>
  <c r="T313" i="23"/>
  <c r="R313" i="23"/>
  <c r="T311" i="23"/>
  <c r="R311" i="23"/>
  <c r="T310" i="23"/>
  <c r="R310" i="23"/>
  <c r="T309" i="23"/>
  <c r="R309" i="23"/>
  <c r="T306" i="23"/>
  <c r="R306" i="23"/>
  <c r="T305" i="23"/>
  <c r="R305" i="23"/>
  <c r="T304" i="23"/>
  <c r="R304" i="23"/>
  <c r="T303" i="23"/>
  <c r="R303" i="23"/>
  <c r="T301" i="23"/>
  <c r="R301" i="23"/>
  <c r="T300" i="23"/>
  <c r="R300" i="23"/>
  <c r="T299" i="23"/>
  <c r="R299" i="23"/>
  <c r="T298" i="23"/>
  <c r="R298" i="23"/>
  <c r="T297" i="23"/>
  <c r="R297" i="23"/>
  <c r="T296" i="23"/>
  <c r="R296" i="23"/>
  <c r="T295" i="23"/>
  <c r="R295" i="23"/>
  <c r="T294" i="23"/>
  <c r="R294" i="23"/>
  <c r="T293" i="23"/>
  <c r="R293" i="23"/>
  <c r="T292" i="23"/>
  <c r="R292" i="23"/>
  <c r="T291" i="23"/>
  <c r="R291" i="23"/>
  <c r="T290" i="23"/>
  <c r="R290" i="23"/>
  <c r="T289" i="23"/>
  <c r="R289" i="23"/>
  <c r="T288" i="23"/>
  <c r="R288" i="23"/>
  <c r="T287" i="23"/>
  <c r="R287" i="23"/>
  <c r="T286" i="23"/>
  <c r="R286" i="23"/>
  <c r="T285" i="23"/>
  <c r="R285" i="23"/>
  <c r="T284" i="23"/>
  <c r="R284" i="23"/>
  <c r="T283" i="23"/>
  <c r="R283" i="23"/>
  <c r="T282" i="23"/>
  <c r="R282" i="23"/>
  <c r="T281" i="23"/>
  <c r="R281" i="23"/>
  <c r="T280" i="23"/>
  <c r="R280" i="23"/>
  <c r="T279" i="23"/>
  <c r="R279" i="23"/>
  <c r="T278" i="23"/>
  <c r="R278" i="23"/>
  <c r="T277" i="23"/>
  <c r="R277" i="23"/>
  <c r="T276" i="23"/>
  <c r="R276" i="23"/>
  <c r="T275" i="23"/>
  <c r="R275" i="23"/>
  <c r="T274" i="23"/>
  <c r="R274" i="23"/>
  <c r="T273" i="23"/>
  <c r="R273" i="23"/>
  <c r="T272" i="23"/>
  <c r="R272" i="23"/>
  <c r="T271" i="23"/>
  <c r="R271" i="23"/>
  <c r="T270" i="23"/>
  <c r="R270" i="23"/>
  <c r="T269" i="23"/>
  <c r="R269" i="23"/>
  <c r="T268" i="23"/>
  <c r="R268" i="23"/>
  <c r="T267" i="23"/>
  <c r="R267" i="23"/>
  <c r="T266" i="23"/>
  <c r="R266" i="23"/>
  <c r="T265" i="23"/>
  <c r="R265" i="23"/>
  <c r="T264" i="23"/>
  <c r="R264" i="23"/>
  <c r="T263" i="23"/>
  <c r="R263" i="23"/>
  <c r="T262" i="23"/>
  <c r="R262" i="23"/>
  <c r="T261" i="23"/>
  <c r="R261" i="23"/>
  <c r="T260" i="23"/>
  <c r="R260" i="23"/>
  <c r="T259" i="23"/>
  <c r="R259" i="23"/>
  <c r="T258" i="23"/>
  <c r="R258" i="23"/>
  <c r="T257" i="23"/>
  <c r="R257" i="23"/>
  <c r="T256" i="23"/>
  <c r="R256" i="23"/>
  <c r="T255" i="23"/>
  <c r="R255" i="23"/>
  <c r="T254" i="23"/>
  <c r="R254" i="23"/>
  <c r="T253" i="23"/>
  <c r="R253" i="23"/>
  <c r="T252" i="23"/>
  <c r="R252" i="23"/>
  <c r="T251" i="23"/>
  <c r="R251" i="23"/>
  <c r="T250" i="23"/>
  <c r="R250" i="23"/>
  <c r="T249" i="23"/>
  <c r="R249" i="23"/>
  <c r="T248" i="23"/>
  <c r="R248" i="23"/>
  <c r="T247" i="23"/>
  <c r="R247" i="23"/>
  <c r="T244" i="23"/>
  <c r="R244" i="23"/>
  <c r="F243" i="23"/>
  <c r="T242" i="23"/>
  <c r="R242" i="23"/>
  <c r="T235" i="23"/>
  <c r="R235" i="23"/>
  <c r="T234" i="23"/>
  <c r="R234" i="23"/>
  <c r="AH234" i="23" s="1"/>
  <c r="F234" i="23"/>
  <c r="T233" i="23"/>
  <c r="R233" i="23"/>
  <c r="F233" i="23"/>
  <c r="T232" i="23"/>
  <c r="R232" i="23"/>
  <c r="F232" i="23"/>
  <c r="T231" i="23"/>
  <c r="R231" i="23"/>
  <c r="F231" i="23"/>
  <c r="T230" i="23"/>
  <c r="R230" i="23"/>
  <c r="F230" i="23"/>
  <c r="T229" i="23"/>
  <c r="R229" i="23"/>
  <c r="F229" i="23"/>
  <c r="F228" i="23"/>
  <c r="T227" i="23"/>
  <c r="R227" i="23"/>
  <c r="F226" i="23"/>
  <c r="R188" i="23"/>
  <c r="R186" i="23"/>
  <c r="R185" i="23"/>
  <c r="R184" i="23"/>
  <c r="R183" i="23"/>
  <c r="R182" i="23"/>
  <c r="R181" i="23"/>
  <c r="R180" i="23"/>
  <c r="R179" i="23"/>
  <c r="R178" i="23"/>
  <c r="R189" i="23" s="1"/>
  <c r="R172" i="23"/>
  <c r="R170" i="23"/>
  <c r="R169" i="23"/>
  <c r="R168" i="23"/>
  <c r="R167" i="23"/>
  <c r="R166" i="23"/>
  <c r="R165" i="23"/>
  <c r="R164" i="23"/>
  <c r="R163" i="23"/>
  <c r="R162" i="23"/>
  <c r="R161" i="23"/>
  <c r="R160" i="23"/>
  <c r="R159" i="23"/>
  <c r="R158" i="23"/>
  <c r="R157" i="23"/>
  <c r="R302" i="23" s="1"/>
  <c r="R156" i="23"/>
  <c r="R173" i="23" s="1"/>
  <c r="B152" i="23"/>
  <c r="R150"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R122" i="23"/>
  <c r="R121" i="23"/>
  <c r="R120" i="23"/>
  <c r="R119" i="23"/>
  <c r="R118" i="23"/>
  <c r="R117" i="23"/>
  <c r="R116" i="23"/>
  <c r="R152" i="23" s="1"/>
  <c r="R115" i="23"/>
  <c r="R114" i="23"/>
  <c r="R113" i="23"/>
  <c r="R112" i="23"/>
  <c r="B107" i="23"/>
  <c r="R105" i="23"/>
  <c r="R104" i="23"/>
  <c r="R103" i="23"/>
  <c r="R102" i="23"/>
  <c r="R101" i="23"/>
  <c r="R100" i="23"/>
  <c r="R99" i="23"/>
  <c r="R98" i="23"/>
  <c r="R97" i="23"/>
  <c r="R96" i="23"/>
  <c r="R95" i="23"/>
  <c r="R94" i="23"/>
  <c r="R93" i="23"/>
  <c r="R92" i="23"/>
  <c r="R91" i="23"/>
  <c r="R90" i="23"/>
  <c r="R89" i="23"/>
  <c r="R88" i="23"/>
  <c r="R87" i="23"/>
  <c r="R86" i="23"/>
  <c r="R85" i="23"/>
  <c r="R84" i="23"/>
  <c r="R83" i="23"/>
  <c r="R82" i="23"/>
  <c r="R81" i="23"/>
  <c r="R80" i="23"/>
  <c r="R79" i="23"/>
  <c r="R78" i="23"/>
  <c r="R77" i="23"/>
  <c r="R308" i="23" s="1"/>
  <c r="R76" i="23"/>
  <c r="R107" i="23" s="1"/>
  <c r="R71" i="23"/>
  <c r="R70" i="23"/>
  <c r="R68" i="23"/>
  <c r="R67" i="23"/>
  <c r="R66" i="23"/>
  <c r="R65" i="23"/>
  <c r="A64" i="23"/>
  <c r="R63" i="23"/>
  <c r="R62" i="23"/>
  <c r="R61" i="23"/>
  <c r="R60" i="23"/>
  <c r="R59" i="23"/>
  <c r="R58" i="23"/>
  <c r="R57" i="23"/>
  <c r="R56" i="23"/>
  <c r="R55" i="23"/>
  <c r="R54" i="23"/>
  <c r="R53" i="23"/>
  <c r="R52" i="23"/>
  <c r="R51" i="23"/>
  <c r="R50" i="23"/>
  <c r="R49" i="23"/>
  <c r="R48" i="23"/>
  <c r="R43" i="23"/>
  <c r="R42" i="23"/>
  <c r="R41" i="23"/>
  <c r="R40" i="23"/>
  <c r="R39" i="23"/>
  <c r="R38" i="23"/>
  <c r="A37" i="23"/>
  <c r="R37" i="23" s="1"/>
  <c r="R44" i="23" s="1"/>
  <c r="R36" i="23"/>
  <c r="R35" i="23"/>
  <c r="R34" i="23"/>
  <c r="R33" i="23"/>
  <c r="R32" i="23"/>
  <c r="R31" i="23"/>
  <c r="R30" i="23"/>
  <c r="R29" i="23"/>
  <c r="R28" i="23"/>
  <c r="R27" i="23"/>
  <c r="R26" i="23"/>
  <c r="R25" i="23"/>
  <c r="R24" i="23"/>
  <c r="R23" i="23"/>
  <c r="R22" i="23"/>
  <c r="R21" i="23"/>
  <c r="T12" i="23"/>
  <c r="S12" i="23"/>
  <c r="Q12" i="23"/>
  <c r="F12" i="23"/>
  <c r="C12" i="23"/>
  <c r="T11" i="23"/>
  <c r="S11" i="23"/>
  <c r="Q11" i="23"/>
  <c r="F11" i="23"/>
  <c r="E234" i="23" s="1"/>
  <c r="C11" i="23"/>
  <c r="T10" i="23"/>
  <c r="S10" i="23"/>
  <c r="Q10" i="23"/>
  <c r="O10" i="23"/>
  <c r="N10" i="23"/>
  <c r="M10" i="23"/>
  <c r="L10" i="23"/>
  <c r="K10" i="23"/>
  <c r="J10" i="23"/>
  <c r="F10" i="23"/>
  <c r="E233" i="23" s="1"/>
  <c r="C10" i="23"/>
  <c r="T9" i="23"/>
  <c r="AJ233" i="23" s="1"/>
  <c r="S9" i="23"/>
  <c r="Q9" i="23"/>
  <c r="O9" i="23"/>
  <c r="N9" i="23"/>
  <c r="M9" i="23"/>
  <c r="L9" i="23"/>
  <c r="K9" i="23"/>
  <c r="J9" i="23"/>
  <c r="F9" i="23"/>
  <c r="E232" i="23" s="1"/>
  <c r="D9" i="23"/>
  <c r="C9" i="23"/>
  <c r="T8" i="23"/>
  <c r="AJ232" i="23" s="1"/>
  <c r="S8" i="23"/>
  <c r="AH232" i="23" s="1"/>
  <c r="Q8" i="23"/>
  <c r="O8" i="23"/>
  <c r="N8" i="23"/>
  <c r="M8" i="23"/>
  <c r="L8" i="23"/>
  <c r="K8" i="23"/>
  <c r="J8" i="23"/>
  <c r="F8" i="23"/>
  <c r="E231" i="23" s="1"/>
  <c r="D8" i="23"/>
  <c r="C8" i="23"/>
  <c r="T7" i="23"/>
  <c r="S7" i="23"/>
  <c r="AH231" i="23" s="1"/>
  <c r="Q7" i="23"/>
  <c r="O7" i="23"/>
  <c r="N7" i="23"/>
  <c r="M7" i="23"/>
  <c r="L7" i="23"/>
  <c r="K7" i="23"/>
  <c r="J7" i="23"/>
  <c r="F7" i="23"/>
  <c r="E230" i="23" s="1"/>
  <c r="C7" i="23"/>
  <c r="T6" i="23"/>
  <c r="S6" i="23"/>
  <c r="Q6" i="23"/>
  <c r="O6" i="23"/>
  <c r="N6" i="23"/>
  <c r="M6" i="23"/>
  <c r="L6" i="23"/>
  <c r="K6" i="23"/>
  <c r="J6" i="23"/>
  <c r="F6" i="23"/>
  <c r="E229" i="23" s="1"/>
  <c r="D6" i="23"/>
  <c r="C6" i="23"/>
  <c r="T5" i="23"/>
  <c r="AJ229" i="23" s="1"/>
  <c r="S5" i="23"/>
  <c r="Q5" i="23"/>
  <c r="O5" i="23"/>
  <c r="N5" i="23"/>
  <c r="M5" i="23"/>
  <c r="L5" i="23"/>
  <c r="K5" i="23"/>
  <c r="J5" i="23"/>
  <c r="F5" i="23"/>
  <c r="E228" i="23" s="1"/>
  <c r="D5" i="23"/>
  <c r="C5" i="23"/>
  <c r="T4" i="23"/>
  <c r="S4" i="23"/>
  <c r="Q4" i="23"/>
  <c r="O4" i="23"/>
  <c r="N4" i="23"/>
  <c r="M4" i="23"/>
  <c r="L4" i="23"/>
  <c r="K4" i="23"/>
  <c r="J4" i="23"/>
  <c r="F4" i="23"/>
  <c r="E227" i="23" s="1"/>
  <c r="D4" i="23"/>
  <c r="C4" i="23"/>
  <c r="T3" i="23"/>
  <c r="S3" i="23"/>
  <c r="AH227" i="23" s="1"/>
  <c r="Q3" i="23"/>
  <c r="O3" i="23"/>
  <c r="N3" i="23"/>
  <c r="M3" i="23"/>
  <c r="L3" i="23"/>
  <c r="K3" i="23"/>
  <c r="J3" i="23"/>
  <c r="F3" i="23"/>
  <c r="E226" i="23" s="1"/>
  <c r="D3" i="23"/>
  <c r="C3" i="23"/>
  <c r="T2" i="23"/>
  <c r="S2" i="23"/>
  <c r="Q2" i="23"/>
  <c r="O2" i="23"/>
  <c r="N2" i="23"/>
  <c r="M2" i="23"/>
  <c r="L2" i="23"/>
  <c r="K2" i="23"/>
  <c r="J2" i="23"/>
  <c r="F2" i="23"/>
  <c r="E225" i="23" s="1"/>
  <c r="D2" i="23"/>
  <c r="C2" i="23"/>
  <c r="U1" i="23"/>
  <c r="T1" i="23"/>
  <c r="S1" i="23"/>
  <c r="Q1" i="23"/>
  <c r="O1" i="23"/>
  <c r="N1" i="23"/>
  <c r="M1" i="23"/>
  <c r="L1" i="23"/>
  <c r="K1" i="23"/>
  <c r="J1" i="23"/>
  <c r="F1" i="23"/>
  <c r="D1" i="23"/>
  <c r="C1" i="23"/>
  <c r="AM39" i="8" l="1"/>
  <c r="AM29" i="8"/>
  <c r="R57" i="8"/>
  <c r="AJ234" i="23"/>
  <c r="AJ230" i="23"/>
  <c r="AJ227" i="23"/>
  <c r="AJ235" i="23"/>
  <c r="AH230" i="23"/>
  <c r="AH235" i="23"/>
  <c r="B230" i="23"/>
  <c r="T69" i="23"/>
  <c r="R69" i="23"/>
  <c r="R312" i="23" s="1"/>
  <c r="Q115" i="11"/>
  <c r="R166" i="11"/>
  <c r="R165" i="11"/>
  <c r="R162" i="11"/>
  <c r="R159" i="11"/>
  <c r="R158" i="11"/>
  <c r="R157" i="11"/>
  <c r="R155" i="11"/>
  <c r="R154" i="11"/>
  <c r="R153" i="11"/>
  <c r="R152" i="11"/>
  <c r="R151" i="11"/>
  <c r="R150" i="11"/>
  <c r="R149" i="11"/>
  <c r="R148" i="11"/>
  <c r="R147" i="11"/>
  <c r="R146" i="11"/>
  <c r="Q143" i="11"/>
  <c r="T214" i="23"/>
  <c r="R214" i="23"/>
  <c r="R213" i="23"/>
  <c r="T213" i="23"/>
  <c r="T210" i="23"/>
  <c r="R210" i="23"/>
  <c r="R207" i="23"/>
  <c r="T207" i="23"/>
  <c r="R206" i="23"/>
  <c r="T206" i="23"/>
  <c r="R205" i="23"/>
  <c r="T205" i="23"/>
  <c r="T202" i="23"/>
  <c r="R202" i="23"/>
  <c r="R201" i="23"/>
  <c r="T201" i="23"/>
  <c r="R200" i="23"/>
  <c r="T200" i="23"/>
  <c r="T197" i="23"/>
  <c r="R197" i="23"/>
  <c r="R196" i="23"/>
  <c r="T196" i="23"/>
  <c r="R195" i="23"/>
  <c r="T195" i="23"/>
  <c r="R194" i="23"/>
  <c r="R217" i="23" s="1"/>
  <c r="T194" i="23"/>
  <c r="T217" i="23" s="1"/>
  <c r="AN191" i="23" s="1"/>
  <c r="T185" i="23"/>
  <c r="T208" i="23"/>
  <c r="T211" i="23"/>
  <c r="T212" i="23"/>
  <c r="T209" i="23"/>
  <c r="T198" i="23"/>
  <c r="T199" i="23"/>
  <c r="T216" i="23"/>
  <c r="B217" i="23" s="1"/>
  <c r="B233" i="23"/>
  <c r="B243" i="23"/>
  <c r="AJ231" i="23"/>
  <c r="R318" i="23"/>
  <c r="B232" i="23"/>
  <c r="T318" i="23"/>
  <c r="B231" i="23"/>
  <c r="B228" i="23"/>
  <c r="B229" i="23"/>
  <c r="AH233" i="23"/>
  <c r="B226" i="23"/>
  <c r="T64" i="23"/>
  <c r="AH229" i="23"/>
  <c r="R317" i="23"/>
  <c r="B234" i="23"/>
  <c r="T317" i="23"/>
  <c r="AM74" i="23"/>
  <c r="AM19" i="23"/>
  <c r="AM109" i="23"/>
  <c r="AM154" i="23"/>
  <c r="R226" i="23"/>
  <c r="AM175" i="23"/>
  <c r="T123" i="23"/>
  <c r="T161" i="23"/>
  <c r="T37" i="23"/>
  <c r="T65" i="23"/>
  <c r="T117" i="23"/>
  <c r="T125" i="23"/>
  <c r="T133" i="23"/>
  <c r="T141" i="23"/>
  <c r="T149" i="23"/>
  <c r="T163" i="23"/>
  <c r="T172" i="23"/>
  <c r="B173" i="23" s="1"/>
  <c r="T178" i="23"/>
  <c r="T186" i="23"/>
  <c r="T29" i="23"/>
  <c r="T57" i="23"/>
  <c r="T78" i="23"/>
  <c r="T94" i="23"/>
  <c r="T30" i="23"/>
  <c r="T38" i="23"/>
  <c r="T66" i="23"/>
  <c r="T118" i="23"/>
  <c r="T126" i="23"/>
  <c r="T134" i="23"/>
  <c r="T142" i="23"/>
  <c r="T150" i="23"/>
  <c r="T156" i="23"/>
  <c r="T164" i="23"/>
  <c r="T179" i="23"/>
  <c r="T188" i="23"/>
  <c r="B189" i="23" s="1"/>
  <c r="T43" i="23"/>
  <c r="B44" i="23" s="1"/>
  <c r="T87" i="23"/>
  <c r="T88" i="23"/>
  <c r="T115" i="23"/>
  <c r="T96" i="23"/>
  <c r="T127" i="23"/>
  <c r="R316" i="23"/>
  <c r="T24" i="23"/>
  <c r="T32" i="23"/>
  <c r="T52" i="23"/>
  <c r="T60" i="23"/>
  <c r="T81" i="23"/>
  <c r="T89" i="23"/>
  <c r="T97" i="23"/>
  <c r="T105" i="23"/>
  <c r="T316" i="23"/>
  <c r="T103" i="23"/>
  <c r="T23" i="23"/>
  <c r="T80" i="23"/>
  <c r="T39" i="23"/>
  <c r="T40" i="23"/>
  <c r="T68" i="23"/>
  <c r="T112" i="23"/>
  <c r="T120" i="23"/>
  <c r="T128" i="23"/>
  <c r="T136" i="23"/>
  <c r="T144" i="23"/>
  <c r="T158" i="23"/>
  <c r="T166" i="23"/>
  <c r="T181" i="23"/>
  <c r="T165" i="23"/>
  <c r="T25" i="23"/>
  <c r="T33" i="23"/>
  <c r="T53" i="23"/>
  <c r="T61" i="23"/>
  <c r="T82" i="23"/>
  <c r="T90" i="23"/>
  <c r="T98" i="23"/>
  <c r="T131" i="23"/>
  <c r="T21" i="23"/>
  <c r="T49" i="23"/>
  <c r="T86" i="23"/>
  <c r="T102" i="23"/>
  <c r="T79" i="23"/>
  <c r="T67" i="23"/>
  <c r="T143" i="23"/>
  <c r="T157" i="23"/>
  <c r="T302" i="23" s="1"/>
  <c r="T180" i="23"/>
  <c r="T41" i="23"/>
  <c r="T70" i="23"/>
  <c r="T113" i="23"/>
  <c r="T121" i="23"/>
  <c r="T129" i="23"/>
  <c r="T137" i="23"/>
  <c r="T145" i="23"/>
  <c r="T159" i="23"/>
  <c r="T167" i="23"/>
  <c r="T182" i="23"/>
  <c r="T22" i="23"/>
  <c r="T59" i="23"/>
  <c r="T119" i="23"/>
  <c r="T26" i="23"/>
  <c r="T34" i="23"/>
  <c r="T54" i="23"/>
  <c r="T62" i="23"/>
  <c r="T83" i="23"/>
  <c r="T91" i="23"/>
  <c r="T99" i="23"/>
  <c r="T169" i="23"/>
  <c r="T50" i="23"/>
  <c r="T31" i="23"/>
  <c r="T51" i="23"/>
  <c r="T104" i="23"/>
  <c r="T42" i="23"/>
  <c r="T71" i="23"/>
  <c r="B72" i="23" s="1"/>
  <c r="T114" i="23"/>
  <c r="T122" i="23"/>
  <c r="T130" i="23"/>
  <c r="T138" i="23"/>
  <c r="T146" i="23"/>
  <c r="T160" i="23"/>
  <c r="T168" i="23"/>
  <c r="T183" i="23"/>
  <c r="T58" i="23"/>
  <c r="T95" i="23"/>
  <c r="T135" i="23"/>
  <c r="T27" i="23"/>
  <c r="T35" i="23"/>
  <c r="T55" i="23"/>
  <c r="T63" i="23"/>
  <c r="T76" i="23"/>
  <c r="T84" i="23"/>
  <c r="T92" i="23"/>
  <c r="T100" i="23"/>
  <c r="T147" i="23"/>
  <c r="T101" i="23"/>
  <c r="T139" i="23"/>
  <c r="T184" i="23"/>
  <c r="T28" i="23"/>
  <c r="T36" i="23"/>
  <c r="T48" i="23"/>
  <c r="T56" i="23"/>
  <c r="R64" i="23"/>
  <c r="T77" i="23"/>
  <c r="T85" i="23"/>
  <c r="T93" i="23"/>
  <c r="T116" i="23"/>
  <c r="T124" i="23"/>
  <c r="T132" i="23"/>
  <c r="T140" i="23"/>
  <c r="T148" i="23"/>
  <c r="T162" i="23"/>
  <c r="T170" i="23"/>
  <c r="T5" i="1"/>
  <c r="D10" i="1"/>
  <c r="T13" i="1"/>
  <c r="AM49" i="8" l="1"/>
  <c r="AM191" i="23"/>
  <c r="AO191" i="23" s="1"/>
  <c r="E191" i="23"/>
  <c r="R169" i="11"/>
  <c r="R72" i="23"/>
  <c r="R221" i="23" s="1"/>
  <c r="R307" i="23"/>
  <c r="R246" i="23" s="1"/>
  <c r="R238" i="23"/>
  <c r="T72" i="23"/>
  <c r="AO46" i="23" s="1"/>
  <c r="AN46" i="23" s="1"/>
  <c r="T312" i="23"/>
  <c r="AM46" i="23"/>
  <c r="AP46" i="23" s="1"/>
  <c r="E46" i="23"/>
  <c r="AH226" i="23"/>
  <c r="R319" i="23"/>
  <c r="R320" i="23" s="1"/>
  <c r="T189" i="23"/>
  <c r="T173" i="23"/>
  <c r="R228" i="23"/>
  <c r="AH228" i="23" s="1"/>
  <c r="T307" i="23"/>
  <c r="T246" i="23" s="1"/>
  <c r="T107" i="23"/>
  <c r="R240" i="23"/>
  <c r="T308" i="23"/>
  <c r="T44" i="23"/>
  <c r="T152" i="23"/>
  <c r="R245" i="11"/>
  <c r="R144" i="8" s="1"/>
  <c r="R167" i="1" s="1"/>
  <c r="R247" i="11"/>
  <c r="R146" i="8" s="1"/>
  <c r="R169" i="1" s="1"/>
  <c r="R23" i="8"/>
  <c r="U1" i="11"/>
  <c r="D174" i="8"/>
  <c r="D173" i="8"/>
  <c r="D172" i="8"/>
  <c r="D171" i="8"/>
  <c r="D170" i="8"/>
  <c r="D169" i="8"/>
  <c r="D168" i="8"/>
  <c r="D167" i="8"/>
  <c r="D166" i="8"/>
  <c r="D165" i="8"/>
  <c r="D164" i="8"/>
  <c r="D163" i="8"/>
  <c r="D162" i="8"/>
  <c r="R110" i="11"/>
  <c r="R253" i="11" s="1"/>
  <c r="R152" i="8" s="1"/>
  <c r="R175" i="1" s="1"/>
  <c r="R102" i="11"/>
  <c r="R252" i="11" s="1"/>
  <c r="R151" i="8" s="1"/>
  <c r="R174" i="1" s="1"/>
  <c r="R94" i="11"/>
  <c r="R251" i="11" s="1"/>
  <c r="R150" i="8" s="1"/>
  <c r="R173" i="1" s="1"/>
  <c r="R86" i="11"/>
  <c r="R250" i="11" s="1"/>
  <c r="R149" i="8" s="1"/>
  <c r="R172" i="1" s="1"/>
  <c r="R78" i="11"/>
  <c r="R249" i="11" s="1"/>
  <c r="R148" i="8" s="1"/>
  <c r="R171" i="1" s="1"/>
  <c r="R70" i="11"/>
  <c r="R248" i="11" s="1"/>
  <c r="R147" i="8" s="1"/>
  <c r="R170" i="1" s="1"/>
  <c r="R62" i="11"/>
  <c r="R54" i="11"/>
  <c r="R246" i="11" s="1"/>
  <c r="R145" i="8" s="1"/>
  <c r="R168" i="1" s="1"/>
  <c r="R46" i="11"/>
  <c r="R38" i="11"/>
  <c r="R244" i="11" s="1"/>
  <c r="R143" i="8" s="1"/>
  <c r="R166" i="1" s="1"/>
  <c r="R30" i="11"/>
  <c r="R243" i="11" s="1"/>
  <c r="R142" i="8" s="1"/>
  <c r="R165" i="1" s="1"/>
  <c r="R178" i="11"/>
  <c r="R177" i="11"/>
  <c r="R176" i="11"/>
  <c r="R175" i="11"/>
  <c r="R174" i="11"/>
  <c r="R173" i="11"/>
  <c r="R22" i="11"/>
  <c r="R242" i="11" s="1"/>
  <c r="R141" i="8" s="1"/>
  <c r="R164" i="1" s="1"/>
  <c r="R112" i="11"/>
  <c r="R111" i="11"/>
  <c r="R109" i="11"/>
  <c r="R104" i="11"/>
  <c r="R103" i="11"/>
  <c r="R101" i="11"/>
  <c r="R96" i="11"/>
  <c r="R95" i="11"/>
  <c r="R93" i="1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F191" i="23" l="1"/>
  <c r="T191" i="23" s="1"/>
  <c r="AG191" i="23"/>
  <c r="AI191" i="23" s="1"/>
  <c r="AJ191" i="23" s="1"/>
  <c r="R97" i="11"/>
  <c r="T319" i="23"/>
  <c r="T320" i="23" s="1"/>
  <c r="AN175" i="23"/>
  <c r="AO175" i="23" s="1"/>
  <c r="E175" i="23"/>
  <c r="AN154" i="23"/>
  <c r="AO154" i="23" s="1"/>
  <c r="T154" i="23"/>
  <c r="E154" i="23"/>
  <c r="AO109" i="23"/>
  <c r="E109" i="23"/>
  <c r="R236" i="23"/>
  <c r="AO19" i="23"/>
  <c r="E19" i="23"/>
  <c r="AH236" i="23"/>
  <c r="F46" i="23"/>
  <c r="T46" i="23" s="1"/>
  <c r="AG46" i="23"/>
  <c r="AI46" i="23" s="1"/>
  <c r="AJ46" i="23" s="1"/>
  <c r="AO74" i="23"/>
  <c r="E74" i="23"/>
  <c r="R65" i="11"/>
  <c r="R105" i="11"/>
  <c r="R33" i="11"/>
  <c r="B177" i="8"/>
  <c r="B194" i="8"/>
  <c r="B176" i="8"/>
  <c r="B193" i="8"/>
  <c r="B175" i="8"/>
  <c r="B192" i="8"/>
  <c r="B174" i="8"/>
  <c r="B171" i="11" s="1"/>
  <c r="Q171" i="11" s="1"/>
  <c r="B191" i="8"/>
  <c r="B169" i="8"/>
  <c r="B75" i="11" s="1"/>
  <c r="Q75" i="11" s="1"/>
  <c r="B173" i="8"/>
  <c r="B107" i="11" s="1"/>
  <c r="Q107" i="11" s="1"/>
  <c r="B190" i="8"/>
  <c r="B189" i="8"/>
  <c r="B171" i="8"/>
  <c r="B91" i="11" s="1"/>
  <c r="Q91" i="11" s="1"/>
  <c r="B162" i="8"/>
  <c r="B19" i="11" s="1"/>
  <c r="B178" i="8"/>
  <c r="B179" i="8"/>
  <c r="B196" i="8"/>
  <c r="B195" i="8"/>
  <c r="B164" i="8"/>
  <c r="B35" i="11" s="1"/>
  <c r="Q35" i="11" s="1"/>
  <c r="B172" i="8"/>
  <c r="B99" i="11" s="1"/>
  <c r="Q99" i="11" s="1"/>
  <c r="R41" i="11"/>
  <c r="R57" i="11"/>
  <c r="R179" i="11"/>
  <c r="B163" i="8"/>
  <c r="R89" i="11"/>
  <c r="B165" i="8"/>
  <c r="B43" i="11" s="1"/>
  <c r="Q43" i="11" s="1"/>
  <c r="B166" i="8"/>
  <c r="B51" i="11" s="1"/>
  <c r="Q51" i="11" s="1"/>
  <c r="R73" i="11"/>
  <c r="B167" i="8"/>
  <c r="B59" i="11" s="1"/>
  <c r="Q59" i="11" s="1"/>
  <c r="B168" i="8"/>
  <c r="B67" i="11" s="1"/>
  <c r="Q67" i="11" s="1"/>
  <c r="R49" i="11"/>
  <c r="B170" i="8"/>
  <c r="B83" i="11" s="1"/>
  <c r="Q83" i="11" s="1"/>
  <c r="R81" i="11"/>
  <c r="R113" i="11"/>
  <c r="AK191" i="23" l="1"/>
  <c r="AH191" i="23"/>
  <c r="AG154" i="23"/>
  <c r="F154" i="23"/>
  <c r="AN109" i="23"/>
  <c r="AP109" i="23"/>
  <c r="F19" i="23"/>
  <c r="AG19" i="23"/>
  <c r="AN19" i="23"/>
  <c r="AP19" i="23"/>
  <c r="AG74" i="23"/>
  <c r="F74" i="23"/>
  <c r="T74" i="23" s="1"/>
  <c r="AN74" i="23"/>
  <c r="AP74" i="23"/>
  <c r="AG175" i="23"/>
  <c r="F175" i="23"/>
  <c r="T175" i="23" s="1"/>
  <c r="T226" i="23" s="1"/>
  <c r="F109" i="23"/>
  <c r="T109" i="23" s="1"/>
  <c r="AG109" i="23"/>
  <c r="AH46" i="23"/>
  <c r="AK46" i="23"/>
  <c r="B27" i="11"/>
  <c r="Q27" i="11" s="1"/>
  <c r="K567" i="20"/>
  <c r="K510" i="20"/>
  <c r="K453" i="20"/>
  <c r="K396" i="20"/>
  <c r="K339" i="20"/>
  <c r="K282" i="20"/>
  <c r="K225" i="20"/>
  <c r="K168" i="20"/>
  <c r="K54" i="20"/>
  <c r="F225" i="23" l="1"/>
  <c r="AH74" i="23"/>
  <c r="AH19" i="23"/>
  <c r="F227" i="23"/>
  <c r="F235" i="23" s="1"/>
  <c r="F239" i="23"/>
  <c r="F220" i="23"/>
  <c r="F241" i="23" s="1"/>
  <c r="B241" i="23" s="1"/>
  <c r="T19" i="23"/>
  <c r="AH109" i="23"/>
  <c r="AI19" i="23"/>
  <c r="AJ19" i="23" s="1"/>
  <c r="AI109" i="23"/>
  <c r="AJ109" i="23" s="1"/>
  <c r="AI74" i="23"/>
  <c r="AJ74" i="23" s="1"/>
  <c r="B225" i="23"/>
  <c r="AK154" i="23"/>
  <c r="AH154" i="23"/>
  <c r="AJ226" i="23"/>
  <c r="AH175" i="23"/>
  <c r="AI175" i="23"/>
  <c r="AJ175" i="23" s="1"/>
  <c r="AI154" i="23"/>
  <c r="AJ154" i="23" s="1"/>
  <c r="D56" i="14"/>
  <c r="F22" i="18"/>
  <c r="AJ225" i="23" l="1"/>
  <c r="AK109" i="23"/>
  <c r="T240" i="23"/>
  <c r="B239" i="23" s="1"/>
  <c r="T221" i="23"/>
  <c r="T228" i="23"/>
  <c r="AH225" i="23"/>
  <c r="AH237" i="23" s="1"/>
  <c r="AK19" i="23"/>
  <c r="AK175" i="23"/>
  <c r="AK74" i="23"/>
  <c r="D7" i="18"/>
  <c r="D8" i="18"/>
  <c r="D9" i="18"/>
  <c r="D10" i="18"/>
  <c r="D6" i="18"/>
  <c r="AJ228" i="23" l="1"/>
  <c r="AJ236" i="23" s="1"/>
  <c r="T236" i="23"/>
  <c r="B227" i="23"/>
  <c r="AK225" i="23"/>
  <c r="B220" i="23"/>
  <c r="T238" i="23"/>
  <c r="A1" i="18"/>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I56" i="14"/>
  <c r="H56" i="14"/>
  <c r="G56" i="14"/>
  <c r="F56" i="14"/>
  <c r="AK236" i="23" l="1"/>
  <c r="AJ237" i="23"/>
  <c r="AK237" i="23"/>
  <c r="R26" i="8"/>
  <c r="R25" i="8"/>
  <c r="R21" i="8"/>
  <c r="A2" i="18"/>
  <c r="D5" i="18" s="1"/>
  <c r="S5" i="18"/>
  <c r="F74" i="8" l="1"/>
  <c r="F73" i="8"/>
  <c r="F31" i="1" s="1"/>
  <c r="A31" i="1" s="1"/>
  <c r="F72" i="8"/>
  <c r="F30" i="1" s="1"/>
  <c r="F71" i="8"/>
  <c r="F29" i="1" s="1"/>
  <c r="F70" i="8"/>
  <c r="F28" i="1" s="1"/>
  <c r="A28" i="1" s="1"/>
  <c r="F69" i="8"/>
  <c r="F27" i="1" s="1"/>
  <c r="F68" i="8"/>
  <c r="F26" i="1" s="1"/>
  <c r="F67" i="8"/>
  <c r="F25" i="1" s="1"/>
  <c r="T1" i="8"/>
  <c r="T2" i="8"/>
  <c r="J24" i="1"/>
  <c r="J25" i="1"/>
  <c r="J28" i="1"/>
  <c r="J29" i="1"/>
  <c r="J30" i="1"/>
  <c r="J31" i="1"/>
  <c r="J32" i="1"/>
  <c r="J23" i="1"/>
  <c r="H24" i="1"/>
  <c r="I24" i="1"/>
  <c r="H25" i="1"/>
  <c r="I25" i="1"/>
  <c r="H26" i="1"/>
  <c r="I26" i="1"/>
  <c r="H27" i="1"/>
  <c r="I27" i="1"/>
  <c r="H28" i="1"/>
  <c r="I28" i="1"/>
  <c r="H29" i="1"/>
  <c r="I29" i="1"/>
  <c r="H30" i="1"/>
  <c r="I30" i="1"/>
  <c r="H31" i="1"/>
  <c r="I31" i="1"/>
  <c r="H32" i="1"/>
  <c r="I32" i="1"/>
  <c r="H23" i="1"/>
  <c r="R74" i="8"/>
  <c r="R32" i="1" s="1"/>
  <c r="T74" i="8"/>
  <c r="T32" i="1" s="1"/>
  <c r="T73" i="8"/>
  <c r="R73" i="8"/>
  <c r="R31" i="1" s="1"/>
  <c r="T72" i="8"/>
  <c r="R72" i="8"/>
  <c r="R30" i="1" s="1"/>
  <c r="T71" i="8"/>
  <c r="R71" i="8"/>
  <c r="R29" i="1" s="1"/>
  <c r="T70" i="8"/>
  <c r="R70" i="8"/>
  <c r="R28" i="1" s="1"/>
  <c r="T69" i="8"/>
  <c r="R69" i="8"/>
  <c r="R27" i="1" s="1"/>
  <c r="T68" i="8"/>
  <c r="R68" i="8"/>
  <c r="R26" i="1" s="1"/>
  <c r="T67" i="8"/>
  <c r="R67" i="8"/>
  <c r="R25" i="1" s="1"/>
  <c r="S2" i="8"/>
  <c r="S12" i="11"/>
  <c r="T12" i="11"/>
  <c r="F1" i="11"/>
  <c r="S12" i="8"/>
  <c r="T12" i="8"/>
  <c r="F1" i="8"/>
  <c r="O6" i="1"/>
  <c r="B18" i="1"/>
  <c r="Q1" i="1"/>
  <c r="E36" i="1" s="1"/>
  <c r="C11" i="1"/>
  <c r="G32" i="1" s="1"/>
  <c r="S1" i="1"/>
  <c r="C2" i="1"/>
  <c r="T1" i="11"/>
  <c r="R21" i="11"/>
  <c r="R23" i="11"/>
  <c r="R24" i="11"/>
  <c r="Q19" i="11"/>
  <c r="S2" i="11"/>
  <c r="S1" i="11"/>
  <c r="F77" i="1"/>
  <c r="T187" i="11"/>
  <c r="T188" i="11"/>
  <c r="T87" i="8" s="1"/>
  <c r="T110" i="1" s="1"/>
  <c r="S110" i="1" s="1"/>
  <c r="T189" i="11"/>
  <c r="T88" i="8" s="1"/>
  <c r="T111" i="1" s="1"/>
  <c r="S111" i="1" s="1"/>
  <c r="T190" i="11"/>
  <c r="T89" i="8" s="1"/>
  <c r="T112" i="1" s="1"/>
  <c r="S112" i="1" s="1"/>
  <c r="T192" i="11"/>
  <c r="T91" i="8" s="1"/>
  <c r="T114" i="1" s="1"/>
  <c r="S114" i="1" s="1"/>
  <c r="T193" i="11"/>
  <c r="T92" i="8" s="1"/>
  <c r="T115" i="1" s="1"/>
  <c r="S115" i="1" s="1"/>
  <c r="T194" i="11"/>
  <c r="T93" i="8" s="1"/>
  <c r="T116" i="1" s="1"/>
  <c r="S116" i="1" s="1"/>
  <c r="T195" i="11"/>
  <c r="T94" i="8" s="1"/>
  <c r="T117" i="1" s="1"/>
  <c r="S117" i="1" s="1"/>
  <c r="T196" i="11"/>
  <c r="T95" i="8" s="1"/>
  <c r="T118" i="1" s="1"/>
  <c r="S118" i="1" s="1"/>
  <c r="T197" i="11"/>
  <c r="T96" i="8" s="1"/>
  <c r="T119" i="1" s="1"/>
  <c r="S119" i="1" s="1"/>
  <c r="T198" i="11"/>
  <c r="T97" i="8" s="1"/>
  <c r="T120" i="1" s="1"/>
  <c r="S120" i="1" s="1"/>
  <c r="T199" i="11"/>
  <c r="T98" i="8" s="1"/>
  <c r="T121" i="1" s="1"/>
  <c r="S121" i="1" s="1"/>
  <c r="T200" i="11"/>
  <c r="T99" i="8" s="1"/>
  <c r="T122" i="1" s="1"/>
  <c r="S122" i="1" s="1"/>
  <c r="T201" i="11"/>
  <c r="T100" i="8" s="1"/>
  <c r="T123" i="1" s="1"/>
  <c r="S123" i="1" s="1"/>
  <c r="T202" i="11"/>
  <c r="T101" i="8" s="1"/>
  <c r="T124" i="1" s="1"/>
  <c r="S124" i="1" s="1"/>
  <c r="T203" i="11"/>
  <c r="T102" i="8" s="1"/>
  <c r="T125" i="1" s="1"/>
  <c r="S125" i="1" s="1"/>
  <c r="T204" i="11"/>
  <c r="T103" i="8" s="1"/>
  <c r="T126" i="1" s="1"/>
  <c r="S126" i="1" s="1"/>
  <c r="T205" i="11"/>
  <c r="T104" i="8" s="1"/>
  <c r="T127" i="1" s="1"/>
  <c r="S127" i="1" s="1"/>
  <c r="T206" i="11"/>
  <c r="T105" i="8" s="1"/>
  <c r="T128" i="1" s="1"/>
  <c r="S128" i="1" s="1"/>
  <c r="T207" i="11"/>
  <c r="T106" i="8" s="1"/>
  <c r="T129" i="1" s="1"/>
  <c r="S129" i="1" s="1"/>
  <c r="T208" i="11"/>
  <c r="T107" i="8" s="1"/>
  <c r="T130" i="1" s="1"/>
  <c r="S130" i="1" s="1"/>
  <c r="T209" i="11"/>
  <c r="T108" i="8" s="1"/>
  <c r="T131" i="1" s="1"/>
  <c r="S131" i="1" s="1"/>
  <c r="T210" i="11"/>
  <c r="T109" i="8" s="1"/>
  <c r="T132" i="1" s="1"/>
  <c r="S132" i="1" s="1"/>
  <c r="T211" i="11"/>
  <c r="T110" i="8" s="1"/>
  <c r="T133" i="1" s="1"/>
  <c r="S133" i="1" s="1"/>
  <c r="T212" i="11"/>
  <c r="T111" i="8" s="1"/>
  <c r="T134" i="1" s="1"/>
  <c r="S134" i="1" s="1"/>
  <c r="T213" i="11"/>
  <c r="T112" i="8" s="1"/>
  <c r="T135" i="1" s="1"/>
  <c r="S135" i="1" s="1"/>
  <c r="T214" i="11"/>
  <c r="T113" i="8" s="1"/>
  <c r="T136" i="1" s="1"/>
  <c r="S136" i="1" s="1"/>
  <c r="T215" i="11"/>
  <c r="T114" i="8" s="1"/>
  <c r="T137" i="1" s="1"/>
  <c r="S137" i="1" s="1"/>
  <c r="T216" i="11"/>
  <c r="T115" i="8" s="1"/>
  <c r="T138" i="1" s="1"/>
  <c r="S138" i="1" s="1"/>
  <c r="T217" i="11"/>
  <c r="T116" i="8" s="1"/>
  <c r="T139" i="1" s="1"/>
  <c r="S139" i="1" s="1"/>
  <c r="T218" i="11"/>
  <c r="T117" i="8" s="1"/>
  <c r="T140" i="1" s="1"/>
  <c r="S140" i="1" s="1"/>
  <c r="T219" i="11"/>
  <c r="T118" i="8" s="1"/>
  <c r="T141" i="1" s="1"/>
  <c r="S141" i="1" s="1"/>
  <c r="T220" i="11"/>
  <c r="T119" i="8" s="1"/>
  <c r="T142" i="1" s="1"/>
  <c r="S142" i="1" s="1"/>
  <c r="T221" i="11"/>
  <c r="T120" i="8" s="1"/>
  <c r="T143" i="1" s="1"/>
  <c r="S143" i="1" s="1"/>
  <c r="T222" i="11"/>
  <c r="T121" i="8" s="1"/>
  <c r="T144" i="1" s="1"/>
  <c r="S144" i="1" s="1"/>
  <c r="T223" i="11"/>
  <c r="T122" i="8" s="1"/>
  <c r="T145" i="1" s="1"/>
  <c r="S145" i="1" s="1"/>
  <c r="T224" i="11"/>
  <c r="T123" i="8" s="1"/>
  <c r="T146" i="1" s="1"/>
  <c r="S146" i="1" s="1"/>
  <c r="T225" i="11"/>
  <c r="T124" i="8" s="1"/>
  <c r="T147" i="1" s="1"/>
  <c r="S147" i="1" s="1"/>
  <c r="T226" i="11"/>
  <c r="T125" i="8" s="1"/>
  <c r="T148" i="1" s="1"/>
  <c r="S148" i="1" s="1"/>
  <c r="T227" i="11"/>
  <c r="T126" i="8" s="1"/>
  <c r="T149" i="1" s="1"/>
  <c r="S149" i="1" s="1"/>
  <c r="T228" i="11"/>
  <c r="T127" i="8" s="1"/>
  <c r="T150" i="1" s="1"/>
  <c r="S150" i="1" s="1"/>
  <c r="T229" i="11"/>
  <c r="T128" i="8" s="1"/>
  <c r="T151" i="1" s="1"/>
  <c r="S151" i="1" s="1"/>
  <c r="T230" i="11"/>
  <c r="T129" i="8" s="1"/>
  <c r="T152" i="1" s="1"/>
  <c r="S152" i="1" s="1"/>
  <c r="T231" i="11"/>
  <c r="T130" i="8" s="1"/>
  <c r="T153" i="1" s="1"/>
  <c r="S153" i="1" s="1"/>
  <c r="T232" i="11"/>
  <c r="T131" i="8" s="1"/>
  <c r="T154" i="1" s="1"/>
  <c r="S154" i="1" s="1"/>
  <c r="T233" i="11"/>
  <c r="T132" i="8" s="1"/>
  <c r="T155" i="1" s="1"/>
  <c r="S155" i="1" s="1"/>
  <c r="T234" i="11"/>
  <c r="T133" i="8" s="1"/>
  <c r="T156" i="1" s="1"/>
  <c r="S156" i="1" s="1"/>
  <c r="T235" i="11"/>
  <c r="T134" i="8" s="1"/>
  <c r="T157" i="1" s="1"/>
  <c r="S157" i="1" s="1"/>
  <c r="T236" i="11"/>
  <c r="T135" i="8" s="1"/>
  <c r="T158" i="1" s="1"/>
  <c r="S158" i="1" s="1"/>
  <c r="T237" i="11"/>
  <c r="T136" i="8" s="1"/>
  <c r="T159" i="1" s="1"/>
  <c r="S159" i="1" s="1"/>
  <c r="T238" i="11"/>
  <c r="T137" i="8" s="1"/>
  <c r="T160" i="1" s="1"/>
  <c r="S160" i="1" s="1"/>
  <c r="T239" i="11"/>
  <c r="T138" i="8" s="1"/>
  <c r="T161" i="1" s="1"/>
  <c r="S161" i="1" s="1"/>
  <c r="T240" i="11"/>
  <c r="T139" i="8" s="1"/>
  <c r="T162" i="1" s="1"/>
  <c r="S162" i="1" s="1"/>
  <c r="T241" i="11"/>
  <c r="T140" i="8" s="1"/>
  <c r="T163" i="1" s="1"/>
  <c r="S163" i="1" s="1"/>
  <c r="T254" i="11"/>
  <c r="T153" i="8" s="1"/>
  <c r="T176" i="1" s="1"/>
  <c r="S176" i="1" s="1"/>
  <c r="R187" i="11"/>
  <c r="R86" i="8" s="1"/>
  <c r="R109" i="1" s="1"/>
  <c r="R188" i="11"/>
  <c r="R87" i="8" s="1"/>
  <c r="R110" i="1" s="1"/>
  <c r="R189" i="11"/>
  <c r="R88" i="8" s="1"/>
  <c r="R111" i="1" s="1"/>
  <c r="R190" i="11"/>
  <c r="R89" i="8" s="1"/>
  <c r="R112" i="1" s="1"/>
  <c r="R191" i="11"/>
  <c r="R90" i="8" s="1"/>
  <c r="R113" i="1" s="1"/>
  <c r="R192" i="11"/>
  <c r="R91" i="8" s="1"/>
  <c r="R114" i="1" s="1"/>
  <c r="R193" i="11"/>
  <c r="R92" i="8" s="1"/>
  <c r="R115" i="1" s="1"/>
  <c r="R194" i="11"/>
  <c r="R93" i="8" s="1"/>
  <c r="R116" i="1" s="1"/>
  <c r="R195" i="11"/>
  <c r="R94" i="8" s="1"/>
  <c r="R117" i="1" s="1"/>
  <c r="R196" i="11"/>
  <c r="R95" i="8" s="1"/>
  <c r="R118" i="1" s="1"/>
  <c r="R197" i="11"/>
  <c r="R96" i="8" s="1"/>
  <c r="R119" i="1" s="1"/>
  <c r="R198" i="11"/>
  <c r="R97" i="8" s="1"/>
  <c r="R120" i="1" s="1"/>
  <c r="R199" i="11"/>
  <c r="R98" i="8" s="1"/>
  <c r="R121" i="1" s="1"/>
  <c r="R200" i="11"/>
  <c r="R99" i="8" s="1"/>
  <c r="R122" i="1" s="1"/>
  <c r="R201" i="11"/>
  <c r="R100" i="8" s="1"/>
  <c r="R123" i="1" s="1"/>
  <c r="R202" i="11"/>
  <c r="R101" i="8" s="1"/>
  <c r="R124" i="1" s="1"/>
  <c r="R203" i="11"/>
  <c r="R102" i="8" s="1"/>
  <c r="R125" i="1" s="1"/>
  <c r="R204" i="11"/>
  <c r="R103" i="8" s="1"/>
  <c r="R126" i="1" s="1"/>
  <c r="R205" i="11"/>
  <c r="R104" i="8" s="1"/>
  <c r="R127" i="1" s="1"/>
  <c r="R206" i="11"/>
  <c r="R105" i="8" s="1"/>
  <c r="R128" i="1" s="1"/>
  <c r="R207" i="11"/>
  <c r="R106" i="8" s="1"/>
  <c r="R129" i="1" s="1"/>
  <c r="R208" i="11"/>
  <c r="R107" i="8" s="1"/>
  <c r="R130" i="1" s="1"/>
  <c r="R209" i="11"/>
  <c r="R108" i="8" s="1"/>
  <c r="R131" i="1" s="1"/>
  <c r="R210" i="11"/>
  <c r="R109" i="8" s="1"/>
  <c r="R132" i="1" s="1"/>
  <c r="R211" i="11"/>
  <c r="R110" i="8" s="1"/>
  <c r="R133" i="1" s="1"/>
  <c r="R212" i="11"/>
  <c r="R111" i="8" s="1"/>
  <c r="R134" i="1" s="1"/>
  <c r="R213" i="11"/>
  <c r="R112" i="8" s="1"/>
  <c r="R135" i="1" s="1"/>
  <c r="R214" i="11"/>
  <c r="R113" i="8" s="1"/>
  <c r="R136" i="1" s="1"/>
  <c r="R215" i="11"/>
  <c r="R114" i="8" s="1"/>
  <c r="R137" i="1" s="1"/>
  <c r="R216" i="11"/>
  <c r="R115" i="8" s="1"/>
  <c r="R138" i="1" s="1"/>
  <c r="R217" i="11"/>
  <c r="R116" i="8" s="1"/>
  <c r="R139" i="1" s="1"/>
  <c r="R218" i="11"/>
  <c r="R117" i="8" s="1"/>
  <c r="R140" i="1" s="1"/>
  <c r="R219" i="11"/>
  <c r="R118" i="8" s="1"/>
  <c r="R141" i="1" s="1"/>
  <c r="R220" i="11"/>
  <c r="R119" i="8" s="1"/>
  <c r="R142" i="1" s="1"/>
  <c r="R221" i="11"/>
  <c r="R120" i="8" s="1"/>
  <c r="R143" i="1" s="1"/>
  <c r="R222" i="11"/>
  <c r="R121" i="8" s="1"/>
  <c r="R144" i="1" s="1"/>
  <c r="R223" i="11"/>
  <c r="R122" i="8" s="1"/>
  <c r="R145" i="1" s="1"/>
  <c r="R224" i="11"/>
  <c r="R123" i="8" s="1"/>
  <c r="R146" i="1" s="1"/>
  <c r="R225" i="11"/>
  <c r="R124" i="8" s="1"/>
  <c r="R147" i="1" s="1"/>
  <c r="R226" i="11"/>
  <c r="R125" i="8" s="1"/>
  <c r="R148" i="1" s="1"/>
  <c r="R227" i="11"/>
  <c r="R126" i="8" s="1"/>
  <c r="R149" i="1" s="1"/>
  <c r="R228" i="11"/>
  <c r="R127" i="8" s="1"/>
  <c r="R150" i="1" s="1"/>
  <c r="R229" i="11"/>
  <c r="R128" i="8" s="1"/>
  <c r="R151" i="1" s="1"/>
  <c r="R230" i="11"/>
  <c r="R129" i="8" s="1"/>
  <c r="R152" i="1" s="1"/>
  <c r="R231" i="11"/>
  <c r="R130" i="8" s="1"/>
  <c r="R153" i="1" s="1"/>
  <c r="R232" i="11"/>
  <c r="R131" i="8" s="1"/>
  <c r="R154" i="1" s="1"/>
  <c r="R233" i="11"/>
  <c r="R132" i="8" s="1"/>
  <c r="R155" i="1" s="1"/>
  <c r="R234" i="11"/>
  <c r="R133" i="8" s="1"/>
  <c r="R156" i="1" s="1"/>
  <c r="R235" i="11"/>
  <c r="R134" i="8" s="1"/>
  <c r="R157" i="1" s="1"/>
  <c r="R236" i="11"/>
  <c r="R135" i="8" s="1"/>
  <c r="R158" i="1" s="1"/>
  <c r="R237" i="11"/>
  <c r="R136" i="8" s="1"/>
  <c r="R159" i="1" s="1"/>
  <c r="R238" i="11"/>
  <c r="R137" i="8" s="1"/>
  <c r="R160" i="1" s="1"/>
  <c r="R239" i="11"/>
  <c r="R138" i="8" s="1"/>
  <c r="R161" i="1" s="1"/>
  <c r="R240" i="11"/>
  <c r="R139" i="8" s="1"/>
  <c r="R162" i="1" s="1"/>
  <c r="R241" i="11"/>
  <c r="R140" i="8" s="1"/>
  <c r="R163" i="1" s="1"/>
  <c r="R254" i="11"/>
  <c r="R153"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83" i="8"/>
  <c r="T83" i="8"/>
  <c r="R83" i="8"/>
  <c r="C11" i="8"/>
  <c r="S11" i="8"/>
  <c r="T11" i="8"/>
  <c r="S10" i="8"/>
  <c r="T10" i="8"/>
  <c r="S9" i="8"/>
  <c r="T9" i="8"/>
  <c r="S8" i="8"/>
  <c r="T8" i="8"/>
  <c r="S7" i="8"/>
  <c r="T7" i="8"/>
  <c r="C6" i="8"/>
  <c r="S6" i="8"/>
  <c r="T6" i="8"/>
  <c r="S5" i="8"/>
  <c r="T5" i="8"/>
  <c r="S4" i="8"/>
  <c r="T4" i="8"/>
  <c r="F11" i="8"/>
  <c r="E74" i="8" s="1"/>
  <c r="F10" i="8"/>
  <c r="E73" i="8" s="1"/>
  <c r="F9" i="8"/>
  <c r="E72" i="8" s="1"/>
  <c r="F8" i="8"/>
  <c r="E71" i="8" s="1"/>
  <c r="F7" i="8"/>
  <c r="E70" i="8" s="1"/>
  <c r="F6" i="8"/>
  <c r="E69" i="8" s="1"/>
  <c r="F5" i="8"/>
  <c r="E68" i="8" s="1"/>
  <c r="F4" i="8"/>
  <c r="E67" i="8" s="1"/>
  <c r="D24" i="1"/>
  <c r="D25" i="1"/>
  <c r="D26" i="1"/>
  <c r="D27" i="1"/>
  <c r="D28" i="1"/>
  <c r="D29" i="1"/>
  <c r="D30" i="1"/>
  <c r="D31" i="1"/>
  <c r="D32" i="1"/>
  <c r="D23" i="1"/>
  <c r="F3" i="8"/>
  <c r="E66" i="8" s="1"/>
  <c r="F2" i="8"/>
  <c r="E65" i="8" s="1"/>
  <c r="R11" i="1"/>
  <c r="R10" i="1"/>
  <c r="R9" i="1"/>
  <c r="R8" i="1"/>
  <c r="R7" i="1"/>
  <c r="R6" i="1"/>
  <c r="R5" i="1"/>
  <c r="R4" i="1"/>
  <c r="R3" i="1"/>
  <c r="U1" i="8"/>
  <c r="Q2" i="8"/>
  <c r="Q3" i="8"/>
  <c r="Q4" i="8"/>
  <c r="Q5" i="8"/>
  <c r="Q6" i="8"/>
  <c r="Q7" i="8"/>
  <c r="Q8" i="8"/>
  <c r="Q9" i="8"/>
  <c r="Q10" i="8"/>
  <c r="Q11" i="8"/>
  <c r="Q12" i="8"/>
  <c r="D8" i="8"/>
  <c r="D9" i="8"/>
  <c r="D6" i="8"/>
  <c r="D4" i="8"/>
  <c r="D2" i="8"/>
  <c r="F12" i="8"/>
  <c r="C1" i="8"/>
  <c r="M1" i="8"/>
  <c r="K1" i="8"/>
  <c r="J1" i="8"/>
  <c r="S1" i="8"/>
  <c r="D1" i="8"/>
  <c r="O2" i="8"/>
  <c r="J3" i="8"/>
  <c r="M3" i="8"/>
  <c r="J4" i="8"/>
  <c r="M5" i="8"/>
  <c r="N5" i="8"/>
  <c r="O6" i="8"/>
  <c r="O7" i="8"/>
  <c r="O8" i="8"/>
  <c r="M9" i="8"/>
  <c r="O9" i="8"/>
  <c r="J10" i="8"/>
  <c r="K10" i="8"/>
  <c r="L10" i="8"/>
  <c r="B181" i="8"/>
  <c r="B182" i="8"/>
  <c r="B183" i="8"/>
  <c r="B184" i="8"/>
  <c r="B185" i="8"/>
  <c r="B186" i="8"/>
  <c r="B187" i="8"/>
  <c r="B188" i="8"/>
  <c r="B197" i="8"/>
  <c r="B180" i="8"/>
  <c r="S107" i="1"/>
  <c r="D55" i="1"/>
  <c r="D5" i="8"/>
  <c r="V1" i="1" a="1"/>
  <c r="V1" i="1" s="1"/>
  <c r="E64" i="1"/>
  <c r="E103" i="1" s="1"/>
  <c r="D3" i="8"/>
  <c r="A36" i="1"/>
  <c r="E63" i="1"/>
  <c r="E61" i="1"/>
  <c r="E101" i="1" s="1"/>
  <c r="E62" i="1"/>
  <c r="E102" i="1" s="1"/>
  <c r="E60" i="1"/>
  <c r="D51" i="1"/>
  <c r="T22" i="8" l="1"/>
  <c r="T56" i="8"/>
  <c r="B57" i="8" s="1"/>
  <c r="T51" i="8"/>
  <c r="T52" i="8"/>
  <c r="T44" i="8"/>
  <c r="T46" i="8"/>
  <c r="B47" i="8" s="1"/>
  <c r="T35" i="8"/>
  <c r="T43" i="8"/>
  <c r="T41" i="8"/>
  <c r="T55" i="8"/>
  <c r="T33" i="8"/>
  <c r="T31" i="8"/>
  <c r="T24" i="8"/>
  <c r="T54" i="8"/>
  <c r="T53" i="8"/>
  <c r="T36" i="8"/>
  <c r="B37" i="8" s="1"/>
  <c r="T34" i="8"/>
  <c r="T45" i="8"/>
  <c r="T42" i="8"/>
  <c r="T32" i="8"/>
  <c r="T138" i="11"/>
  <c r="T136" i="11"/>
  <c r="T128" i="11"/>
  <c r="T123" i="11"/>
  <c r="T121" i="11"/>
  <c r="T168" i="11"/>
  <c r="T163" i="11"/>
  <c r="T161" i="11"/>
  <c r="T145" i="11"/>
  <c r="T132" i="11"/>
  <c r="T129" i="11"/>
  <c r="T125" i="11"/>
  <c r="T122" i="11"/>
  <c r="T120" i="11"/>
  <c r="T160" i="11"/>
  <c r="T119" i="11"/>
  <c r="T124" i="11"/>
  <c r="T167" i="11"/>
  <c r="T140" i="11"/>
  <c r="T134" i="11"/>
  <c r="T127" i="11"/>
  <c r="T126" i="11"/>
  <c r="T117" i="11"/>
  <c r="T139" i="11"/>
  <c r="T137" i="11"/>
  <c r="T135" i="11"/>
  <c r="T133" i="11"/>
  <c r="T131" i="11"/>
  <c r="T130" i="11"/>
  <c r="T118" i="11"/>
  <c r="T156" i="11"/>
  <c r="T164" i="11"/>
  <c r="T159" i="11"/>
  <c r="T158" i="11"/>
  <c r="T157" i="11"/>
  <c r="T155" i="11"/>
  <c r="T154" i="11"/>
  <c r="T153" i="11"/>
  <c r="T152" i="11"/>
  <c r="T151" i="11"/>
  <c r="T150" i="11"/>
  <c r="T149" i="11"/>
  <c r="T148" i="11"/>
  <c r="T147" i="11"/>
  <c r="T146" i="11"/>
  <c r="T166" i="11"/>
  <c r="T165" i="11"/>
  <c r="T162" i="11"/>
  <c r="R143" i="11"/>
  <c r="R115" i="11"/>
  <c r="T23" i="8"/>
  <c r="L4" i="8"/>
  <c r="N1" i="8"/>
  <c r="M7" i="11"/>
  <c r="F22" i="1"/>
  <c r="Q1" i="8"/>
  <c r="C10" i="11"/>
  <c r="K6" i="8"/>
  <c r="O5" i="8"/>
  <c r="R171" i="11"/>
  <c r="R107" i="11"/>
  <c r="R91" i="11"/>
  <c r="R59" i="11"/>
  <c r="R27" i="11"/>
  <c r="R99" i="11"/>
  <c r="R75" i="11"/>
  <c r="R51" i="11"/>
  <c r="R83" i="11"/>
  <c r="R35" i="11"/>
  <c r="R67" i="11"/>
  <c r="R43" i="11"/>
  <c r="T173" i="11"/>
  <c r="T72" i="11"/>
  <c r="T40" i="11"/>
  <c r="T102" i="11"/>
  <c r="T86" i="11"/>
  <c r="T250" i="11" s="1"/>
  <c r="T149" i="8" s="1"/>
  <c r="T172" i="1" s="1"/>
  <c r="S172" i="1" s="1"/>
  <c r="T70" i="11"/>
  <c r="T54" i="11"/>
  <c r="T246" i="11" s="1"/>
  <c r="T145" i="8" s="1"/>
  <c r="T168" i="1" s="1"/>
  <c r="S168" i="1" s="1"/>
  <c r="T38" i="11"/>
  <c r="T244" i="11" s="1"/>
  <c r="T143" i="8" s="1"/>
  <c r="T166" i="1" s="1"/>
  <c r="S166" i="1" s="1"/>
  <c r="T77" i="11"/>
  <c r="T45" i="11"/>
  <c r="T178" i="11"/>
  <c r="T71" i="11"/>
  <c r="T39" i="11"/>
  <c r="T112" i="11"/>
  <c r="T80" i="11"/>
  <c r="T48" i="11"/>
  <c r="T177" i="11"/>
  <c r="T85" i="11"/>
  <c r="T53" i="11"/>
  <c r="T111" i="11"/>
  <c r="T79" i="11"/>
  <c r="T47" i="11"/>
  <c r="T176" i="11"/>
  <c r="T104" i="11"/>
  <c r="T88" i="11"/>
  <c r="T56" i="11"/>
  <c r="T110" i="11"/>
  <c r="T253" i="11" s="1"/>
  <c r="T152" i="8" s="1"/>
  <c r="T175" i="1" s="1"/>
  <c r="S175" i="1" s="1"/>
  <c r="T94" i="11"/>
  <c r="T251" i="11" s="1"/>
  <c r="T150" i="8" s="1"/>
  <c r="T173" i="1" s="1"/>
  <c r="S173" i="1" s="1"/>
  <c r="T78" i="11"/>
  <c r="T249" i="11" s="1"/>
  <c r="T148" i="8" s="1"/>
  <c r="T171" i="1" s="1"/>
  <c r="S171" i="1" s="1"/>
  <c r="T62" i="11"/>
  <c r="T46" i="11"/>
  <c r="T245" i="11" s="1"/>
  <c r="T144" i="8" s="1"/>
  <c r="T167" i="1" s="1"/>
  <c r="S167" i="1" s="1"/>
  <c r="T30" i="11"/>
  <c r="T243" i="11" s="1"/>
  <c r="T142" i="8" s="1"/>
  <c r="T165" i="1" s="1"/>
  <c r="S165" i="1" s="1"/>
  <c r="T109" i="11"/>
  <c r="T93" i="11"/>
  <c r="T61" i="11"/>
  <c r="T29" i="11"/>
  <c r="T175" i="11"/>
  <c r="T22" i="11"/>
  <c r="T242" i="11" s="1"/>
  <c r="T103" i="11"/>
  <c r="T87" i="11"/>
  <c r="T55" i="11"/>
  <c r="T96" i="11"/>
  <c r="T64" i="11"/>
  <c r="T32" i="11"/>
  <c r="T174" i="11"/>
  <c r="T101" i="11"/>
  <c r="T69" i="11"/>
  <c r="T37" i="11"/>
  <c r="T95" i="11"/>
  <c r="T63" i="11"/>
  <c r="T31" i="11"/>
  <c r="K7" i="8"/>
  <c r="J5" i="8"/>
  <c r="O1" i="8"/>
  <c r="J7" i="8"/>
  <c r="N4" i="8"/>
  <c r="C10" i="8"/>
  <c r="B73" i="8" s="1"/>
  <c r="L9" i="8"/>
  <c r="M6" i="8"/>
  <c r="O10" i="8"/>
  <c r="J9" i="8"/>
  <c r="N10" i="8"/>
  <c r="K3" i="8"/>
  <c r="R259" i="11"/>
  <c r="K9" i="8"/>
  <c r="O4" i="8"/>
  <c r="O3" i="8"/>
  <c r="C8" i="8"/>
  <c r="B71" i="8" s="1"/>
  <c r="N9" i="8"/>
  <c r="L7" i="8"/>
  <c r="N2" i="8"/>
  <c r="T256" i="11"/>
  <c r="G24" i="1"/>
  <c r="R257" i="11"/>
  <c r="L6" i="8"/>
  <c r="K2" i="8"/>
  <c r="R183" i="11"/>
  <c r="M10" i="8"/>
  <c r="J6" i="8"/>
  <c r="L3" i="8"/>
  <c r="M2" i="11"/>
  <c r="C4" i="11"/>
  <c r="L5" i="11"/>
  <c r="M4" i="8"/>
  <c r="N3" i="11"/>
  <c r="E22" i="1"/>
  <c r="M8" i="8"/>
  <c r="K4" i="8"/>
  <c r="L8" i="8"/>
  <c r="N6" i="8"/>
  <c r="C7" i="11"/>
  <c r="C8" i="11"/>
  <c r="K5" i="8"/>
  <c r="C4" i="8"/>
  <c r="B67" i="8" s="1"/>
  <c r="N7" i="8"/>
  <c r="L2" i="8"/>
  <c r="L1" i="8"/>
  <c r="Q1" i="11"/>
  <c r="T26" i="8"/>
  <c r="B27" i="8" s="1"/>
  <c r="T25" i="8"/>
  <c r="T21" i="8"/>
  <c r="I23" i="1"/>
  <c r="T2" i="11"/>
  <c r="AH73" i="8"/>
  <c r="AH71" i="8"/>
  <c r="AH67" i="8"/>
  <c r="AH69" i="8"/>
  <c r="B69" i="8"/>
  <c r="E28" i="1"/>
  <c r="B28" i="1"/>
  <c r="B74" i="8"/>
  <c r="AH74" i="8"/>
  <c r="AH70" i="8"/>
  <c r="AJ67" i="8"/>
  <c r="AJ71" i="8"/>
  <c r="F32" i="1"/>
  <c r="AH68" i="8"/>
  <c r="AH72" i="8"/>
  <c r="R186" i="11"/>
  <c r="R256" i="11"/>
  <c r="R156" i="8"/>
  <c r="R179" i="1"/>
  <c r="J8" i="11"/>
  <c r="J8" i="8"/>
  <c r="N8" i="11"/>
  <c r="N8" i="8"/>
  <c r="G30" i="1"/>
  <c r="C9" i="8"/>
  <c r="B72" i="8" s="1"/>
  <c r="C9" i="11"/>
  <c r="G26" i="1"/>
  <c r="C5" i="8"/>
  <c r="B68" i="8" s="1"/>
  <c r="C5" i="11"/>
  <c r="R258" i="11"/>
  <c r="T157" i="8"/>
  <c r="AJ69" i="8"/>
  <c r="T27" i="1"/>
  <c r="AJ73" i="8"/>
  <c r="T31" i="1"/>
  <c r="B27" i="1"/>
  <c r="E27" i="1"/>
  <c r="B30" i="1"/>
  <c r="E30" i="1"/>
  <c r="A30" i="1"/>
  <c r="K8" i="8"/>
  <c r="C3" i="11"/>
  <c r="T21" i="11"/>
  <c r="T23" i="11"/>
  <c r="T24" i="11"/>
  <c r="AJ74" i="8"/>
  <c r="E25" i="1"/>
  <c r="A25" i="1"/>
  <c r="B25" i="1"/>
  <c r="T258" i="11"/>
  <c r="T29" i="1"/>
  <c r="AJ68" i="8"/>
  <c r="T26" i="1"/>
  <c r="AJ70" i="8"/>
  <c r="T28" i="1"/>
  <c r="AJ72" i="8"/>
  <c r="T30" i="1"/>
  <c r="B26" i="1"/>
  <c r="E26" i="1"/>
  <c r="A26" i="1"/>
  <c r="B31" i="1"/>
  <c r="E31" i="1"/>
  <c r="C7" i="8"/>
  <c r="B70" i="8" s="1"/>
  <c r="R25" i="11"/>
  <c r="G23" i="1"/>
  <c r="C2" i="8"/>
  <c r="B83" i="8" s="1"/>
  <c r="C2" i="11"/>
  <c r="T25" i="1"/>
  <c r="A27" i="1"/>
  <c r="E29" i="1"/>
  <c r="A29" i="1"/>
  <c r="B29" i="1"/>
  <c r="T57" i="8" l="1"/>
  <c r="T47" i="8"/>
  <c r="T37" i="8"/>
  <c r="T252" i="11"/>
  <c r="T151" i="8" s="1"/>
  <c r="T174" i="1" s="1"/>
  <c r="S174" i="1" s="1"/>
  <c r="T247" i="11"/>
  <c r="T248" i="11"/>
  <c r="T147" i="8" s="1"/>
  <c r="T170" i="1" s="1"/>
  <c r="S170" i="1" s="1"/>
  <c r="T169" i="11"/>
  <c r="T141" i="11"/>
  <c r="T141" i="8"/>
  <c r="T164" i="1" s="1"/>
  <c r="S164" i="1" s="1"/>
  <c r="T97" i="11"/>
  <c r="B97" i="11" s="1"/>
  <c r="T113" i="11"/>
  <c r="E97" i="11"/>
  <c r="F97" i="11" s="1"/>
  <c r="T191" i="11"/>
  <c r="T90" i="8" s="1"/>
  <c r="T113" i="1" s="1"/>
  <c r="S113" i="1" s="1"/>
  <c r="T57" i="11"/>
  <c r="T73" i="11"/>
  <c r="T91" i="11"/>
  <c r="T41" i="11"/>
  <c r="T33" i="11"/>
  <c r="T89" i="11"/>
  <c r="T49" i="11"/>
  <c r="T105" i="11"/>
  <c r="T65" i="11"/>
  <c r="T81" i="11"/>
  <c r="T179" i="11"/>
  <c r="R260" i="11"/>
  <c r="R85" i="8" s="1"/>
  <c r="T86" i="8"/>
  <c r="A32" i="1"/>
  <c r="B32" i="1"/>
  <c r="E32" i="1"/>
  <c r="T180" i="1"/>
  <c r="R19" i="11"/>
  <c r="R184" i="11"/>
  <c r="R178" i="1"/>
  <c r="R155" i="8"/>
  <c r="T25" i="11"/>
  <c r="T183" i="11"/>
  <c r="R157" i="8"/>
  <c r="R180" i="1"/>
  <c r="AO49" i="8" l="1"/>
  <c r="E49" i="8"/>
  <c r="AO39" i="8"/>
  <c r="E39" i="8"/>
  <c r="AO29" i="8"/>
  <c r="E29" i="8"/>
  <c r="T146" i="8"/>
  <c r="T169" i="1" s="1"/>
  <c r="S169" i="1" s="1"/>
  <c r="T259" i="11"/>
  <c r="T143" i="11"/>
  <c r="E169" i="11"/>
  <c r="F169" i="11" s="1"/>
  <c r="B169" i="11"/>
  <c r="T115" i="11"/>
  <c r="E141" i="11"/>
  <c r="F141" i="11" s="1"/>
  <c r="B141" i="11"/>
  <c r="T109" i="1"/>
  <c r="R158" i="8"/>
  <c r="R27" i="8"/>
  <c r="R77"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57" i="11"/>
  <c r="T186" i="11"/>
  <c r="B65" i="11"/>
  <c r="E65" i="11"/>
  <c r="F65" i="11" s="1"/>
  <c r="T59" i="11"/>
  <c r="B73" i="11"/>
  <c r="E73" i="11"/>
  <c r="F73" i="11" s="1"/>
  <c r="T67" i="11"/>
  <c r="B179" i="11"/>
  <c r="T171" i="11"/>
  <c r="E179" i="11"/>
  <c r="F179" i="11" s="1"/>
  <c r="B81" i="11"/>
  <c r="T75" i="11"/>
  <c r="E81" i="11"/>
  <c r="F81" i="11" s="1"/>
  <c r="B113" i="11"/>
  <c r="T107" i="11"/>
  <c r="E113" i="11"/>
  <c r="F113" i="11" s="1"/>
  <c r="B35" i="1"/>
  <c r="T155" i="8"/>
  <c r="T19" i="11"/>
  <c r="T184" i="11"/>
  <c r="E25" i="11"/>
  <c r="F25" i="11" s="1"/>
  <c r="B25" i="11"/>
  <c r="AP49" i="8" l="1"/>
  <c r="AN49" i="8"/>
  <c r="AG49" i="8"/>
  <c r="AI49" i="8" s="1"/>
  <c r="AJ49" i="8" s="1"/>
  <c r="F49" i="8"/>
  <c r="T49" i="8" s="1"/>
  <c r="AP39" i="8"/>
  <c r="AN39" i="8"/>
  <c r="AG39" i="8"/>
  <c r="AI39" i="8" s="1"/>
  <c r="AJ39" i="8" s="1"/>
  <c r="F39" i="8"/>
  <c r="T39" i="8" s="1"/>
  <c r="AP29" i="8"/>
  <c r="AN29" i="8"/>
  <c r="AG29" i="8"/>
  <c r="AI29" i="8" s="1"/>
  <c r="AJ29" i="8" s="1"/>
  <c r="F29" i="8"/>
  <c r="T29" i="8" s="1"/>
  <c r="R66" i="8"/>
  <c r="S109" i="1"/>
  <c r="T178" i="1"/>
  <c r="R159" i="8"/>
  <c r="R181" i="1" s="1"/>
  <c r="R182" i="1" s="1"/>
  <c r="T260" i="11"/>
  <c r="T158" i="8"/>
  <c r="AM19" i="8"/>
  <c r="R65" i="8"/>
  <c r="R60" i="8"/>
  <c r="R81" i="8" s="1"/>
  <c r="R79" i="8"/>
  <c r="T156" i="8"/>
  <c r="T85" i="8"/>
  <c r="AK49" i="8" l="1"/>
  <c r="AH49" i="8"/>
  <c r="AK39" i="8"/>
  <c r="AH39" i="8"/>
  <c r="AH29" i="8"/>
  <c r="AK29" i="8"/>
  <c r="AH66" i="8"/>
  <c r="R24" i="1"/>
  <c r="R177" i="1"/>
  <c r="T159" i="8"/>
  <c r="T27" i="8"/>
  <c r="T77" i="8"/>
  <c r="R23" i="1"/>
  <c r="R35" i="1" s="1"/>
  <c r="R75" i="8"/>
  <c r="AH65" i="8"/>
  <c r="T179" i="1"/>
  <c r="T177" i="1"/>
  <c r="AH75" i="8" l="1"/>
  <c r="E19" i="8"/>
  <c r="AG19" i="8" s="1"/>
  <c r="D83" i="1"/>
  <c r="R37" i="1"/>
  <c r="R39" i="1" s="1"/>
  <c r="S177" i="1"/>
  <c r="F83" i="1" s="1"/>
  <c r="T181" i="1"/>
  <c r="T182" i="1" s="1"/>
  <c r="AO19" i="8"/>
  <c r="T37" i="1"/>
  <c r="E83" i="1"/>
  <c r="AP19" i="8" l="1"/>
  <c r="AN19" i="8"/>
  <c r="AI19" i="8"/>
  <c r="AJ19" i="8" s="1"/>
  <c r="AJ64" i="8" s="1"/>
  <c r="F19" i="8"/>
  <c r="F66" i="8" l="1"/>
  <c r="T19" i="8"/>
  <c r="T66" i="8" s="1"/>
  <c r="F79" i="8"/>
  <c r="F65" i="8"/>
  <c r="F60" i="8"/>
  <c r="F81" i="8" s="1"/>
  <c r="AH19" i="8"/>
  <c r="AH64" i="8" s="1"/>
  <c r="AH76" i="8" s="1"/>
  <c r="AK19" i="8"/>
  <c r="AK64" i="8" s="1"/>
  <c r="B66" i="8" l="1"/>
  <c r="F24" i="1"/>
  <c r="AJ66" i="8"/>
  <c r="T24" i="1"/>
  <c r="F75" i="8"/>
  <c r="F23" i="1"/>
  <c r="T60" i="8"/>
  <c r="T79" i="8"/>
  <c r="B79" i="8" s="1"/>
  <c r="T65" i="8"/>
  <c r="B65" i="8" s="1"/>
  <c r="B24" i="1" l="1"/>
  <c r="E24" i="1"/>
  <c r="A24" i="1"/>
  <c r="T81" i="8"/>
  <c r="B81" i="8" s="1"/>
  <c r="B60" i="8"/>
  <c r="T75" i="8"/>
  <c r="T23" i="1"/>
  <c r="AJ65" i="8"/>
  <c r="AJ75" i="8" s="1"/>
  <c r="F35" i="1"/>
  <c r="E23" i="1"/>
  <c r="C72" i="1"/>
  <c r="E35" i="1" l="1"/>
  <c r="Q16" i="1" s="1"/>
  <c r="T35" i="1"/>
  <c r="T39" i="1" s="1"/>
  <c r="B23" i="1"/>
  <c r="A23" i="1"/>
  <c r="B19" i="1" s="1"/>
  <c r="E22" i="18"/>
  <c r="F75" i="1"/>
  <c r="R83" i="1" s="1"/>
  <c r="Q19" i="1" s="1"/>
  <c r="Q15" i="1"/>
  <c r="F72" i="1"/>
  <c r="AK75" i="8"/>
  <c r="AK76" i="8" s="1"/>
  <c r="AJ76" i="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64"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76"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76"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76"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225" authorId="0" shapeId="0" xr:uid="{DE524C31-0CD3-475B-BD48-3B9841BAB474}">
      <text>
        <r>
          <rPr>
            <b/>
            <sz val="10"/>
            <color indexed="81"/>
            <rFont val="Tahoma"/>
            <family val="2"/>
          </rPr>
          <t>Michael Vella:</t>
        </r>
        <r>
          <rPr>
            <sz val="10"/>
            <color indexed="81"/>
            <rFont val="Tahoma"/>
            <family val="2"/>
          </rPr>
          <t xml:space="preserve">
This cell should be exactly equal to the MU SUMMARY TOTAL.</t>
        </r>
      </text>
    </comment>
    <comment ref="AH237" authorId="0" shapeId="0" xr:uid="{2D3DEAF1-0179-421D-8C0F-68BA4CB0E89E}">
      <text>
        <r>
          <rPr>
            <b/>
            <sz val="10"/>
            <color indexed="81"/>
            <rFont val="Tahoma"/>
            <family val="2"/>
          </rPr>
          <t>Michael Vella:</t>
        </r>
        <r>
          <rPr>
            <sz val="10"/>
            <color indexed="81"/>
            <rFont val="Tahoma"/>
            <family val="2"/>
          </rPr>
          <t xml:space="preserve">
This discrepancy must be small</t>
        </r>
      </text>
    </comment>
    <comment ref="AJ237" authorId="0" shapeId="0" xr:uid="{CD0D83E6-A7D0-4BA0-AA60-35DA8A18034E}">
      <text>
        <r>
          <rPr>
            <b/>
            <sz val="10"/>
            <color indexed="81"/>
            <rFont val="Tahoma"/>
            <family val="2"/>
          </rPr>
          <t>Michael Vella:</t>
        </r>
        <r>
          <rPr>
            <sz val="10"/>
            <color indexed="81"/>
            <rFont val="Tahoma"/>
            <family val="2"/>
          </rPr>
          <t xml:space="preserve">
This discrepancy must be small</t>
        </r>
      </text>
    </comment>
    <comment ref="AK237" authorId="0" shapeId="0" xr:uid="{72C9A0EE-6E55-41AD-8128-F8F7739F711B}">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<sst xmlns="http://schemas.openxmlformats.org/spreadsheetml/2006/main" count="3094" uniqueCount="539">
  <si>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</si>
  <si>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</si>
  <si>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</si>
  <si>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</si>
  <si>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</si>
  <si>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</si>
  <si>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</si>
  <si>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</si>
  <si>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</si>
  <si>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</si>
  <si>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</si>
  <si>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</si>
  <si>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</si>
  <si>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</si>
  <si>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</si>
  <si>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</si>
  <si>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</si>
  <si>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</si>
  <si>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</si>
  <si>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</si>
  <si>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</si>
  <si>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</si>
  <si>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</si>
  <si>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</si>
  <si>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</si>
  <si>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</si>
  <si>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</si>
  <si>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</si>
  <si>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</si>
  <si>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</si>
  <si>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</si>
  <si>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</si>
  <si>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</si>
  <si>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</si>
  <si>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</si>
  <si>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</si>
  <si>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</si>
  <si>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</si>
  <si>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</si>
  <si>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</si>
  <si>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</si>
  <si>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</si>
  <si>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</si>
  <si>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</si>
  <si>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</si>
  <si>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</si>
  <si>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</si>
  <si>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</si>
  <si>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</si>
  <si>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</si>
  <si>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</si>
  <si>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</si>
  <si>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</si>
  <si>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</si>
  <si>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</si>
  <si>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</si>
  <si>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</si>
  <si>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</si>
  <si>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</si>
  <si>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</si>
  <si>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</si>
  <si>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</si>
  <si>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</si>
  <si>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</si>
  <si>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</si>
  <si>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</si>
  <si>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</si>
  <si>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</si>
  <si>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</si>
  <si>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</si>
  <si>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</si>
  <si>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</si>
  <si>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</si>
  <si>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</si>
  <si>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</si>
  <si>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</si>
  <si>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</si>
  <si>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</si>
  <si>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</si>
  <si>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</si>
  <si>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</si>
  <si>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</si>
  <si>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</si>
  <si>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</si>
  <si>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</si>
  <si>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</si>
  <si>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</si>
  <si>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</si>
  <si>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</si>
  <si>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</si>
  <si>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</si>
  <si>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</si>
  <si>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</si>
  <si>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</si>
  <si>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</si>
  <si>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</si>
  <si>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</si>
  <si>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</si>
  <si>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</si>
  <si>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</si>
  <si>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</si>
  <si>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</si>
  <si>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</si>
  <si>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</si>
  <si>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</si>
  <si>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</si>
  <si>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</si>
  <si>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</si>
  <si>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</si>
  <si>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</si>
  <si>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</si>
  <si>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</si>
  <si>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</si>
  <si>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</si>
  <si>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</si>
  <si>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</si>
  <si>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</si>
  <si>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</si>
  <si>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</si>
  <si>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</si>
  <si>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</si>
  <si>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</si>
  <si>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</si>
  <si>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</si>
  <si>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</si>
  <si>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</si>
  <si>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</si>
  <si>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</si>
  <si>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</si>
  <si>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</si>
  <si>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</si>
  <si>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</si>
  <si>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</si>
  <si>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</si>
  <si>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</si>
  <si>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</si>
  <si>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</si>
  <si>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</si>
  <si>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</si>
  <si>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</si>
  <si>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</si>
  <si>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</si>
  <si>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</si>
  <si>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</si>
  <si>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</si>
  <si>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</si>
  <si>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</si>
  <si>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</si>
  <si>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</si>
  <si>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</si>
  <si>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</si>
  <si>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</si>
  <si>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</si>
  <si>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</si>
  <si>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</si>
  <si>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</si>
  <si>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</si>
  <si>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</si>
  <si>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</si>
  <si>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</si>
  <si>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</si>
  <si>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</si>
  <si>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</si>
  <si>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</si>
  <si>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</si>
  <si>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</si>
  <si>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</si>
  <si>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</si>
  <si>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</si>
  <si>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</si>
  <si>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</si>
  <si>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</si>
  <si>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</si>
  <si>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</si>
  <si>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</si>
  <si>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</si>
  <si>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</si>
  <si>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</si>
  <si>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</si>
  <si>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</si>
  <si>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</si>
  <si>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</si>
  <si>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</si>
  <si>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</si>
  <si>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</si>
  <si>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</si>
  <si>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</si>
  <si>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</si>
  <si>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</si>
  <si>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</si>
  <si>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</si>
  <si>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</si>
  <si>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</si>
  <si>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</si>
  <si>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</si>
  <si>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</si>
  <si>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</si>
  <si>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</si>
  <si>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</si>
  <si>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</si>
  <si>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</si>
  <si>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</si>
  <si>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</si>
  <si>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</si>
  <si>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</si>
  <si>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</si>
  <si>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</si>
  <si>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</si>
  <si>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</si>
  <si>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</si>
  <si>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</si>
  <si>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</si>
  <si>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</si>
  <si>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</si>
  <si>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</si>
  <si>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</si>
  <si>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</si>
  <si>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</si>
  <si>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</si>
  <si>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</si>
  <si>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</si>
  <si>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</si>
  <si>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</si>
  <si>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</si>
  <si>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</si>
  <si>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</si>
  <si>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</si>
  <si>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</si>
  <si>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</si>
  <si>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</si>
  <si>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</si>
  <si>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</si>
  <si>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</si>
  <si>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</si>
  <si>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</si>
  <si>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</si>
  <si>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</si>
  <si>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</si>
  <si>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</si>
  <si>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</si>
  <si>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</si>
  <si>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</si>
  <si>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</si>
  <si>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</si>
  <si>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</si>
  <si>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</si>
  <si>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</si>
  <si>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</si>
  <si>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</si>
  <si>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</si>
  <si>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</si>
  <si>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</si>
  <si>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</si>
  <si>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</si>
  <si>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</si>
  <si>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</si>
  <si>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</si>
  <si>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</si>
  <si>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</si>
  <si>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</si>
  <si>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</si>
  <si>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</si>
  <si>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</si>
  <si>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</si>
  <si>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</si>
  <si>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</si>
  <si>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</si>
  <si>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</si>
  <si>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</si>
  <si>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</si>
  <si>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</si>
  <si>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</si>
  <si>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</si>
  <si>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</si>
  <si>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</si>
  <si>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</si>
  <si>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</si>
  <si>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</si>
  <si>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</si>
  <si>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</si>
  <si>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</si>
  <si>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</si>
  <si>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</si>
  <si>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</si>
  <si>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</si>
  <si>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</si>
  <si>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</si>
  <si>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</si>
  <si>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</si>
  <si>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</si>
  <si>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</si>
  <si>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</si>
  <si>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</si>
  <si>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</si>
  <si>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</si>
  <si>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</si>
  <si>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</si>
  <si>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</si>
  <si>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</si>
  <si>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</si>
  <si>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</si>
  <si>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</si>
  <si>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</si>
  <si>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Item: 1.1</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</si>
  <si>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</si>
  <si>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</si>
  <si>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</si>
  <si>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</si>
  <si>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</si>
  <si>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</si>
  <si>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</si>
  <si>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</si>
  <si>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</si>
  <si>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</si>
  <si>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</si>
  <si>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</si>
  <si>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</si>
  <si>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Cost for 2025</t>
  </si>
  <si>
    <t>BMSE_001</t>
  </si>
  <si>
    <t>(__)</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</si>
  <si>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</si>
  <si>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</si>
  <si>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</si>
  <si>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</si>
  <si>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</si>
  <si>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</si>
  <si>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</si>
  <si>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</si>
  <si>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</si>
  <si>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</si>
  <si>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</si>
  <si>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</si>
  <si>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</si>
  <si>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</si>
  <si>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</si>
  <si>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BMS Pair 2025</t>
  </si>
  <si>
    <t>BMS Engineer 2025</t>
  </si>
  <si>
    <t>BMS Tech 2025</t>
  </si>
  <si>
    <t>Schrack</t>
  </si>
  <si>
    <t>Wall-mounting brackets for WSA, WKT, WKA and BUS enclosures</t>
  </si>
  <si>
    <t>WSAWB004</t>
  </si>
  <si>
    <t>Knitted earthing cable 260mm long, blank</t>
  </si>
  <si>
    <t>WSTCUF260</t>
  </si>
  <si>
    <t>Motor Protection Circuit Breaker BE2, 3-pole, 6-10A</t>
  </si>
  <si>
    <t>BE201000</t>
  </si>
  <si>
    <t>Auxiliary contact, front-mounting for BE2</t>
  </si>
  <si>
    <t>BE2ZAF11</t>
  </si>
  <si>
    <t>CAPUS Panel - Switch-disconnector 3 pole 25A</t>
  </si>
  <si>
    <t>SI338120</t>
  </si>
  <si>
    <t>CAPUS Panel - Set connection space cover</t>
  </si>
  <si>
    <t>SI336940</t>
  </si>
  <si>
    <t>CAPUS Panel - Extension shaft, length 300 mm</t>
  </si>
  <si>
    <t>SI336820</t>
  </si>
  <si>
    <t>CAPUS Panel - Rotary handle for door coupling drive, black</t>
  </si>
  <si>
    <t>SI336650</t>
  </si>
  <si>
    <t>LED-indicator monobloc 230VAC/DC red</t>
  </si>
  <si>
    <t>BZ501215-B</t>
  </si>
  <si>
    <t>LED-indicator monobloc 230VAC/DC green</t>
  </si>
  <si>
    <t>BZ501218-B</t>
  </si>
  <si>
    <t>Digital 1 channel day/week timer</t>
  </si>
  <si>
    <t>BZH14071</t>
  </si>
  <si>
    <t>Miniature Circuit Breaker (MCB) AMPARO 10kA, B 2A, 1-pole</t>
  </si>
  <si>
    <t>AM018102</t>
  </si>
  <si>
    <t xml:space="preserve">Consumables </t>
  </si>
  <si>
    <t>Misc</t>
  </si>
  <si>
    <t>Catania</t>
  </si>
  <si>
    <t>Item: 1.2</t>
  </si>
  <si>
    <t>Distech</t>
  </si>
  <si>
    <t>TS-DI 300</t>
  </si>
  <si>
    <t>Duct/Immersion Temperature sensor 300mm – NTC10K</t>
  </si>
  <si>
    <t>PS-DPS1500</t>
  </si>
  <si>
    <t>Air Differential Pressure switch, 100..1500 Pa</t>
  </si>
  <si>
    <t>Shrack</t>
  </si>
  <si>
    <t>IN809003</t>
  </si>
  <si>
    <t>4th Pole for LTS63‑LTS80 E</t>
  </si>
  <si>
    <t>MM216771</t>
  </si>
  <si>
    <t>Indicator light flat, white</t>
  </si>
  <si>
    <t>MM216772</t>
  </si>
  <si>
    <t>Indicator light flat, red</t>
  </si>
  <si>
    <t>MM216590</t>
  </si>
  <si>
    <t>Push-button flat, spring-return, black</t>
  </si>
  <si>
    <t>LP612010T</t>
  </si>
  <si>
    <t>Single Phase Control Transformer 230V/24V, 100VA, IP00</t>
  </si>
  <si>
    <t>MM229025</t>
  </si>
  <si>
    <t>Buzzer, continous tone, 18 - 30VDC</t>
  </si>
  <si>
    <t>IS506103</t>
  </si>
  <si>
    <t>Fuse Carrier 3-pole, 32A, 10x38</t>
  </si>
  <si>
    <t xml:space="preserve"> IS506101</t>
  </si>
  <si>
    <t>Fuse Carrier 1-pole, 32A, 10x38</t>
  </si>
  <si>
    <t>ISZ10001</t>
  </si>
  <si>
    <t>Cylindrical fuse link 10x38, 1A, characteristic gG, 500VAC</t>
  </si>
  <si>
    <t>LA100923</t>
  </si>
  <si>
    <t>Mini Contactor 3NO + 1NC, 20A, 230 VAC</t>
  </si>
  <si>
    <t xml:space="preserve"> ISZ10004</t>
  </si>
  <si>
    <t>Cylindrical fuse link 10x38, 4A, characteristic gG, 500VAC</t>
  </si>
  <si>
    <t>BM015106</t>
  </si>
  <si>
    <t>Miniature Circuit Breaker (MCB) DC-C6/1, 10kA</t>
  </si>
  <si>
    <t>BM015102</t>
  </si>
  <si>
    <t>Miniature Circuit Breaker (MCB) DC-C2/1, 10kA</t>
  </si>
  <si>
    <t>BE082882</t>
  </si>
  <si>
    <t>Auxiliary contact front, 1NO+1NC</t>
  </si>
  <si>
    <t>MM216392</t>
  </si>
  <si>
    <t>Legend plate holder black, without plate</t>
  </si>
  <si>
    <t>BE072896</t>
  </si>
  <si>
    <t>Auxiliary contact side, 1NO+1NC BE5/6</t>
  </si>
  <si>
    <t>IUKNE150</t>
  </si>
  <si>
    <t>Exhaust Filter 109x109x19mm, IP54, for IUKNF1523A</t>
  </si>
  <si>
    <t>AM018116</t>
  </si>
  <si>
    <t>Miniature Circuit Breaker (MCB) AMPARO 10kA, B 16A, 1-pole</t>
  </si>
  <si>
    <t>WSA6040150</t>
  </si>
  <si>
    <t>Wall-mounted enclosure 1 door IP65 H=600 W=400 D=155 mm</t>
  </si>
  <si>
    <t>Connected System Controller - Control, Automation and Connectivity Server with support of up to 28 I/O points and 3 Modbus devices. Embedded ENVYSION Studio &amp; Viewer.</t>
  </si>
  <si>
    <t>ECY-8UI6UO</t>
  </si>
  <si>
    <t>14 point I/O extension module for Connected System Controller.
Inputs: (8) Universal inputs.
Outputs: (6) Universal outputs.</t>
  </si>
  <si>
    <t>RXT21R24</t>
  </si>
  <si>
    <t>Narrow Industrial Relay, 2 CO, 24VAC, 5A, LED</t>
  </si>
  <si>
    <t>YRXT2010</t>
  </si>
  <si>
    <t>Screw socket, logical arrangement for 2-pole RXT relay</t>
  </si>
  <si>
    <t>BE506300</t>
  </si>
  <si>
    <t>Motor Protection Circuit Breaker, 3-pole, 4.0-6.3A</t>
  </si>
  <si>
    <t>ECY-PS100-240</t>
  </si>
  <si>
    <t>100 to 240VAC power supply module for Connected System Controller</t>
  </si>
  <si>
    <t>Mark Catania</t>
  </si>
  <si>
    <t>ECY-S1000E-28</t>
  </si>
  <si>
    <t>Basic ERV Control Panel</t>
  </si>
  <si>
    <t>Item: 1.3</t>
  </si>
  <si>
    <t>Basic HRU Control Panel</t>
  </si>
  <si>
    <t>Duct Humidity and Temperature (2%) transducer - 140mm - 2x 0..10 V</t>
  </si>
  <si>
    <t>HS-D TH 140 VV</t>
  </si>
  <si>
    <t>CAPUS Panel - Switch-disconnector 3 pole + N, 80A</t>
  </si>
  <si>
    <t>SI338890--</t>
  </si>
  <si>
    <t xml:space="preserve">CAPUS Panel - Set connection space cover </t>
  </si>
  <si>
    <t>SI336980--</t>
  </si>
  <si>
    <t>CAPUS Panel Rotary handle for door coupling drive yellow-red</t>
  </si>
  <si>
    <t>SI336660--</t>
  </si>
  <si>
    <t>SI336820--</t>
  </si>
  <si>
    <t>SI336950--</t>
  </si>
  <si>
    <t>Mini Contactor 3NO + 1NC, 20A, 230 VAC (Cut 24V for Emergency Stop or Fire Alarm)</t>
  </si>
  <si>
    <t>AM017102</t>
  </si>
  <si>
    <t>AM019106</t>
  </si>
  <si>
    <t>Filter and Fan - To DO</t>
  </si>
  <si>
    <t>Filter and Fan - To TO</t>
  </si>
  <si>
    <t>Filter and Fan - Thermostat - To Do</t>
  </si>
  <si>
    <t>Motor Protection Circuit Breaker, 3-pole, 4.0-6.3A (Cubico Model)</t>
  </si>
  <si>
    <t>XXXXXXX</t>
  </si>
  <si>
    <t>Back Plate - To DO - GRP Boxes only</t>
  </si>
  <si>
    <t>Enclosure Accessories</t>
  </si>
  <si>
    <t>Knitted Earth Cable</t>
  </si>
  <si>
    <t>WSACUF260</t>
  </si>
  <si>
    <t>B-BC Connected Equipment Controller with Eclypse Gen 1 software for rooftop and small air handling unit applications with 8 UI, 2 UO, 4 DO (Triac) and 2 DUO (triac or universal). Eclypse Designer Viewer mode only. Pre-loaded apps in SI units.</t>
  </si>
  <si>
    <t>ECY-303 (SI)</t>
  </si>
  <si>
    <t>Panel and Enclosure Consumables (Ferruls, Trunking, Labels etc.)</t>
  </si>
  <si>
    <t>Wiring - 3c 0.75mm Signal Cabling</t>
  </si>
  <si>
    <t>Screw earth terminal 6/10 mm², type AVK 6/10 T</t>
  </si>
  <si>
    <t>IK622010</t>
  </si>
  <si>
    <t>LED‑indicator monobloc 230VAC/DC white</t>
  </si>
  <si>
    <t>BZ501219-B</t>
  </si>
  <si>
    <t>LP602010T</t>
  </si>
  <si>
    <t>Contactor 3‑pole, CUBICO Classic, 5,5kW, 12A, 1NO+1NC, 24VAC</t>
  </si>
  <si>
    <t>LZDC12B0</t>
  </si>
  <si>
    <t>Basic EF Control Panel - DoL</t>
  </si>
  <si>
    <t>Wall‑mounted enclosure 1 door IP66 H=500 W=400 D=300mm</t>
  </si>
  <si>
    <t>WSA5040300</t>
  </si>
  <si>
    <t>Selector switch, 3 pos, stay-put, clamp handle</t>
  </si>
  <si>
    <t>MM216872 + accessories</t>
  </si>
  <si>
    <t>Basic EF Control Panel - With Inverter</t>
  </si>
  <si>
    <t>Inverter Added per Specific Fan Requirement</t>
  </si>
  <si>
    <t>Fuji Electric</t>
  </si>
  <si>
    <t>FDCP with ECY-303 and Modbus Interfaces</t>
  </si>
  <si>
    <t xml:space="preserve">Connected Equipment Controller with Eclypse Facilities - 4 UI, 2 UO, 2 DO (Triac) and 2 DUO (triac or universal) onboard IO. Max connectivity 25 connections. No connection included. Includes two years of Atrius Facilities - Organize. </t>
  </si>
  <si>
    <t>ECY-103-C1</t>
  </si>
  <si>
    <t>Modbus I/O Module - 4 digital inputs and 2 relay outputs - IP65, 230V</t>
  </si>
  <si>
    <t>MR-DIO4/2-IP65-Modbus_RTU-230V</t>
  </si>
  <si>
    <t>Single-phase Power Supply pulsing 230VAC/24VDC, 2,5A at 50°C</t>
  </si>
  <si>
    <t>LP412402--</t>
  </si>
  <si>
    <t>Miniature Circuit Breaker (MCB) AMPARO 10kA, C 6A, 1‑pole</t>
  </si>
  <si>
    <t>AM017106--</t>
  </si>
  <si>
    <t>Miniature Circuit Breaker (MCB) AMPARO 10kA, C 2A, 1-pole</t>
  </si>
  <si>
    <t>AM017102--</t>
  </si>
  <si>
    <t>LED-indicator monobloc  230VAC/DC white</t>
  </si>
  <si>
    <t>Miniature Circuit Breaker (MCB) AMPARO 10kA, C 1A, 1-pole</t>
  </si>
  <si>
    <t>AM017101--</t>
  </si>
  <si>
    <t>12Vdc Relay + Socket + Retaining clips + Marking tag + LED module</t>
  </si>
  <si>
    <t>24Vac relay (??? - fire signal might be connected directly to input)</t>
  </si>
  <si>
    <t>Enclosure - Wall Mounted - Size</t>
  </si>
  <si>
    <t>Simple Controller - Pump Set</t>
  </si>
  <si>
    <t>Accessories</t>
  </si>
  <si>
    <t>Item: XYZ</t>
  </si>
  <si>
    <t>Basic Panel</t>
  </si>
  <si>
    <t>MICRO (AS1) 3 ph / 400 V, without EMC-Filter, IP 20, 0,75kW</t>
  </si>
  <si>
    <t>FVR0.4AS1S-7E</t>
  </si>
  <si>
    <t>Labour - Delivery etc</t>
  </si>
  <si>
    <t>BMS Team</t>
  </si>
  <si>
    <t>001# Controllers</t>
  </si>
  <si>
    <t>002# Controller Modules</t>
  </si>
  <si>
    <t>003# Signal Cable</t>
  </si>
  <si>
    <t>004# Modbus Cable</t>
  </si>
  <si>
    <t>005# CAT Cable</t>
  </si>
  <si>
    <t>006# Control Panels MCC DDC Security Fire</t>
  </si>
  <si>
    <t>007# Field Devices</t>
  </si>
  <si>
    <t>008# DALI - KNX</t>
  </si>
  <si>
    <t>009# Fire Equipment</t>
  </si>
  <si>
    <t>010# Data Networks Equipment</t>
  </si>
  <si>
    <t>011# Panel Building</t>
  </si>
  <si>
    <t>012# Termination, Point Testing, FAT</t>
  </si>
  <si>
    <t>014# Basic EF Control Panel - With Inverter</t>
  </si>
  <si>
    <t>BE200630--</t>
  </si>
  <si>
    <t>BE082882--</t>
  </si>
  <si>
    <t>BE072896--</t>
  </si>
  <si>
    <t>Wall-mounted enclosure 1 door IP65 H=600 W=600 D=155 mm</t>
  </si>
  <si>
    <t>013# Basic Panel Components</t>
  </si>
  <si>
    <t>Electrical Site Pair</t>
  </si>
  <si>
    <t>ECA/BMS Engineer</t>
  </si>
  <si>
    <t>ECA/BMS Pair</t>
  </si>
  <si>
    <t>BMS - Tech - Single</t>
  </si>
  <si>
    <t>Edward/Mark + AGV</t>
  </si>
  <si>
    <t>UMUT - Electrical Team</t>
  </si>
  <si>
    <t>Portomaso L4 Dampers</t>
  </si>
  <si>
    <t>Damper for VAV boxes</t>
  </si>
  <si>
    <t>Fast running rotary actuator, 2 Nm, AC 100...240 V, 2...10 V</t>
  </si>
  <si>
    <t>Belimo</t>
  </si>
  <si>
    <t>TMC230ASR</t>
  </si>
  <si>
    <t>(incl Delivery Fee and Fitment)</t>
  </si>
  <si>
    <t>Double pole required</t>
  </si>
  <si>
    <t>Price includes delivery, fitting, basic power test</t>
  </si>
  <si>
    <t>Non-Failsafe 230V Fast Running Modulating Actuator</t>
  </si>
  <si>
    <t>Documentation Attached</t>
  </si>
  <si>
    <t>Termination, Testing, Sundries for Fitment</t>
  </si>
  <si>
    <t>Signal / Control wire excluded</t>
  </si>
  <si>
    <t xml:space="preserve">Fitment comprises - installing on Damper, Connection to double pole, basic power test. </t>
  </si>
  <si>
    <t>0-10V Signal for modulation. 2V closed / 10V open</t>
  </si>
  <si>
    <t>Item: 14</t>
  </si>
  <si>
    <t>230V / 0-10V - Actuator - 2NM for VAV box 350mm x 350mm</t>
  </si>
  <si>
    <t>230V / 0-10V - Actuator - 2NM for VAV box 400mm x 200mm</t>
  </si>
  <si>
    <t>Item: 21</t>
  </si>
  <si>
    <t>Item: 27</t>
  </si>
  <si>
    <t>Item: 34</t>
  </si>
  <si>
    <t>Labour Hours</t>
  </si>
  <si>
    <t>@ €33.72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</si>
</sst>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 numFmtId="182" formatCode="#,##0.00\ [$€-40C]"/>
  </numFmts>
  <fonts count="160">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s>
  <fills count="24">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solid">
        <fgColor theme="9" tint="0.79998168889431442"/>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4">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xf numFmtId="182" fontId="4" fillId="0" borderId="0"/>
    <xf numFmtId="0" fontId="4" fillId="0" borderId="0"/>
  </cellStyleXfs>
  <cellXfs count="932">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0" fontId="7" fillId="17"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1" fontId="7" fillId="0" borderId="0" xfId="10" applyFont="1" applyAlignment="1" applyProtection="1">
      <alignment wrapText="1"/>
      <protection locked="0"/>
    </xf>
    <xf numFmtId="2" fontId="7" fillId="0" borderId="0" xfId="10" applyNumberFormat="1" applyFont="1"/>
    <xf numFmtId="2" fontId="7" fillId="0" borderId="0" xfId="10" applyNumberFormat="1" applyFont="1" applyAlignment="1" applyProtection="1">
      <alignment wrapText="1"/>
      <protection locked="0"/>
    </xf>
    <xf numFmtId="0" fontId="1" fillId="0" borderId="3" xfId="13" applyFont="1" applyBorder="1" applyAlignment="1">
      <alignment horizontal="center"/>
    </xf>
    <xf numFmtId="0" fontId="4" fillId="0" borderId="0" xfId="13"/>
    <xf numFmtId="1" fontId="7" fillId="23" borderId="0" xfId="10" applyFont="1" applyFill="1" applyProtection="1">
      <protection locked="0"/>
    </xf>
    <xf numFmtId="1" fontId="15" fillId="23" borderId="0" xfId="10" applyFont="1" applyFill="1" applyProtection="1">
      <protection locked="0"/>
    </xf>
    <xf numFmtId="2" fontId="7" fillId="23" borderId="0" xfId="10" applyNumberFormat="1" applyFont="1" applyFill="1" applyProtection="1">
      <protection locked="0"/>
    </xf>
    <xf numFmtId="1" fontId="14" fillId="0" borderId="0" xfId="10" applyFont="1" applyAlignment="1" applyProtection="1">
      <alignment horizontal="left" vertical="top"/>
      <protection locked="0"/>
    </xf>
    <xf numFmtId="165" fontId="7" fillId="0" borderId="0" xfId="10" applyNumberFormat="1" applyFont="1" applyProtection="1">
      <protection locked="0"/>
    </xf>
    <xf numFmtId="0" fontId="131" fillId="0" borderId="0" xfId="13" applyFont="1" applyAlignment="1">
      <alignment horizontal="center"/>
    </xf>
    <xf numFmtId="0" fontId="102" fillId="0" borderId="0" xfId="13" applyFont="1" applyAlignment="1">
      <alignment horizontal="right"/>
    </xf>
    <xf numFmtId="1" fontId="15" fillId="0" borderId="0" xfId="10" applyFont="1" applyAlignment="1" applyProtection="1">
      <alignment horizontal="center" vertical="top"/>
      <protection locked="0"/>
    </xf>
    <xf numFmtId="1" fontId="53" fillId="2" borderId="3" xfId="10" applyFont="1" applyFill="1" applyBorder="1" applyAlignment="1">
      <alignment horizontal="center"/>
    </xf>
    <xf numFmtId="165" fontId="7" fillId="2" borderId="3" xfId="10" applyNumberFormat="1" applyFont="1" applyFill="1" applyBorder="1" applyAlignment="1">
      <alignment horizontal="center"/>
    </xf>
    <xf numFmtId="0" fontId="103" fillId="2" borderId="3" xfId="13" applyFont="1" applyFill="1" applyBorder="1" applyAlignment="1">
      <alignment horizontal="center"/>
    </xf>
    <xf numFmtId="0" fontId="10" fillId="17" borderId="18" xfId="13" applyFont="1" applyFill="1" applyBorder="1" applyAlignment="1">
      <alignment horizontal="center"/>
    </xf>
    <xf numFmtId="38" fontId="10" fillId="2" borderId="18" xfId="13" applyNumberFormat="1" applyFont="1" applyFill="1" applyBorder="1" applyAlignment="1">
      <alignment horizontal="center"/>
    </xf>
    <xf numFmtId="0" fontId="4" fillId="0" borderId="3" xfId="13" applyBorder="1" applyAlignment="1" applyProtection="1">
      <alignment horizontal="center"/>
      <protection locked="0"/>
    </xf>
    <xf numFmtId="0" fontId="77" fillId="14" borderId="3" xfId="13" applyFont="1" applyFill="1" applyBorder="1" applyAlignment="1" applyProtection="1">
      <alignment horizontal="center"/>
      <protection locked="0"/>
    </xf>
    <xf numFmtId="0" fontId="77" fillId="2" borderId="3" xfId="13" applyFont="1" applyFill="1" applyBorder="1" applyAlignment="1" applyProtection="1">
      <alignment horizontal="center"/>
      <protection locked="0"/>
    </xf>
    <xf numFmtId="0" fontId="77" fillId="12" borderId="3" xfId="13" applyFont="1" applyFill="1" applyBorder="1" applyAlignment="1" applyProtection="1">
      <alignment horizontal="center"/>
      <protection locked="0"/>
    </xf>
    <xf numFmtId="0" fontId="78" fillId="0" borderId="3" xfId="13" applyFont="1" applyBorder="1" applyAlignment="1" applyProtection="1">
      <alignment horizontal="center"/>
      <protection locked="0"/>
    </xf>
    <xf numFmtId="0" fontId="77" fillId="0" borderId="3" xfId="13" applyFont="1" applyBorder="1" applyAlignment="1" applyProtection="1">
      <alignment horizontal="center"/>
      <protection locked="0"/>
    </xf>
    <xf numFmtId="0" fontId="11" fillId="0" borderId="0" xfId="13" applyFont="1" applyProtection="1">
      <protection locked="0"/>
    </xf>
    <xf numFmtId="0" fontId="11" fillId="0" borderId="0" xfId="13" applyFont="1"/>
    <xf numFmtId="1" fontId="5" fillId="0" borderId="0" xfId="10" applyFont="1" applyAlignment="1">
      <alignment horizontal="center"/>
    </xf>
    <xf numFmtId="2" fontId="10" fillId="2" borderId="3" xfId="13" applyNumberFormat="1" applyFont="1" applyFill="1" applyBorder="1" applyAlignment="1">
      <alignment horizontal="center"/>
    </xf>
    <xf numFmtId="40" fontId="10" fillId="2" borderId="18" xfId="13" applyNumberFormat="1" applyFont="1" applyFill="1" applyBorder="1" applyAlignment="1">
      <alignment horizontal="center"/>
    </xf>
    <xf numFmtId="0" fontId="79" fillId="0" borderId="0" xfId="13" applyFont="1" applyProtection="1">
      <protection locked="0"/>
    </xf>
    <xf numFmtId="1" fontId="5" fillId="0" borderId="0" xfId="10" applyFont="1"/>
    <xf numFmtId="0" fontId="55" fillId="0" borderId="0" xfId="13" applyFont="1"/>
    <xf numFmtId="0" fontId="11" fillId="0" borderId="0" xfId="13" applyFont="1" applyAlignment="1">
      <alignment horizontal="centerContinuous"/>
    </xf>
    <xf numFmtId="0" fontId="55" fillId="2" borderId="29" xfId="13" applyFont="1" applyFill="1" applyBorder="1"/>
    <xf numFmtId="0" fontId="11" fillId="2" borderId="29" xfId="13" applyFont="1" applyFill="1" applyBorder="1"/>
    <xf numFmtId="0" fontId="57" fillId="2" borderId="6" xfId="13" applyFont="1" applyFill="1" applyBorder="1" applyAlignment="1">
      <alignment horizontal="center" vertical="center"/>
    </xf>
    <xf numFmtId="0" fontId="57" fillId="2" borderId="7" xfId="13" applyFont="1" applyFill="1" applyBorder="1" applyAlignment="1">
      <alignment horizontal="center" vertical="center"/>
    </xf>
    <xf numFmtId="0" fontId="7" fillId="0" borderId="0" xfId="3" applyFont="1" applyAlignment="1">
      <alignment horizontal="left"/>
    </xf>
    <xf numFmtId="0" fontId="4" fillId="0" borderId="0" xfId="13" applyProtection="1">
      <protection locked="0"/>
    </xf>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4" fontId="7" fillId="7" borderId="0" xfId="3" applyNumberFormat="1" applyFont="1" applyFill="1" applyProtection="1">
      <protection locked="0"/>
    </xf>
    <xf numFmtId="2" fontId="7" fillId="7" borderId="0" xfId="3" applyNumberFormat="1" applyFont="1" applyFill="1" applyProtection="1">
      <protection locked="0"/>
    </xf>
    <xf numFmtId="2" fontId="7" fillId="0" borderId="1" xfId="3" applyNumberFormat="1" applyFont="1" applyBorder="1" applyProtection="1">
      <protection locked="0"/>
    </xf>
    <xf numFmtId="1" fontId="16" fillId="0" borderId="0" xfId="10" applyFont="1" applyProtection="1">
      <protection locked="0"/>
    </xf>
    <xf numFmtId="0" fontId="18" fillId="0" borderId="1" xfId="3" applyFont="1" applyBorder="1" applyProtection="1">
      <protection locked="0"/>
    </xf>
    <xf numFmtId="0" fontId="4" fillId="0" borderId="1" xfId="13" applyBorder="1" applyProtection="1">
      <protection locked="0"/>
    </xf>
    <xf numFmtId="0" fontId="79" fillId="0" borderId="1" xfId="13" applyFont="1" applyBorder="1" applyProtection="1">
      <protection locked="0"/>
    </xf>
    <xf numFmtId="4" fontId="7" fillId="13" borderId="0" xfId="10" applyNumberFormat="1" applyFont="1" applyFill="1" applyAlignment="1" applyProtection="1">
      <alignment horizontal="right"/>
      <protection locked="0"/>
    </xf>
    <xf numFmtId="2" fontId="7" fillId="0" borderId="0" xfId="10" applyNumberFormat="1" applyFont="1" applyAlignment="1" applyProtection="1">
      <alignment horizontal="right"/>
      <protection locked="0"/>
    </xf>
    <xf numFmtId="4" fontId="7" fillId="8" borderId="0" xfId="3" applyNumberFormat="1" applyFont="1" applyFill="1" applyProtection="1">
      <protection locked="0"/>
    </xf>
    <xf numFmtId="4" fontId="7" fillId="9" borderId="0" xfId="3" applyNumberFormat="1" applyFont="1" applyFill="1" applyProtection="1">
      <protection locked="0"/>
    </xf>
    <xf numFmtId="4" fontId="7" fillId="10" borderId="0" xfId="3" applyNumberFormat="1" applyFont="1" applyFill="1" applyProtection="1">
      <protection locked="0"/>
    </xf>
    <xf numFmtId="4" fontId="7" fillId="11" borderId="0" xfId="3" applyNumberFormat="1" applyFont="1" applyFill="1" applyProtection="1">
      <protection locked="0"/>
    </xf>
    <xf numFmtId="0" fontId="15" fillId="0" borderId="1" xfId="3" applyFont="1" applyBorder="1" applyAlignment="1" applyProtection="1">
      <alignment horizontal="left"/>
      <protection locked="0"/>
    </xf>
    <xf numFmtId="4" fontId="15" fillId="2" borderId="1" xfId="3" applyNumberFormat="1" applyFont="1" applyFill="1" applyBorder="1" applyAlignment="1" applyProtection="1">
      <alignment horizontal="right"/>
      <protection locked="0"/>
    </xf>
    <xf numFmtId="1" fontId="15" fillId="2" borderId="1" xfId="10" applyFont="1" applyFill="1" applyBorder="1" applyAlignment="1" applyProtection="1">
      <alignment horizontal="center"/>
      <protection locked="0"/>
    </xf>
    <xf numFmtId="1" fontId="15" fillId="2" borderId="1" xfId="10" applyFont="1" applyFill="1" applyBorder="1" applyProtection="1">
      <protection locked="0"/>
    </xf>
    <xf numFmtId="2" fontId="15" fillId="2" borderId="1" xfId="10" applyNumberFormat="1" applyFont="1" applyFill="1" applyBorder="1" applyProtection="1">
      <protection locked="0"/>
    </xf>
    <xf numFmtId="2" fontId="15" fillId="2" borderId="1" xfId="3" applyNumberFormat="1" applyFont="1" applyFill="1" applyBorder="1" applyProtection="1">
      <protection locked="0"/>
    </xf>
    <xf numFmtId="0" fontId="15" fillId="0" borderId="0" xfId="3" applyFont="1" applyAlignment="1" applyProtection="1">
      <alignment horizontal="left"/>
      <protection locked="0"/>
    </xf>
    <xf numFmtId="2" fontId="7" fillId="0" borderId="12" xfId="3" applyNumberFormat="1" applyFont="1" applyBorder="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pplyProtection="1">
      <alignment horizontal="right"/>
      <protection locked="0"/>
    </xf>
    <xf numFmtId="0" fontId="7" fillId="2" borderId="0" xfId="3" applyFont="1" applyFill="1" applyAlignment="1" applyProtection="1">
      <alignment horizontal="center"/>
      <protection locked="0"/>
    </xf>
    <xf numFmtId="2" fontId="7" fillId="13" borderId="12" xfId="10" applyNumberFormat="1" applyFont="1" applyFill="1" applyBorder="1" applyProtection="1">
      <protection locked="0"/>
    </xf>
    <xf numFmtId="2" fontId="7" fillId="0" borderId="12" xfId="10" applyNumberFormat="1" applyFont="1" applyBorder="1" applyProtection="1">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applyAlignment="1" applyProtection="1">
      <alignment horizontal="right"/>
      <protection locked="0"/>
    </xf>
    <xf numFmtId="2" fontId="7" fillId="7" borderId="12" xfId="3" applyNumberFormat="1" applyFont="1" applyFill="1" applyBorder="1" applyProtection="1">
      <protection locked="0"/>
    </xf>
    <xf numFmtId="2" fontId="18" fillId="0" borderId="12" xfId="3" applyNumberFormat="1" applyFont="1" applyBorder="1" applyProtection="1">
      <protection locked="0"/>
    </xf>
    <xf numFmtId="4" fontId="7" fillId="6" borderId="12" xfId="3" applyNumberFormat="1" applyFont="1" applyFill="1" applyBorder="1" applyProtection="1">
      <protection locked="0"/>
    </xf>
    <xf numFmtId="2" fontId="7" fillId="6" borderId="12" xfId="3" applyNumberFormat="1" applyFont="1" applyFill="1" applyBorder="1" applyProtection="1">
      <protection locked="0"/>
    </xf>
    <xf numFmtId="0" fontId="7" fillId="0" borderId="13" xfId="13" applyFont="1" applyBorder="1" applyAlignment="1" applyProtection="1">
      <alignment horizontal="right"/>
      <protection locked="0"/>
    </xf>
    <xf numFmtId="49" fontId="142" fillId="17" borderId="20" xfId="13" applyNumberFormat="1" applyFont="1" applyFill="1" applyBorder="1" applyAlignment="1" applyProtection="1">
      <alignment horizontal="left"/>
      <protection locked="0"/>
    </xf>
    <xf numFmtId="1" fontId="26" fillId="0" borderId="0" xfId="10" applyFont="1" applyAlignment="1" applyProtection="1">
      <alignment horizontal="center"/>
      <protection locked="0"/>
    </xf>
    <xf numFmtId="0" fontId="3" fillId="0" borderId="13" xfId="13" applyFont="1" applyBorder="1" applyProtection="1">
      <protection locked="0"/>
    </xf>
    <xf numFmtId="0" fontId="15" fillId="0" borderId="13" xfId="13" applyFont="1" applyBorder="1" applyAlignment="1" applyProtection="1">
      <alignment horizontal="right"/>
      <protection locked="0"/>
    </xf>
    <xf numFmtId="0" fontId="4" fillId="0" borderId="13" xfId="13" applyBorder="1" applyProtection="1">
      <protection locked="0"/>
    </xf>
    <xf numFmtId="1" fontId="4" fillId="0" borderId="13" xfId="13" applyNumberFormat="1" applyBorder="1" applyProtection="1">
      <protection locked="0"/>
    </xf>
    <xf numFmtId="0" fontId="1" fillId="0" borderId="13" xfId="13" applyFont="1" applyBorder="1" applyProtection="1">
      <protection locked="0"/>
    </xf>
    <xf numFmtId="0" fontId="7" fillId="0" borderId="0" xfId="13" applyFont="1" applyAlignment="1" applyProtection="1">
      <alignment horizontal="right"/>
      <protection locked="0"/>
    </xf>
    <xf numFmtId="0" fontId="145" fillId="0" borderId="0" xfId="13" applyFont="1" applyAlignment="1" applyProtection="1">
      <alignment horizontal="left"/>
      <protection locked="0"/>
    </xf>
    <xf numFmtId="0" fontId="1" fillId="0" borderId="0" xfId="13" applyFont="1" applyAlignment="1" applyProtection="1">
      <alignment horizontal="center"/>
      <protection locked="0"/>
    </xf>
    <xf numFmtId="1" fontId="4" fillId="0" borderId="0" xfId="13" applyNumberFormat="1" applyProtection="1">
      <protection locked="0"/>
    </xf>
    <xf numFmtId="2" fontId="1" fillId="2" borderId="14" xfId="13" applyNumberFormat="1" applyFont="1" applyFill="1" applyBorder="1" applyAlignment="1" applyProtection="1">
      <alignment horizontal="right"/>
      <protection locked="0"/>
    </xf>
    <xf numFmtId="165" fontId="1" fillId="2" borderId="14" xfId="13" applyNumberFormat="1" applyFont="1" applyFill="1" applyBorder="1" applyProtection="1">
      <protection locked="0"/>
    </xf>
    <xf numFmtId="2" fontId="4" fillId="0" borderId="0" xfId="13" applyNumberFormat="1" applyProtection="1">
      <protection locked="0"/>
    </xf>
    <xf numFmtId="165" fontId="4" fillId="0" borderId="0" xfId="13" applyNumberFormat="1" applyProtection="1">
      <protection locked="0"/>
    </xf>
    <xf numFmtId="0" fontId="7" fillId="0" borderId="0" xfId="13" applyFont="1" applyProtection="1">
      <protection locked="0"/>
    </xf>
    <xf numFmtId="0" fontId="7" fillId="0" borderId="1" xfId="13" applyFont="1" applyBorder="1" applyAlignment="1" applyProtection="1">
      <alignment horizontal="right"/>
      <protection locked="0"/>
    </xf>
    <xf numFmtId="0" fontId="27" fillId="0" borderId="1" xfId="13" applyFont="1" applyBorder="1" applyAlignment="1" applyProtection="1">
      <alignment horizontal="left"/>
      <protection locked="0"/>
    </xf>
    <xf numFmtId="1" fontId="26" fillId="0" borderId="1" xfId="10" applyFont="1" applyBorder="1" applyAlignment="1" applyProtection="1">
      <alignment horizontal="center"/>
      <protection locked="0"/>
    </xf>
    <xf numFmtId="0" fontId="7" fillId="0" borderId="1" xfId="13" applyFont="1" applyBorder="1" applyProtection="1">
      <protection locked="0"/>
    </xf>
    <xf numFmtId="0" fontId="1" fillId="0" borderId="1" xfId="13" applyFont="1" applyBorder="1" applyAlignment="1" applyProtection="1">
      <alignment horizontal="center"/>
      <protection locked="0"/>
    </xf>
    <xf numFmtId="1" fontId="4" fillId="0" borderId="1" xfId="13" applyNumberFormat="1" applyBorder="1" applyProtection="1">
      <protection locked="0"/>
    </xf>
    <xf numFmtId="0" fontId="28" fillId="0" borderId="0" xfId="13" applyFont="1" applyProtection="1">
      <protection locked="0"/>
    </xf>
    <xf numFmtId="0" fontId="1" fillId="0" borderId="0" xfId="13" applyFont="1" applyAlignment="1" applyProtection="1">
      <alignment horizontal="left"/>
      <protection locked="0"/>
    </xf>
    <xf numFmtId="0" fontId="29" fillId="0" borderId="0" xfId="13" applyFont="1" applyAlignment="1" applyProtection="1">
      <alignment horizontal="center"/>
      <protection locked="0"/>
    </xf>
    <xf numFmtId="2" fontId="4" fillId="0" borderId="1" xfId="13" applyNumberFormat="1" applyBorder="1" applyProtection="1">
      <protection locked="0"/>
    </xf>
    <xf numFmtId="165" fontId="4" fillId="0" borderId="1" xfId="13" applyNumberFormat="1" applyBorder="1" applyProtection="1">
      <protection locked="0"/>
    </xf>
    <xf numFmtId="0" fontId="28" fillId="0" borderId="1" xfId="13" applyFont="1" applyBorder="1" applyProtection="1">
      <protection locked="0"/>
    </xf>
    <xf numFmtId="0" fontId="1" fillId="0" borderId="15" xfId="13" applyFont="1" applyBorder="1" applyAlignment="1" applyProtection="1">
      <alignment horizontal="left"/>
      <protection locked="0"/>
    </xf>
    <xf numFmtId="0" fontId="30" fillId="0" borderId="15" xfId="13" applyFont="1" applyBorder="1" applyAlignment="1" applyProtection="1">
      <alignment horizontal="center"/>
      <protection locked="0"/>
    </xf>
    <xf numFmtId="0" fontId="4" fillId="0" borderId="15" xfId="13" applyBorder="1" applyProtection="1">
      <protection locked="0"/>
    </xf>
    <xf numFmtId="1" fontId="4" fillId="0" borderId="15" xfId="13" applyNumberFormat="1" applyBorder="1" applyProtection="1">
      <protection locked="0"/>
    </xf>
    <xf numFmtId="0" fontId="14" fillId="0" borderId="0" xfId="13" applyFont="1" applyProtection="1">
      <protection locked="0"/>
    </xf>
    <xf numFmtId="2" fontId="4" fillId="0" borderId="15" xfId="13" applyNumberFormat="1" applyBorder="1" applyAlignment="1" applyProtection="1">
      <alignment horizontal="right"/>
      <protection locked="0"/>
    </xf>
    <xf numFmtId="165" fontId="4" fillId="0" borderId="15" xfId="13" applyNumberFormat="1" applyBorder="1" applyProtection="1">
      <protection locked="0"/>
    </xf>
    <xf numFmtId="2" fontId="7" fillId="14" borderId="3" xfId="3" applyNumberFormat="1" applyFont="1" applyFill="1" applyBorder="1" applyProtection="1">
      <protection locked="0"/>
    </xf>
    <xf numFmtId="1" fontId="62" fillId="0" borderId="0" xfId="13" applyNumberFormat="1" applyFont="1" applyProtection="1">
      <protection locked="0"/>
    </xf>
    <xf numFmtId="2" fontId="7" fillId="3" borderId="0" xfId="3" applyNumberFormat="1" applyFont="1" applyFill="1" applyAlignment="1" applyProtection="1">
      <alignment vertical="top"/>
      <protection locked="0"/>
    </xf>
    <xf numFmtId="2" fontId="7" fillId="0" borderId="0" xfId="3" applyNumberFormat="1" applyFont="1" applyAlignment="1" applyProtection="1">
      <alignment vertical="top"/>
      <protection locked="0"/>
    </xf>
    <xf numFmtId="1" fontId="62" fillId="0" borderId="0" xfId="10" applyFont="1" applyAlignment="1" applyProtection="1">
      <alignment horizontal="left" vertical="top"/>
      <protection locked="0"/>
    </xf>
    <xf numFmtId="1" fontId="62" fillId="0" borderId="0" xfId="0" applyNumberFormat="1" applyFont="1" applyAlignment="1" applyProtection="1">
      <alignment horizontal="left" vertical="top"/>
      <protection locked="0"/>
    </xf>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62" fillId="16" borderId="1" xfId="10" applyNumberFormat="1" applyFont="1" applyFill="1" applyBorder="1" applyAlignment="1">
      <alignment horizontal="center" vertical="top"/>
    </xf>
    <xf numFmtId="2" fontId="7" fillId="0" borderId="0" xfId="10" applyNumberFormat="1" applyFont="1" applyAlignment="1" applyProtection="1">
      <alignment vertical="top"/>
      <protection locked="0"/>
    </xf>
    <xf numFmtId="2" fontId="7" fillId="3" borderId="0" xfId="10" applyNumberFormat="1" applyFont="1" applyFill="1"/>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65"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xf numFmtId="4" fontId="15" fillId="4" borderId="18" xfId="3" applyNumberFormat="1" applyFont="1" applyFill="1" applyBorder="1" applyAlignment="1">
      <alignment horizontal="right"/>
    </xf>
    <xf numFmtId="4" fontId="15" fillId="4" borderId="16" xfId="3" applyNumberFormat="1" applyFont="1" applyFill="1" applyBorder="1" applyAlignment="1">
      <alignment horizontal="right"/>
    </xf>
    <xf numFmtId="2" fontId="13" fillId="4" borderId="3" xfId="3" applyNumberFormat="1" applyFont="1" applyFill="1" applyBorder="1" applyAlignment="1" applyProtection="1">
      <alignment horizontal="center"/>
      <protection locked="0"/>
    </xf>
    <xf numFmtId="4" fontId="13" fillId="4" borderId="3" xfId="3" applyNumberFormat="1" applyFont="1" applyFill="1" applyBorder="1" applyAlignment="1">
      <alignment horizontal="center"/>
    </xf>
    <xf numFmtId="2" fontId="15" fillId="4" borderId="3" xfId="3" applyNumberFormat="1" applyFont="1" applyFill="1" applyBorder="1" applyAlignment="1">
      <alignment horizontal="center"/>
    </xf>
    <xf numFmtId="2" fontId="7" fillId="4" borderId="3" xfId="3" applyNumberFormat="1" applyFont="1" applyFill="1" applyBorder="1" applyAlignment="1">
      <alignment horizontal="center"/>
    </xf>
    <xf numFmtId="0" fontId="1" fillId="0" borderId="25" xfId="0" applyFont="1" applyBorder="1" applyAlignment="1">
      <alignment vertical="top" wrapText="1"/>
    </xf>
    <xf numFmtId="1" fontId="4" fillId="0" borderId="25" xfId="0" applyNumberFormat="1" applyFont="1" applyBorder="1" applyAlignment="1">
      <alignment vertical="top" wrapText="1"/>
    </xf>
    <xf numFmtId="4" fontId="1" fillId="0" borderId="11" xfId="0" quotePrefix="1" applyNumberFormat="1" applyFont="1" applyBorder="1" applyAlignment="1">
      <alignment horizontal="center" vertical="top"/>
    </xf>
  </cellXfs>
  <cellStyles count="14">
    <cellStyle name="Comma" xfId="1" builtinId="3"/>
    <cellStyle name="Currency_Estimate" xfId="2" xr:uid="{00000000-0005-0000-0000-000001000000}"/>
    <cellStyle name="Normal" xfId="0" builtinId="0"/>
    <cellStyle name="Normal 196 2" xfId="12" xr:uid="{9213255B-E455-4549-B624-4A8FBC3F2EAF}"/>
    <cellStyle name="Normal 2" xfId="9" xr:uid="{00000000-0005-0000-0000-000003000000}"/>
    <cellStyle name="Normal 2 2" xfId="13" xr:uid="{628EAEEA-A4AC-4C29-978E-106E9A50A0C6}"/>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91440</xdr:colOff>
          <xdr:row>2</xdr:row>
          <xdr:rowOff>53340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512445</xdr:colOff>
          <xdr:row>2</xdr:row>
          <xdr:rowOff>207645</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133350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167640</xdr:colOff>
          <xdr:row>4</xdr:row>
          <xdr:rowOff>91440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57150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95250</xdr:colOff>
          <xdr:row>6</xdr:row>
          <xdr:rowOff>17145</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55245</xdr:colOff>
          <xdr:row>7</xdr:row>
          <xdr:rowOff>15240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510540</xdr:colOff>
          <xdr:row>8</xdr:row>
          <xdr:rowOff>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624840</xdr:colOff>
          <xdr:row>8</xdr:row>
          <xdr:rowOff>131445</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15240</xdr:colOff>
          <xdr:row>10</xdr:row>
          <xdr:rowOff>129540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129540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Execution Approx. 6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6) Delivery of Equipment - 2 as at time of quoting.</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10) Requires Double Pole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11) </a:t>
          </a:r>
          <a:r>
            <a:rPr lang="en-GB" sz="1000" b="0" i="0">
              <a:effectLst/>
              <a:latin typeface="+mn-lt"/>
              <a:ea typeface="+mn-ea"/>
              <a:cs typeface="+mn-cs"/>
            </a:rPr>
            <a:t>Price includes delivery, fitting, basic power test</a:t>
          </a:r>
          <a:r>
            <a:rPr lang="en-GB" sz="1000">
              <a:effectLst/>
              <a:latin typeface="+mn-lt"/>
              <a:ea typeface="+mn-ea"/>
              <a:cs typeface="+mn-cs"/>
            </a:rPr>
            <a:t> </a:t>
          </a:r>
        </a:p>
        <a:p>
          <a:pPr algn="l" rtl="0">
            <a:lnSpc>
              <a:spcPts val="1100"/>
            </a:lnSpc>
            <a:defRPr sz="1000"/>
          </a:pPr>
          <a:r>
            <a:rPr lang="en-GB" sz="1000" b="0" i="0" u="none" strike="noStrike" baseline="0">
              <a:solidFill>
                <a:srgbClr val="000000"/>
              </a:solidFill>
              <a:effectLst/>
              <a:latin typeface="+mn-lt"/>
              <a:ea typeface="+mn-ea"/>
              <a:cs typeface="+mn-cs"/>
            </a:rPr>
            <a:t>12) Belimo Actuator - </a:t>
          </a:r>
          <a:r>
            <a:rPr lang="en-GB" sz="1000" b="0" i="0">
              <a:effectLst/>
              <a:latin typeface="+mn-lt"/>
              <a:ea typeface="+mn-ea"/>
              <a:cs typeface="+mn-cs"/>
            </a:rPr>
            <a:t>Non-Failsafe 230V Fast Running Modulating Actuator</a:t>
          </a:r>
        </a:p>
        <a:p>
          <a:pPr algn="l" rtl="0">
            <a:lnSpc>
              <a:spcPts val="1100"/>
            </a:lnSpc>
            <a:defRPr sz="1000"/>
          </a:pPr>
          <a:r>
            <a:rPr lang="en-GB" sz="1000" b="0" i="0" u="none" strike="noStrike" baseline="0">
              <a:solidFill>
                <a:srgbClr val="000000"/>
              </a:solidFill>
              <a:effectLst/>
              <a:latin typeface="+mn-lt"/>
              <a:ea typeface="+mn-ea"/>
              <a:cs typeface="+mn-cs"/>
            </a:rPr>
            <a:t>13) </a:t>
          </a:r>
          <a:r>
            <a:rPr lang="en-GB" sz="1000" b="0" i="0">
              <a:effectLst/>
              <a:latin typeface="+mn-lt"/>
              <a:ea typeface="+mn-ea"/>
              <a:cs typeface="+mn-cs"/>
            </a:rPr>
            <a:t>Fitment comprises - installing on Damper, Connection to double pole, basic power test. </a:t>
          </a:r>
          <a:r>
            <a:rPr lang="en-GB" sz="1000">
              <a:effectLst/>
              <a:latin typeface="+mn-lt"/>
              <a:ea typeface="+mn-ea"/>
              <a:cs typeface="+mn-cs"/>
            </a:rPr>
            <a:t> </a:t>
          </a:r>
        </a:p>
        <a:p>
          <a:pPr marL="0" marR="0" lvl="0" indent="0" algn="l" defTabSz="914400" rtl="0" eaLnBrk="1" fontAlgn="auto" latinLnBrk="0" hangingPunct="1">
            <a:lnSpc>
              <a:spcPts val="1100"/>
            </a:lnSpc>
            <a:spcBef>
              <a:spcPts val="0"/>
            </a:spcBef>
            <a:spcAft>
              <a:spcPts val="0"/>
            </a:spcAft>
            <a:buClrTx/>
            <a:buSzTx/>
            <a:buFontTx/>
            <a:buNone/>
            <a:tabLst/>
            <a:defRPr sz="1000"/>
          </a:pPr>
          <a:r>
            <a:rPr lang="en-GB" sz="1000" b="0" i="0" u="none" strike="noStrike" baseline="0">
              <a:solidFill>
                <a:srgbClr val="000000"/>
              </a:solidFill>
              <a:effectLst/>
              <a:latin typeface="+mn-lt"/>
              <a:ea typeface="+mn-ea"/>
              <a:cs typeface="+mn-cs"/>
            </a:rPr>
            <a:t>14) </a:t>
          </a:r>
          <a:r>
            <a:rPr lang="en-GB" sz="1000" b="0" i="0">
              <a:effectLst/>
              <a:latin typeface="+mn-lt"/>
              <a:ea typeface="+mn-ea"/>
              <a:cs typeface="+mn-cs"/>
            </a:rPr>
            <a:t>0-10V Signal for modulation. 2V closed / 10V open</a:t>
          </a:r>
          <a:r>
            <a:rPr lang="en-GB" sz="1000">
              <a:effectLst/>
              <a:latin typeface="+mn-lt"/>
              <a:ea typeface="+mn-ea"/>
              <a:cs typeface="+mn-cs"/>
            </a:rPr>
            <a:t> </a:t>
          </a:r>
          <a:endParaRPr lang="en-GB">
            <a:effectLst/>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000"/>
            </a:lnSpc>
            <a:defRPr sz="1000"/>
          </a:pPr>
          <a:r>
            <a:rPr lang="en-GB" sz="1000" b="0" i="0" u="none" strike="noStrike" baseline="0">
              <a:solidFill>
                <a:srgbClr val="000000"/>
              </a:solidFill>
              <a:effectLst/>
              <a:latin typeface="Mark Pro Book" panose="020B0604020201010104" pitchFamily="34" charset="0"/>
              <a:ea typeface="+mn-ea"/>
              <a:cs typeface="Arial"/>
            </a:rPr>
            <a:t>7) Works up high - and any scaffolding / lifts required. </a:t>
          </a:r>
        </a:p>
        <a:p>
          <a:pPr algn="l" rtl="0">
            <a:lnSpc>
              <a:spcPts val="1000"/>
            </a:lnSpc>
            <a:defRPr sz="1000"/>
          </a:pPr>
          <a:r>
            <a:rPr lang="en-GB" sz="1000" b="0" i="0" u="none" strike="noStrike" baseline="0">
              <a:solidFill>
                <a:srgbClr val="000000"/>
              </a:solidFill>
              <a:effectLst/>
              <a:latin typeface="Mark Pro Book" panose="020B0604020201010104" pitchFamily="34" charset="0"/>
              <a:ea typeface="+mn-ea"/>
              <a:cs typeface="Arial"/>
            </a:rPr>
            <a:t>8) </a:t>
          </a:r>
          <a:r>
            <a:rPr lang="en-GB" sz="1000" b="0" i="0">
              <a:effectLst/>
              <a:latin typeface="+mn-lt"/>
              <a:ea typeface="+mn-ea"/>
              <a:cs typeface="+mn-cs"/>
            </a:rPr>
            <a:t>Signal / Control</a:t>
          </a:r>
          <a:r>
            <a:rPr lang="en-GB" sz="1000" b="0" i="0" baseline="0">
              <a:effectLst/>
              <a:latin typeface="+mn-lt"/>
              <a:ea typeface="+mn-ea"/>
              <a:cs typeface="+mn-cs"/>
            </a:rPr>
            <a:t> Wires</a:t>
          </a: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49</xdr:row>
      <xdr:rowOff>9525</xdr:rowOff>
    </xdr:from>
    <xdr:to>
      <xdr:col>5</xdr:col>
      <xdr:colOff>628650</xdr:colOff>
      <xdr:row>50</xdr:row>
      <xdr:rowOff>123825</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3905250" y="7991475"/>
          <a:ext cx="2324100" cy="276225"/>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twoCellAnchor>
    <xdr:from>
      <xdr:col>1</xdr:col>
      <xdr:colOff>975360</xdr:colOff>
      <xdr:row>17</xdr:row>
      <xdr:rowOff>114523</xdr:rowOff>
    </xdr:from>
    <xdr:to>
      <xdr:col>17</xdr:col>
      <xdr:colOff>326877</xdr:colOff>
      <xdr:row>23</xdr:row>
      <xdr:rowOff>85836</xdr:rowOff>
    </xdr:to>
    <xdr:sp macro="" textlink="">
      <xdr:nvSpPr>
        <xdr:cNvPr id="3" name="TextBox 2">
          <a:extLst>
            <a:ext uri="{FF2B5EF4-FFF2-40B4-BE49-F238E27FC236}">
              <a16:creationId xmlns:a16="http://schemas.microsoft.com/office/drawing/2014/main" id="{4BB7C371-733D-4145-5F23-835F602BC53A}"/>
            </a:ext>
          </a:extLst>
        </xdr:cNvPr>
        <xdr:cNvSpPr txBox="1"/>
      </xdr:nvSpPr>
      <xdr:spPr>
        <a:xfrm>
          <a:off x="1726154" y="3140111"/>
          <a:ext cx="6007811" cy="979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UMUT - make</a:t>
          </a:r>
          <a:r>
            <a:rPr lang="en-GB" sz="1100" baseline="0"/>
            <a:t> sure to include documentation and all the conditions and exclustion in the QUOTE TAB.</a:t>
          </a:r>
        </a:p>
        <a:p>
          <a:r>
            <a:rPr lang="en-GB" sz="1100" baseline="0"/>
            <a:t>(Labour rate above is at COST.)</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20Projects/P285%20-%20Marsa%20Warehouse/1.%20Estimate/Marsa_Warehouse_ELM_P285.1_0.1.xlsx" TargetMode="External"/><Relationship Id="rId2" Type="http://schemas.openxmlformats.org/officeDocument/2006/relationships/externalLinkPath" Target="file:///\\pclnas\bms\1.%20Estimates\2.%20Projects\P285%20-%20Marsa%20Warehouse\1.%20Estimate\Marsa_Warehouse_ELM_P285.1_0.1.xlsx" TargetMode="External"/><Relationship Id="rId1" Type="http://schemas.openxmlformats.org/officeDocument/2006/relationships/externalLinkPath" Target="/1.%20Estimates/2.%20Projects/P285%20-%20Marsa%20Warehouse/1.%20Estimate/Marsa_Warehouse_ELM_P285.1_0.1.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2.%20Projects/P282%20-%20Intercontinental%20Retrofit%20(AWARDED)/1.%20Estimate/C25_Intercontinental_Retrofit_BMS_P282.8_R0.1_AHU12.xlsx" TargetMode="External"/><Relationship Id="rId2" Type="http://schemas.openxmlformats.org/officeDocument/2006/relationships/externalLinkPath" Target="file:///\\pclnas\bms\1.%20Estimates\2.%20Projects\P282%20-%20Intercontinental%20Retrofit%20(AWARDED)\1.%20Estimate\C25_Intercontinental_Retrofit_BMS_P282.8_R0.1_AHU12.xlsx" TargetMode="External"/><Relationship Id="rId1" Type="http://schemas.openxmlformats.org/officeDocument/2006/relationships/externalLinkPath" Target="/1.%20Estimates/2.%20Projects/P282%20-%20Intercontinental%20Retrofit%20(AWARDED)/1.%20Estimate/C25_Intercontinental_Retrofit_BMS_P282.8_R0.1_AHU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s"/>
      <sheetName val="ML_Sum"/>
      <sheetName val="Quote"/>
      <sheetName val="Elec_Rates"/>
      <sheetName val="Elec_Est"/>
      <sheetName val="Example_Blocks"/>
      <sheetName val="E_BOQ"/>
      <sheetName val="E_BOQ - For JC &amp; RF"/>
      <sheetName val="E_DBOQ"/>
    </sheetNames>
    <sheetDataSet>
      <sheetData sheetId="0"/>
      <sheetData sheetId="1">
        <row r="1">
          <cell r="C1">
            <v>1</v>
          </cell>
          <cell r="J1">
            <v>1</v>
          </cell>
          <cell r="K1">
            <v>1</v>
          </cell>
          <cell r="L1">
            <v>1</v>
          </cell>
          <cell r="M1">
            <v>1</v>
          </cell>
          <cell r="N1">
            <v>1</v>
          </cell>
          <cell r="O1">
            <v>1</v>
          </cell>
          <cell r="Q1" t="str">
            <v>€</v>
          </cell>
          <cell r="S1" t="str">
            <v>R</v>
          </cell>
          <cell r="T1">
            <v>1</v>
          </cell>
          <cell r="W1" t="str">
            <v>BOQ</v>
          </cell>
          <cell r="X1" t="str">
            <v>x</v>
          </cell>
          <cell r="Y1" t="str">
            <v>x</v>
          </cell>
          <cell r="Z1" t="str">
            <v>x</v>
          </cell>
          <cell r="AA1" t="str">
            <v>x</v>
          </cell>
          <cell r="AB1" t="str">
            <v>x</v>
          </cell>
          <cell r="AC1" t="str">
            <v>x</v>
          </cell>
          <cell r="AD1" t="str">
            <v>x</v>
          </cell>
        </row>
        <row r="2">
          <cell r="C2">
            <v>1</v>
          </cell>
          <cell r="D2" t="str">
            <v>Marsa Warehouse</v>
          </cell>
          <cell r="F2" t="str">
            <v>Controls</v>
          </cell>
          <cell r="J2">
            <v>1</v>
          </cell>
          <cell r="K2">
            <v>1</v>
          </cell>
          <cell r="L2">
            <v>1</v>
          </cell>
          <cell r="M2">
            <v>1</v>
          </cell>
          <cell r="N2">
            <v>1</v>
          </cell>
          <cell r="O2">
            <v>1</v>
          </cell>
          <cell r="S2">
            <v>1</v>
          </cell>
          <cell r="T2">
            <v>27.46</v>
          </cell>
          <cell r="X2" t="str">
            <v>x</v>
          </cell>
          <cell r="Y2" t="str">
            <v>x</v>
          </cell>
          <cell r="Z2" t="str">
            <v>x</v>
          </cell>
          <cell r="AA2" t="str">
            <v>x</v>
          </cell>
          <cell r="AB2" t="str">
            <v>x</v>
          </cell>
          <cell r="AC2" t="str">
            <v>x</v>
          </cell>
          <cell r="AD2" t="str">
            <v>x</v>
          </cell>
        </row>
        <row r="3">
          <cell r="C3">
            <v>1</v>
          </cell>
          <cell r="D3" t="str">
            <v>Tender</v>
          </cell>
          <cell r="F3" t="str">
            <v>Preliminaries</v>
          </cell>
          <cell r="J3">
            <v>1</v>
          </cell>
          <cell r="K3">
            <v>1</v>
          </cell>
          <cell r="L3">
            <v>1</v>
          </cell>
          <cell r="M3">
            <v>1</v>
          </cell>
          <cell r="N3">
            <v>1</v>
          </cell>
          <cell r="O3">
            <v>1</v>
          </cell>
          <cell r="S3">
            <v>1</v>
          </cell>
          <cell r="T3">
            <v>27.46</v>
          </cell>
          <cell r="X3" t="str">
            <v>x</v>
          </cell>
          <cell r="Y3" t="str">
            <v>x</v>
          </cell>
          <cell r="Z3" t="str">
            <v>x</v>
          </cell>
          <cell r="AA3" t="str">
            <v>x</v>
          </cell>
          <cell r="AB3" t="str">
            <v>x</v>
          </cell>
          <cell r="AC3" t="str">
            <v>x</v>
          </cell>
          <cell r="AD3" t="str">
            <v>x</v>
          </cell>
        </row>
        <row r="4">
          <cell r="C4">
            <v>1</v>
          </cell>
          <cell r="D4" t="str">
            <v>TBC</v>
          </cell>
          <cell r="F4" t="str">
            <v>BMS - Pair</v>
          </cell>
          <cell r="J4">
            <v>1</v>
          </cell>
          <cell r="K4">
            <v>1</v>
          </cell>
          <cell r="L4">
            <v>1</v>
          </cell>
          <cell r="M4">
            <v>1</v>
          </cell>
          <cell r="N4">
            <v>1</v>
          </cell>
          <cell r="O4">
            <v>1</v>
          </cell>
          <cell r="S4">
            <v>1.3</v>
          </cell>
          <cell r="T4">
            <v>43.835999999999999</v>
          </cell>
          <cell r="X4" t="str">
            <v>x</v>
          </cell>
          <cell r="Y4" t="str">
            <v>x</v>
          </cell>
          <cell r="Z4" t="str">
            <v>x</v>
          </cell>
          <cell r="AA4" t="str">
            <v>x</v>
          </cell>
          <cell r="AB4" t="str">
            <v>x</v>
          </cell>
          <cell r="AC4" t="str">
            <v>x</v>
          </cell>
          <cell r="AD4" t="str">
            <v>x</v>
          </cell>
        </row>
        <row r="5">
          <cell r="C5">
            <v>1</v>
          </cell>
          <cell r="F5" t="str">
            <v>BMS - Tech</v>
          </cell>
          <cell r="J5">
            <v>1</v>
          </cell>
          <cell r="K5">
            <v>1</v>
          </cell>
          <cell r="L5">
            <v>1</v>
          </cell>
          <cell r="M5">
            <v>1</v>
          </cell>
          <cell r="N5">
            <v>1</v>
          </cell>
          <cell r="O5">
            <v>1</v>
          </cell>
          <cell r="S5">
            <v>1.3</v>
          </cell>
          <cell r="T5">
            <v>27.872000000000003</v>
          </cell>
          <cell r="X5" t="str">
            <v>x</v>
          </cell>
          <cell r="Y5" t="str">
            <v>x</v>
          </cell>
          <cell r="Z5" t="str">
            <v>x</v>
          </cell>
          <cell r="AA5" t="str">
            <v>x</v>
          </cell>
          <cell r="AB5" t="str">
            <v>x</v>
          </cell>
          <cell r="AC5" t="str">
            <v>x</v>
          </cell>
          <cell r="AD5" t="str">
            <v>x</v>
          </cell>
        </row>
        <row r="6">
          <cell r="C6">
            <v>1</v>
          </cell>
          <cell r="D6" t="str">
            <v>VAT EXCL.</v>
          </cell>
          <cell r="F6" t="str">
            <v>BMS - Engineer</v>
          </cell>
          <cell r="J6">
            <v>1</v>
          </cell>
          <cell r="K6">
            <v>1</v>
          </cell>
          <cell r="L6">
            <v>1</v>
          </cell>
          <cell r="M6">
            <v>1</v>
          </cell>
          <cell r="N6">
            <v>1</v>
          </cell>
          <cell r="O6">
            <v>1</v>
          </cell>
          <cell r="S6">
            <v>1.3</v>
          </cell>
          <cell r="T6">
            <v>39</v>
          </cell>
          <cell r="X6" t="str">
            <v>x</v>
          </cell>
          <cell r="Y6" t="str">
            <v>x</v>
          </cell>
          <cell r="Z6" t="str">
            <v>x</v>
          </cell>
          <cell r="AA6" t="str">
            <v>x</v>
          </cell>
          <cell r="AB6" t="str">
            <v>x</v>
          </cell>
          <cell r="AC6" t="str">
            <v>x</v>
          </cell>
          <cell r="AD6" t="str">
            <v>x</v>
          </cell>
        </row>
        <row r="7">
          <cell r="C7">
            <v>1</v>
          </cell>
          <cell r="J7">
            <v>1</v>
          </cell>
          <cell r="K7">
            <v>1</v>
          </cell>
          <cell r="L7">
            <v>1</v>
          </cell>
          <cell r="M7">
            <v>1</v>
          </cell>
          <cell r="N7">
            <v>1</v>
          </cell>
          <cell r="X7" t="str">
            <v>x</v>
          </cell>
          <cell r="Y7" t="str">
            <v>x</v>
          </cell>
          <cell r="Z7" t="str">
            <v>x</v>
          </cell>
          <cell r="AA7" t="str">
            <v>x</v>
          </cell>
          <cell r="AB7" t="str">
            <v>x</v>
          </cell>
          <cell r="AC7" t="str">
            <v>x</v>
          </cell>
          <cell r="AD7" t="str">
            <v>x</v>
          </cell>
        </row>
        <row r="8">
          <cell r="C8">
            <v>1</v>
          </cell>
          <cell r="D8" t="str">
            <v>G. Baranyay</v>
          </cell>
          <cell r="J8">
            <v>1</v>
          </cell>
          <cell r="K8">
            <v>1</v>
          </cell>
          <cell r="L8">
            <v>1</v>
          </cell>
          <cell r="M8">
            <v>1</v>
          </cell>
          <cell r="N8">
            <v>1</v>
          </cell>
          <cell r="X8" t="str">
            <v>x</v>
          </cell>
          <cell r="Y8" t="str">
            <v>x</v>
          </cell>
          <cell r="Z8" t="str">
            <v>x</v>
          </cell>
          <cell r="AA8" t="str">
            <v>x</v>
          </cell>
          <cell r="AB8" t="str">
            <v>x</v>
          </cell>
          <cell r="AC8" t="str">
            <v>x</v>
          </cell>
          <cell r="AD8" t="str">
            <v>x</v>
          </cell>
        </row>
        <row r="9">
          <cell r="C9">
            <v>1</v>
          </cell>
          <cell r="D9">
            <v>27.46</v>
          </cell>
          <cell r="J9">
            <v>1</v>
          </cell>
          <cell r="K9">
            <v>1</v>
          </cell>
          <cell r="L9">
            <v>1</v>
          </cell>
          <cell r="M9">
            <v>1</v>
          </cell>
          <cell r="N9">
            <v>1</v>
          </cell>
          <cell r="X9" t="str">
            <v>x</v>
          </cell>
          <cell r="Y9" t="str">
            <v>x</v>
          </cell>
          <cell r="Z9" t="str">
            <v>x</v>
          </cell>
          <cell r="AA9" t="str">
            <v>x</v>
          </cell>
          <cell r="AB9" t="str">
            <v>x</v>
          </cell>
          <cell r="AC9" t="str">
            <v>x</v>
          </cell>
          <cell r="AD9" t="str">
            <v>x</v>
          </cell>
        </row>
        <row r="10">
          <cell r="C10">
            <v>1</v>
          </cell>
          <cell r="J10">
            <v>1</v>
          </cell>
          <cell r="K10">
            <v>1</v>
          </cell>
          <cell r="L10">
            <v>1</v>
          </cell>
          <cell r="M10">
            <v>1</v>
          </cell>
          <cell r="N10">
            <v>1</v>
          </cell>
          <cell r="O10">
            <v>1</v>
          </cell>
          <cell r="X10" t="str">
            <v>x</v>
          </cell>
          <cell r="Y10" t="str">
            <v>x</v>
          </cell>
          <cell r="Z10" t="str">
            <v>x</v>
          </cell>
          <cell r="AA10" t="str">
            <v>x</v>
          </cell>
          <cell r="AB10" t="str">
            <v>x</v>
          </cell>
          <cell r="AC10" t="str">
            <v>x</v>
          </cell>
          <cell r="AD10" t="str">
            <v>x</v>
          </cell>
        </row>
        <row r="11">
          <cell r="C11">
            <v>1</v>
          </cell>
          <cell r="X11" t="str">
            <v>x</v>
          </cell>
          <cell r="Y11" t="str">
            <v>x</v>
          </cell>
          <cell r="Z11" t="str">
            <v>x</v>
          </cell>
          <cell r="AA11" t="str">
            <v>x</v>
          </cell>
          <cell r="AB11" t="str">
            <v>x</v>
          </cell>
          <cell r="AC11" t="str">
            <v>x</v>
          </cell>
          <cell r="AD11" t="str">
            <v>x</v>
          </cell>
        </row>
        <row r="12">
          <cell r="C12">
            <v>1</v>
          </cell>
          <cell r="S12" t="str">
            <v>MAT MU</v>
          </cell>
          <cell r="T12" t="str">
            <v>LAB RATE</v>
          </cell>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sheetData sheetId="3">
        <row r="19">
          <cell r="D19" t="str">
            <v>000# Controllers</v>
          </cell>
        </row>
        <row r="27">
          <cell r="D27" t="str">
            <v>000# Controller Modules</v>
          </cell>
        </row>
        <row r="35">
          <cell r="D35" t="str">
            <v>000# Signal Cable</v>
          </cell>
        </row>
        <row r="43">
          <cell r="D43" t="str">
            <v>000# Modbus Cable</v>
          </cell>
        </row>
        <row r="51">
          <cell r="D51" t="str">
            <v>000# CAT Cable</v>
          </cell>
        </row>
        <row r="59">
          <cell r="D59" t="str">
            <v>000# Control Panels MCC DDC Security Fire</v>
          </cell>
        </row>
        <row r="67">
          <cell r="D67" t="str">
            <v>000# Field Devices</v>
          </cell>
        </row>
        <row r="75">
          <cell r="D75" t="str">
            <v>000# DALI - KNX</v>
          </cell>
        </row>
        <row r="83">
          <cell r="D83" t="str">
            <v>000# Fire Equipment</v>
          </cell>
        </row>
        <row r="91">
          <cell r="D91" t="str">
            <v>000# Data Networks Equipment</v>
          </cell>
        </row>
        <row r="99">
          <cell r="D99" t="str">
            <v>000# Panel Building</v>
          </cell>
        </row>
        <row r="107">
          <cell r="D107" t="str">
            <v>000# Termination, Point Testing, FAT</v>
          </cell>
        </row>
        <row r="115">
          <cell r="D115" t="str">
            <v xml:space="preserve">000# </v>
          </cell>
        </row>
        <row r="131">
          <cell r="R131">
            <v>0</v>
          </cell>
          <cell r="T131">
            <v>0</v>
          </cell>
        </row>
        <row r="132">
          <cell r="R132">
            <v>0</v>
          </cell>
          <cell r="T132">
            <v>0</v>
          </cell>
        </row>
        <row r="133">
          <cell r="R133">
            <v>0</v>
          </cell>
          <cell r="T133">
            <v>0</v>
          </cell>
        </row>
        <row r="134">
          <cell r="R134">
            <v>0</v>
          </cell>
          <cell r="T134">
            <v>0</v>
          </cell>
        </row>
        <row r="135">
          <cell r="R135">
            <v>0</v>
          </cell>
          <cell r="T135">
            <v>0</v>
          </cell>
        </row>
        <row r="136">
          <cell r="R136">
            <v>0</v>
          </cell>
          <cell r="T136">
            <v>0</v>
          </cell>
        </row>
        <row r="137">
          <cell r="R137">
            <v>0</v>
          </cell>
          <cell r="T137">
            <v>0</v>
          </cell>
        </row>
        <row r="138">
          <cell r="R138">
            <v>0</v>
          </cell>
          <cell r="T138">
            <v>0</v>
          </cell>
        </row>
        <row r="139">
          <cell r="R139">
            <v>0</v>
          </cell>
          <cell r="T139">
            <v>0</v>
          </cell>
        </row>
        <row r="140">
          <cell r="R140">
            <v>0</v>
          </cell>
          <cell r="T140">
            <v>0</v>
          </cell>
        </row>
        <row r="141">
          <cell r="R141">
            <v>0</v>
          </cell>
          <cell r="T141">
            <v>0</v>
          </cell>
        </row>
        <row r="142">
          <cell r="R142">
            <v>0</v>
          </cell>
          <cell r="T142">
            <v>0</v>
          </cell>
        </row>
        <row r="143">
          <cell r="R143">
            <v>0</v>
          </cell>
          <cell r="T143">
            <v>0</v>
          </cell>
        </row>
        <row r="144">
          <cell r="R144">
            <v>0</v>
          </cell>
          <cell r="T144">
            <v>0</v>
          </cell>
        </row>
        <row r="145">
          <cell r="R145">
            <v>0</v>
          </cell>
          <cell r="T145">
            <v>0</v>
          </cell>
        </row>
        <row r="146">
          <cell r="R146">
            <v>0</v>
          </cell>
          <cell r="T146">
            <v>0</v>
          </cell>
        </row>
        <row r="147">
          <cell r="R147">
            <v>0</v>
          </cell>
          <cell r="T147">
            <v>0</v>
          </cell>
        </row>
        <row r="148">
          <cell r="R148">
            <v>0</v>
          </cell>
          <cell r="T148">
            <v>0</v>
          </cell>
        </row>
        <row r="149">
          <cell r="R149">
            <v>0</v>
          </cell>
          <cell r="T149">
            <v>0</v>
          </cell>
        </row>
        <row r="150">
          <cell r="R150">
            <v>0</v>
          </cell>
          <cell r="T150">
            <v>0</v>
          </cell>
        </row>
        <row r="151">
          <cell r="R151">
            <v>0</v>
          </cell>
          <cell r="T151">
            <v>0</v>
          </cell>
        </row>
        <row r="152">
          <cell r="R152">
            <v>0</v>
          </cell>
          <cell r="T152">
            <v>0</v>
          </cell>
        </row>
        <row r="153">
          <cell r="R153">
            <v>0</v>
          </cell>
          <cell r="T153">
            <v>0</v>
          </cell>
        </row>
        <row r="154">
          <cell r="R154">
            <v>0</v>
          </cell>
          <cell r="T154">
            <v>0</v>
          </cell>
        </row>
        <row r="155">
          <cell r="R155">
            <v>0</v>
          </cell>
          <cell r="T155">
            <v>0</v>
          </cell>
        </row>
        <row r="156">
          <cell r="R156">
            <v>0</v>
          </cell>
          <cell r="T156">
            <v>0</v>
          </cell>
        </row>
        <row r="157">
          <cell r="R157">
            <v>0</v>
          </cell>
          <cell r="T157">
            <v>0</v>
          </cell>
        </row>
        <row r="158">
          <cell r="R158">
            <v>0</v>
          </cell>
          <cell r="T158">
            <v>0</v>
          </cell>
        </row>
        <row r="159">
          <cell r="R159">
            <v>0</v>
          </cell>
          <cell r="T159">
            <v>0</v>
          </cell>
        </row>
        <row r="160">
          <cell r="R160">
            <v>0</v>
          </cell>
          <cell r="T160">
            <v>0</v>
          </cell>
        </row>
        <row r="161">
          <cell r="R161">
            <v>0</v>
          </cell>
          <cell r="T161">
            <v>0</v>
          </cell>
        </row>
        <row r="162">
          <cell r="R162">
            <v>0</v>
          </cell>
          <cell r="T162">
            <v>0</v>
          </cell>
        </row>
        <row r="163">
          <cell r="R163">
            <v>0</v>
          </cell>
          <cell r="T163">
            <v>0</v>
          </cell>
        </row>
        <row r="164">
          <cell r="R164">
            <v>0</v>
          </cell>
          <cell r="T164">
            <v>0</v>
          </cell>
        </row>
        <row r="165">
          <cell r="R165">
            <v>0</v>
          </cell>
          <cell r="T165">
            <v>0</v>
          </cell>
        </row>
        <row r="166">
          <cell r="R166">
            <v>0</v>
          </cell>
          <cell r="T166">
            <v>0</v>
          </cell>
        </row>
        <row r="167">
          <cell r="R167">
            <v>0</v>
          </cell>
          <cell r="T167">
            <v>0</v>
          </cell>
        </row>
        <row r="168">
          <cell r="R168">
            <v>0</v>
          </cell>
          <cell r="T168">
            <v>0</v>
          </cell>
        </row>
        <row r="169">
          <cell r="R169">
            <v>0</v>
          </cell>
          <cell r="T169">
            <v>0</v>
          </cell>
        </row>
        <row r="170">
          <cell r="R170">
            <v>0</v>
          </cell>
          <cell r="T170">
            <v>0</v>
          </cell>
        </row>
        <row r="171">
          <cell r="R171">
            <v>0</v>
          </cell>
          <cell r="T171">
            <v>0</v>
          </cell>
        </row>
        <row r="172">
          <cell r="R172">
            <v>0</v>
          </cell>
          <cell r="T172">
            <v>0</v>
          </cell>
        </row>
        <row r="173">
          <cell r="R173">
            <v>0</v>
          </cell>
          <cell r="T173">
            <v>0</v>
          </cell>
        </row>
        <row r="174">
          <cell r="R174">
            <v>0</v>
          </cell>
          <cell r="T174">
            <v>0</v>
          </cell>
        </row>
        <row r="175">
          <cell r="R175">
            <v>0</v>
          </cell>
          <cell r="T175">
            <v>0</v>
          </cell>
        </row>
        <row r="176">
          <cell r="R176">
            <v>0</v>
          </cell>
          <cell r="T176">
            <v>0</v>
          </cell>
        </row>
        <row r="177">
          <cell r="R177">
            <v>0</v>
          </cell>
          <cell r="T177">
            <v>0</v>
          </cell>
        </row>
        <row r="178">
          <cell r="R178">
            <v>0</v>
          </cell>
          <cell r="T178">
            <v>0</v>
          </cell>
        </row>
        <row r="179">
          <cell r="R179">
            <v>0</v>
          </cell>
          <cell r="T179">
            <v>0</v>
          </cell>
        </row>
        <row r="180">
          <cell r="R180">
            <v>0</v>
          </cell>
          <cell r="T180">
            <v>0</v>
          </cell>
        </row>
        <row r="181">
          <cell r="R181">
            <v>0</v>
          </cell>
          <cell r="T181">
            <v>0</v>
          </cell>
        </row>
        <row r="182">
          <cell r="R182">
            <v>0</v>
          </cell>
          <cell r="T182">
            <v>0</v>
          </cell>
        </row>
        <row r="183">
          <cell r="R183">
            <v>0</v>
          </cell>
          <cell r="T183">
            <v>0</v>
          </cell>
        </row>
        <row r="184">
          <cell r="R184">
            <v>0</v>
          </cell>
          <cell r="T184">
            <v>0</v>
          </cell>
        </row>
        <row r="185">
          <cell r="R185">
            <v>0</v>
          </cell>
          <cell r="T185">
            <v>0</v>
          </cell>
        </row>
        <row r="186">
          <cell r="R186">
            <v>0</v>
          </cell>
          <cell r="T186">
            <v>0</v>
          </cell>
        </row>
        <row r="187">
          <cell r="R187">
            <v>0</v>
          </cell>
          <cell r="T187">
            <v>0</v>
          </cell>
        </row>
        <row r="188">
          <cell r="R188">
            <v>0</v>
          </cell>
          <cell r="T188">
            <v>0</v>
          </cell>
        </row>
        <row r="189">
          <cell r="R189">
            <v>0</v>
          </cell>
          <cell r="T189">
            <v>0</v>
          </cell>
        </row>
        <row r="190">
          <cell r="R190">
            <v>0</v>
          </cell>
          <cell r="T190">
            <v>0</v>
          </cell>
        </row>
        <row r="191">
          <cell r="R191">
            <v>0</v>
          </cell>
          <cell r="T191">
            <v>0</v>
          </cell>
        </row>
        <row r="192">
          <cell r="R192">
            <v>0</v>
          </cell>
          <cell r="T192">
            <v>0</v>
          </cell>
        </row>
        <row r="193">
          <cell r="R193">
            <v>0</v>
          </cell>
          <cell r="T193">
            <v>0</v>
          </cell>
        </row>
        <row r="194">
          <cell r="R194">
            <v>0</v>
          </cell>
          <cell r="T194">
            <v>0</v>
          </cell>
        </row>
        <row r="195">
          <cell r="R195">
            <v>0</v>
          </cell>
          <cell r="T195">
            <v>0</v>
          </cell>
        </row>
        <row r="196">
          <cell r="R196">
            <v>0</v>
          </cell>
          <cell r="T196">
            <v>0</v>
          </cell>
        </row>
        <row r="197">
          <cell r="R197">
            <v>0</v>
          </cell>
          <cell r="T197">
            <v>0</v>
          </cell>
        </row>
        <row r="198">
          <cell r="R198">
            <v>0</v>
          </cell>
          <cell r="T198">
            <v>0</v>
          </cell>
        </row>
      </sheetData>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s"/>
      <sheetName val="ML_Sum"/>
      <sheetName val="Quote"/>
      <sheetName val="Elec_Rates"/>
      <sheetName val="Elec_Est"/>
      <sheetName val="E_BOQ"/>
      <sheetName val="E_DBOQ"/>
    </sheetNames>
    <sheetDataSet>
      <sheetData sheetId="0"/>
      <sheetData sheetId="1"/>
      <sheetData sheetId="2"/>
      <sheetData sheetId="3"/>
      <sheetData sheetId="4">
        <row r="139">
          <cell r="B139">
            <v>55</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31"/>
  <sheetViews>
    <sheetView workbookViewId="0">
      <selection activeCell="B25" sqref="B25:B31"/>
    </sheetView>
  </sheetViews>
  <sheetFormatPr defaultRowHeight="13.2"/>
  <cols>
    <col min="1" max="1" width="7.109375" style="512"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7" t="s">
        <v>272</v>
      </c>
      <c r="C1" s="525" t="s">
        <v>285</v>
      </c>
      <c r="D1" s="336"/>
    </row>
    <row r="2" spans="1:4">
      <c r="C2" s="146" t="s">
        <v>220</v>
      </c>
    </row>
    <row r="3" spans="1:4">
      <c r="A3" s="181" t="s">
        <v>273</v>
      </c>
      <c r="C3" s="141" t="s">
        <v>173</v>
      </c>
    </row>
    <row r="4" spans="1:4">
      <c r="C4" s="144" t="s">
        <v>174</v>
      </c>
    </row>
    <row r="5" spans="1:4">
      <c r="A5" s="512" t="s">
        <v>275</v>
      </c>
      <c r="C5" s="142" t="s">
        <v>175</v>
      </c>
    </row>
    <row r="6" spans="1:4">
      <c r="A6" s="512">
        <v>1</v>
      </c>
      <c r="C6" s="143" t="s">
        <v>176</v>
      </c>
    </row>
    <row r="7" spans="1:4">
      <c r="A7" s="512">
        <v>2</v>
      </c>
      <c r="C7" s="145" t="s">
        <v>177</v>
      </c>
    </row>
    <row r="8" spans="1:4">
      <c r="C8" s="145" t="s">
        <v>178</v>
      </c>
    </row>
    <row r="9" spans="1:4">
      <c r="A9" s="512" t="s">
        <v>99</v>
      </c>
      <c r="C9" s="146" t="s">
        <v>179</v>
      </c>
    </row>
    <row r="10" spans="1:4">
      <c r="A10" s="512">
        <v>1</v>
      </c>
      <c r="C10" s="516"/>
    </row>
    <row r="11" spans="1:4">
      <c r="A11" s="512">
        <v>2</v>
      </c>
      <c r="C11" t="s">
        <v>216</v>
      </c>
    </row>
    <row r="12" spans="1:4">
      <c r="C12" s="513" t="s">
        <v>217</v>
      </c>
    </row>
    <row r="13" spans="1:4">
      <c r="A13" s="181" t="s">
        <v>274</v>
      </c>
      <c r="C13" s="514" t="s">
        <v>218</v>
      </c>
    </row>
    <row r="14" spans="1:4">
      <c r="C14" s="515" t="s">
        <v>219</v>
      </c>
    </row>
    <row r="15" spans="1:4">
      <c r="A15" s="512" t="s">
        <v>276</v>
      </c>
    </row>
    <row r="16" spans="1:4">
      <c r="A16" s="512">
        <v>1</v>
      </c>
    </row>
    <row r="17" spans="1:2">
      <c r="A17" s="512">
        <v>2</v>
      </c>
    </row>
    <row r="18" spans="1:2">
      <c r="A18" s="512">
        <v>3</v>
      </c>
    </row>
    <row r="20" spans="1:2">
      <c r="A20" s="512" t="s">
        <v>277</v>
      </c>
    </row>
    <row r="21" spans="1:2">
      <c r="A21" s="512">
        <v>1</v>
      </c>
    </row>
    <row r="22" spans="1:2">
      <c r="A22" s="512">
        <v>2</v>
      </c>
    </row>
    <row r="23" spans="1:2">
      <c r="A23" s="512">
        <v>3</v>
      </c>
    </row>
    <row r="25" spans="1:2">
      <c r="B25" s="655" t="s">
        <v>523</v>
      </c>
    </row>
    <row r="26" spans="1:2">
      <c r="B26" s="655" t="s">
        <v>524</v>
      </c>
    </row>
    <row r="27" spans="1:2">
      <c r="B27" s="655" t="s">
        <v>528</v>
      </c>
    </row>
    <row r="28" spans="1:2">
      <c r="B28" s="655" t="s">
        <v>525</v>
      </c>
    </row>
    <row r="29" spans="1:2">
      <c r="B29" s="655" t="s">
        <v>526</v>
      </c>
    </row>
    <row r="30" spans="1:2">
      <c r="B30" s="655" t="s">
        <v>529</v>
      </c>
    </row>
    <row r="31" spans="1:2">
      <c r="B31" s="655" t="s">
        <v>530</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workbookViewId="0">
      <selection activeCell="D5" sqref="D5"/>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1" t="s">
        <v>0</v>
      </c>
      <c r="C1" s="528">
        <v>1</v>
      </c>
      <c r="D1" s="900" t="s">
        <v>516</v>
      </c>
      <c r="E1" s="901"/>
      <c r="G1" s="529" t="b">
        <v>0</v>
      </c>
      <c r="H1" s="529"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5" t="str">
        <f>IF(C1=1,"€","Curr?")</f>
        <v>€</v>
      </c>
      <c r="R1" s="430" t="s">
        <v>239</v>
      </c>
      <c r="S1" s="518" t="str">
        <f>IF($S$39="PRINT","R","Do Not Print")</f>
        <v>R</v>
      </c>
      <c r="T1" s="561">
        <v>1.1000000000000001</v>
      </c>
      <c r="V1" s="182">
        <f t="array" ref="V1">IF(OR(X1=AREAS),1,0)</f>
        <v>1</v>
      </c>
      <c r="W1" s="511" t="s">
        <v>199</v>
      </c>
      <c r="X1" s="183" t="s">
        <v>196</v>
      </c>
      <c r="Y1" s="183" t="s">
        <v>196</v>
      </c>
      <c r="Z1" s="183" t="s">
        <v>196</v>
      </c>
      <c r="AA1" s="183" t="s">
        <v>196</v>
      </c>
      <c r="AB1" s="183" t="s">
        <v>196</v>
      </c>
      <c r="AC1" s="183" t="s">
        <v>196</v>
      </c>
      <c r="AD1" s="183" t="s">
        <v>196</v>
      </c>
    </row>
    <row r="2" spans="1:30" ht="21.75" customHeight="1">
      <c r="A2" s="520"/>
      <c r="B2" s="531" t="s">
        <v>2</v>
      </c>
      <c r="C2" s="527">
        <f>IF($D$6="VAT INCLUDED",1.18,1)*(1-$Q2)*$C$1</f>
        <v>1</v>
      </c>
      <c r="D2" s="900" t="s">
        <v>517</v>
      </c>
      <c r="E2" s="901"/>
      <c r="F2" s="423" t="s">
        <v>511</v>
      </c>
      <c r="G2" s="529" t="b">
        <v>0</v>
      </c>
      <c r="I2" s="327">
        <v>2</v>
      </c>
      <c r="J2" s="328">
        <f t="shared" si="0"/>
        <v>1</v>
      </c>
      <c r="K2" s="328">
        <f t="shared" si="1"/>
        <v>1</v>
      </c>
      <c r="L2" s="328">
        <f t="shared" si="2"/>
        <v>1</v>
      </c>
      <c r="M2" s="328">
        <f t="shared" si="3"/>
        <v>1</v>
      </c>
      <c r="N2" s="328">
        <f t="shared" si="4"/>
        <v>1</v>
      </c>
      <c r="O2" s="328">
        <f t="shared" si="5"/>
        <v>1</v>
      </c>
      <c r="P2" s="11"/>
      <c r="Q2" s="371"/>
      <c r="R2" s="387" t="str">
        <f>"A) " &amp; IF($S2=0,"",ROUND($S2,2) &amp; "-" &amp; ROUND($T2/$D$9,2))</f>
        <v>A) 1-1</v>
      </c>
      <c r="S2" s="362">
        <v>1</v>
      </c>
      <c r="T2" s="362">
        <f>D9*S2</f>
        <v>28.53</v>
      </c>
      <c r="V2" s="191"/>
      <c r="W2" s="191"/>
      <c r="X2" s="183" t="s">
        <v>196</v>
      </c>
      <c r="Y2" s="183" t="s">
        <v>196</v>
      </c>
      <c r="Z2" s="183" t="s">
        <v>196</v>
      </c>
      <c r="AA2" s="183" t="s">
        <v>196</v>
      </c>
      <c r="AB2" s="183" t="s">
        <v>196</v>
      </c>
      <c r="AC2" s="183" t="s">
        <v>196</v>
      </c>
      <c r="AD2" s="183" t="s">
        <v>196</v>
      </c>
    </row>
    <row r="3" spans="1:30" ht="21" customHeight="1">
      <c r="A3" s="521"/>
      <c r="B3" s="531" t="s">
        <v>4</v>
      </c>
      <c r="C3" s="527">
        <f t="shared" ref="C3:C12" si="6">IF($D$6="VAT INCLUDED",1.18,1)*(1-$Q3)*$C$1</f>
        <v>1</v>
      </c>
      <c r="D3" s="900" t="s">
        <v>518</v>
      </c>
      <c r="E3" s="901"/>
      <c r="F3" s="423" t="s">
        <v>513</v>
      </c>
      <c r="G3" s="529" t="b">
        <v>0</v>
      </c>
      <c r="I3" s="327">
        <v>3</v>
      </c>
      <c r="J3" s="328">
        <f t="shared" si="0"/>
        <v>1</v>
      </c>
      <c r="K3" s="328">
        <f t="shared" si="1"/>
        <v>1</v>
      </c>
      <c r="L3" s="328">
        <f t="shared" si="2"/>
        <v>1</v>
      </c>
      <c r="M3" s="328">
        <f t="shared" si="3"/>
        <v>1</v>
      </c>
      <c r="N3" s="328">
        <f t="shared" si="4"/>
        <v>1</v>
      </c>
      <c r="O3" s="328">
        <f t="shared" si="5"/>
        <v>1</v>
      </c>
      <c r="P3" s="11"/>
      <c r="Q3" s="371"/>
      <c r="R3" s="388" t="str">
        <f>"B) " &amp; IF($S3=0,"",ROUND($S3,2) &amp; "-" &amp; ROUND($T3/$D$9,2))</f>
        <v>B) 1-1.18</v>
      </c>
      <c r="S3" s="362">
        <v>1</v>
      </c>
      <c r="T3" s="362">
        <f>D10*S3</f>
        <v>33.72</v>
      </c>
      <c r="V3" s="191"/>
      <c r="W3" s="191"/>
      <c r="X3" s="183" t="s">
        <v>196</v>
      </c>
      <c r="Y3" s="183" t="s">
        <v>196</v>
      </c>
      <c r="Z3" s="183" t="s">
        <v>196</v>
      </c>
      <c r="AA3" s="183" t="s">
        <v>196</v>
      </c>
      <c r="AB3" s="183" t="s">
        <v>196</v>
      </c>
      <c r="AC3" s="183" t="s">
        <v>196</v>
      </c>
      <c r="AD3" s="183" t="s">
        <v>196</v>
      </c>
    </row>
    <row r="4" spans="1:30" ht="15.75" customHeight="1">
      <c r="A4" s="522"/>
      <c r="B4" s="532" t="s">
        <v>284</v>
      </c>
      <c r="C4" s="444">
        <f t="shared" si="6"/>
        <v>1</v>
      </c>
      <c r="D4" s="192" t="s">
        <v>282</v>
      </c>
      <c r="E4" s="348"/>
      <c r="F4" s="423" t="s">
        <v>512</v>
      </c>
      <c r="G4" s="529" t="b">
        <v>0</v>
      </c>
      <c r="I4" s="327">
        <v>4</v>
      </c>
      <c r="J4" s="328">
        <f t="shared" si="0"/>
        <v>1</v>
      </c>
      <c r="K4" s="328">
        <f t="shared" si="1"/>
        <v>1</v>
      </c>
      <c r="L4" s="328">
        <f t="shared" si="2"/>
        <v>1</v>
      </c>
      <c r="M4" s="328">
        <f t="shared" si="3"/>
        <v>1</v>
      </c>
      <c r="N4" s="328">
        <f t="shared" si="4"/>
        <v>1</v>
      </c>
      <c r="O4" s="328">
        <f t="shared" si="5"/>
        <v>1</v>
      </c>
      <c r="P4" s="11"/>
      <c r="Q4" s="371"/>
      <c r="R4" s="389" t="str">
        <f>"C) " &amp; IF($S4=0,"",ROUND($S4,2) &amp; "-" &amp; ROUND($T4/$D$9,2))</f>
        <v>C) 1-1.09</v>
      </c>
      <c r="S4" s="362">
        <v>1</v>
      </c>
      <c r="T4" s="362">
        <f>D11*S4</f>
        <v>31</v>
      </c>
      <c r="V4" s="191"/>
      <c r="W4" s="191"/>
      <c r="X4" s="183" t="s">
        <v>196</v>
      </c>
      <c r="Y4" s="183" t="s">
        <v>196</v>
      </c>
      <c r="Z4" s="183" t="s">
        <v>196</v>
      </c>
      <c r="AA4" s="183" t="s">
        <v>196</v>
      </c>
      <c r="AB4" s="183" t="s">
        <v>196</v>
      </c>
      <c r="AC4" s="183" t="s">
        <v>196</v>
      </c>
      <c r="AD4" s="183" t="s">
        <v>196</v>
      </c>
    </row>
    <row r="5" spans="1:30" ht="13.8">
      <c r="A5" s="520"/>
      <c r="B5" s="533" t="s">
        <v>209</v>
      </c>
      <c r="C5" s="444">
        <f t="shared" si="6"/>
        <v>1</v>
      </c>
      <c r="D5" s="13"/>
      <c r="E5" s="372"/>
      <c r="F5" s="423" t="s">
        <v>514</v>
      </c>
      <c r="G5" s="529" t="b">
        <v>0</v>
      </c>
      <c r="I5" s="327">
        <v>5</v>
      </c>
      <c r="J5" s="328">
        <f t="shared" si="0"/>
        <v>1</v>
      </c>
      <c r="K5" s="328">
        <f t="shared" si="1"/>
        <v>1</v>
      </c>
      <c r="L5" s="328">
        <f t="shared" si="2"/>
        <v>1</v>
      </c>
      <c r="M5" s="328">
        <f t="shared" si="3"/>
        <v>1</v>
      </c>
      <c r="N5" s="328">
        <f t="shared" si="4"/>
        <v>1</v>
      </c>
      <c r="O5" s="328">
        <f t="shared" si="5"/>
        <v>1</v>
      </c>
      <c r="P5" s="12"/>
      <c r="Q5" s="371"/>
      <c r="R5" s="390" t="str">
        <f>"D) " &amp; IF($S5=0,"",ROUND($S5,2) &amp; "-" &amp; ROUND($T5/$D$9,2))</f>
        <v>D) 1-0.75</v>
      </c>
      <c r="S5" s="362">
        <v>1</v>
      </c>
      <c r="T5" s="362">
        <f>D12*S5</f>
        <v>21.44</v>
      </c>
      <c r="V5" s="191"/>
      <c r="W5" s="191"/>
      <c r="X5" s="183" t="s">
        <v>196</v>
      </c>
      <c r="Y5" s="183" t="s">
        <v>196</v>
      </c>
      <c r="Z5" s="183" t="s">
        <v>196</v>
      </c>
      <c r="AA5" s="183" t="s">
        <v>196</v>
      </c>
      <c r="AB5" s="183" t="s">
        <v>196</v>
      </c>
      <c r="AC5" s="183" t="s">
        <v>196</v>
      </c>
      <c r="AD5" s="183" t="s">
        <v>196</v>
      </c>
    </row>
    <row r="6" spans="1:30" ht="13.8">
      <c r="A6" s="522"/>
      <c r="B6" s="533" t="s">
        <v>279</v>
      </c>
      <c r="C6" s="444">
        <f t="shared" si="6"/>
        <v>1</v>
      </c>
      <c r="D6" s="445" t="s">
        <v>234</v>
      </c>
      <c r="E6"/>
      <c r="F6" s="423" t="s">
        <v>515</v>
      </c>
      <c r="G6" s="529" t="b">
        <v>0</v>
      </c>
      <c r="I6" s="327">
        <v>6</v>
      </c>
      <c r="J6" s="328">
        <f t="shared" si="0"/>
        <v>1</v>
      </c>
      <c r="K6" s="328">
        <f t="shared" si="1"/>
        <v>1</v>
      </c>
      <c r="L6" s="328">
        <f t="shared" si="2"/>
        <v>1</v>
      </c>
      <c r="M6" s="328">
        <f t="shared" si="3"/>
        <v>1</v>
      </c>
      <c r="N6" s="328">
        <f t="shared" si="4"/>
        <v>1</v>
      </c>
      <c r="O6" s="328">
        <f>$Q176</f>
        <v>1</v>
      </c>
      <c r="P6" s="12"/>
      <c r="Q6" s="371"/>
      <c r="R6" s="391" t="str">
        <f>"E) " &amp; IF($S6=0,"",ROUND($S6,2) &amp; "-" &amp; ROUND($T6/$D$9,2))</f>
        <v>E) 1-1.18</v>
      </c>
      <c r="S6" s="362">
        <v>1</v>
      </c>
      <c r="T6" s="362">
        <f>S6*(D12+12.28)</f>
        <v>33.72</v>
      </c>
      <c r="V6" s="191"/>
      <c r="W6" s="191"/>
      <c r="X6" s="183" t="s">
        <v>196</v>
      </c>
      <c r="Y6" s="183" t="s">
        <v>196</v>
      </c>
      <c r="Z6" s="183" t="s">
        <v>196</v>
      </c>
      <c r="AA6" s="183" t="s">
        <v>196</v>
      </c>
      <c r="AB6" s="183" t="s">
        <v>196</v>
      </c>
      <c r="AC6" s="183" t="s">
        <v>196</v>
      </c>
      <c r="AD6" s="183" t="s">
        <v>196</v>
      </c>
    </row>
    <row r="7" spans="1:30" ht="13.8">
      <c r="A7" s="522"/>
      <c r="B7" s="533" t="s">
        <v>12</v>
      </c>
      <c r="C7" s="444">
        <f t="shared" si="6"/>
        <v>1</v>
      </c>
      <c r="D7" s="14"/>
      <c r="E7"/>
      <c r="F7" s="423"/>
      <c r="G7" s="529" t="b">
        <v>0</v>
      </c>
      <c r="I7" s="327">
        <v>7</v>
      </c>
      <c r="J7" s="328">
        <f t="shared" si="0"/>
        <v>1</v>
      </c>
      <c r="K7" s="328">
        <f t="shared" si="1"/>
        <v>1</v>
      </c>
      <c r="L7" s="328">
        <f t="shared" si="2"/>
        <v>1</v>
      </c>
      <c r="M7" s="328">
        <f t="shared" si="3"/>
        <v>1</v>
      </c>
      <c r="N7" s="328">
        <f t="shared" si="4"/>
        <v>1</v>
      </c>
      <c r="O7" s="328"/>
      <c r="P7" s="194"/>
      <c r="Q7" s="371"/>
      <c r="R7" s="392"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0"/>
      <c r="B8" s="533" t="s">
        <v>14</v>
      </c>
      <c r="C8" s="444">
        <f t="shared" si="6"/>
        <v>1</v>
      </c>
      <c r="D8" s="15" t="s">
        <v>334</v>
      </c>
      <c r="E8"/>
      <c r="F8" s="423"/>
      <c r="G8" s="529" t="b">
        <v>0</v>
      </c>
      <c r="I8" s="327">
        <v>8</v>
      </c>
      <c r="J8" s="328">
        <f t="shared" si="0"/>
        <v>1</v>
      </c>
      <c r="K8" s="328">
        <f t="shared" si="1"/>
        <v>1</v>
      </c>
      <c r="L8" s="328">
        <f t="shared" si="2"/>
        <v>1</v>
      </c>
      <c r="M8" s="328">
        <f t="shared" si="3"/>
        <v>1</v>
      </c>
      <c r="N8" s="328">
        <f t="shared" si="4"/>
        <v>1</v>
      </c>
      <c r="O8" s="328"/>
      <c r="P8" s="16"/>
      <c r="Q8" s="371"/>
      <c r="R8" s="393"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2"/>
      <c r="B9" s="533" t="s">
        <v>280</v>
      </c>
      <c r="C9" s="444">
        <f t="shared" si="6"/>
        <v>1</v>
      </c>
      <c r="D9" s="721">
        <v>28.53</v>
      </c>
      <c r="E9" s="190" t="s">
        <v>317</v>
      </c>
      <c r="F9" s="423"/>
      <c r="G9" s="529" t="b">
        <v>0</v>
      </c>
      <c r="I9" s="327">
        <v>9</v>
      </c>
      <c r="J9" s="328">
        <f t="shared" si="0"/>
        <v>1</v>
      </c>
      <c r="K9" s="328">
        <f t="shared" si="1"/>
        <v>1</v>
      </c>
      <c r="L9" s="328">
        <f t="shared" si="2"/>
        <v>1</v>
      </c>
      <c r="M9" s="328">
        <f t="shared" si="3"/>
        <v>1</v>
      </c>
      <c r="N9" s="328">
        <f t="shared" si="4"/>
        <v>1</v>
      </c>
      <c r="O9" s="328"/>
      <c r="P9" s="16"/>
      <c r="Q9" s="371"/>
      <c r="R9" s="394"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2"/>
      <c r="B10" s="534"/>
      <c r="C10" s="444">
        <f t="shared" si="6"/>
        <v>1</v>
      </c>
      <c r="D10" s="721">
        <f>12.28+21.44</f>
        <v>33.72</v>
      </c>
      <c r="E10" s="190" t="s">
        <v>335</v>
      </c>
      <c r="F10" s="423"/>
      <c r="G10" s="529" t="b">
        <v>0</v>
      </c>
      <c r="I10" s="327">
        <v>10</v>
      </c>
      <c r="J10" s="328">
        <f t="shared" si="0"/>
        <v>1</v>
      </c>
      <c r="K10" s="328">
        <f t="shared" si="1"/>
        <v>1</v>
      </c>
      <c r="L10" s="328">
        <f t="shared" si="2"/>
        <v>1</v>
      </c>
      <c r="M10" s="328">
        <f t="shared" si="3"/>
        <v>1</v>
      </c>
      <c r="N10" s="328">
        <f>$Q158</f>
        <v>1</v>
      </c>
      <c r="O10" s="328">
        <f>Q108</f>
        <v>1</v>
      </c>
      <c r="P10" s="16"/>
      <c r="Q10" s="371"/>
      <c r="R10" s="395"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4.4">
      <c r="A11" s="523"/>
      <c r="B11" s="535"/>
      <c r="C11" s="444">
        <f t="shared" si="6"/>
        <v>1</v>
      </c>
      <c r="D11" s="721">
        <v>31</v>
      </c>
      <c r="E11" s="190" t="s">
        <v>336</v>
      </c>
      <c r="F11" s="524"/>
      <c r="H11"/>
      <c r="I11" s="329"/>
      <c r="J11" s="329"/>
      <c r="K11" s="329"/>
      <c r="L11" s="329"/>
      <c r="M11" s="329"/>
      <c r="N11" s="329"/>
      <c r="O11" s="329"/>
      <c r="P11" s="189"/>
      <c r="Q11" s="371"/>
      <c r="R11" s="396"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0"/>
      <c r="B12"/>
      <c r="C12" s="444">
        <f t="shared" si="6"/>
        <v>1</v>
      </c>
      <c r="D12" s="721">
        <v>21.44</v>
      </c>
      <c r="E12" s="190" t="s">
        <v>337</v>
      </c>
      <c r="F12" s="424"/>
      <c r="G12" s="347" t="s">
        <v>29</v>
      </c>
      <c r="H12" s="347" t="s">
        <v>29</v>
      </c>
      <c r="I12" s="347" t="s">
        <v>29</v>
      </c>
      <c r="J12" s="347" t="s">
        <v>29</v>
      </c>
      <c r="K12" s="347" t="s">
        <v>29</v>
      </c>
      <c r="L12" s="347" t="s">
        <v>29</v>
      </c>
      <c r="M12" s="347" t="s">
        <v>29</v>
      </c>
      <c r="N12" s="347" t="s">
        <v>29</v>
      </c>
      <c r="O12" s="347" t="s">
        <v>29</v>
      </c>
      <c r="P12" s="347" t="s">
        <v>29</v>
      </c>
      <c r="Q12" s="461"/>
      <c r="R12" s="428" t="s">
        <v>240</v>
      </c>
      <c r="S12" s="497" t="s">
        <v>31</v>
      </c>
      <c r="T12" s="498" t="s">
        <v>32</v>
      </c>
      <c r="X12" s="183" t="s">
        <v>196</v>
      </c>
      <c r="Y12" s="183" t="s">
        <v>196</v>
      </c>
      <c r="Z12" s="183" t="s">
        <v>196</v>
      </c>
      <c r="AA12" s="183" t="s">
        <v>196</v>
      </c>
      <c r="AB12" s="183" t="s">
        <v>196</v>
      </c>
      <c r="AC12" s="183" t="s">
        <v>196</v>
      </c>
      <c r="AD12" s="183" t="s">
        <v>196</v>
      </c>
    </row>
    <row r="13" spans="1:30" ht="17.25" customHeight="1" thickBot="1">
      <c r="A13" s="455"/>
      <c r="B13" s="456" t="s">
        <v>248</v>
      </c>
      <c r="C13" s="457"/>
      <c r="D13" s="458"/>
      <c r="E13" s="459"/>
      <c r="F13" s="460"/>
      <c r="G13" s="381" t="s">
        <v>228</v>
      </c>
      <c r="H13" s="382" t="s">
        <v>229</v>
      </c>
      <c r="I13" s="383" t="s">
        <v>21</v>
      </c>
      <c r="J13" s="383" t="s">
        <v>22</v>
      </c>
      <c r="K13" s="384" t="s">
        <v>23</v>
      </c>
      <c r="L13" s="381" t="s">
        <v>24</v>
      </c>
      <c r="M13" s="381" t="s">
        <v>25</v>
      </c>
      <c r="N13" s="382" t="s">
        <v>230</v>
      </c>
      <c r="O13" s="381" t="s">
        <v>27</v>
      </c>
      <c r="P13" s="385" t="s">
        <v>28</v>
      </c>
      <c r="Q13" s="453" t="s">
        <v>226</v>
      </c>
      <c r="R13" s="429" t="s">
        <v>241</v>
      </c>
      <c r="S13" s="499" t="s">
        <v>270</v>
      </c>
      <c r="T13" s="536">
        <f>SUM(Q108:Q176)/COUNT(Q108:Q176)</f>
        <v>1</v>
      </c>
      <c r="X13" s="183"/>
      <c r="Y13" s="183"/>
      <c r="Z13" s="183"/>
      <c r="AA13" s="183"/>
      <c r="AB13" s="183"/>
      <c r="AC13" s="183"/>
      <c r="AD13" s="183"/>
    </row>
    <row r="14" spans="1:30" ht="27.75" customHeight="1">
      <c r="A14" s="193"/>
      <c r="B14" s="903" t="str">
        <f>IF($D$6&lt;&gt;"VAT EXCL.", "QUOTE ISSUED WITH                    VAT INCLUDED", "")</f>
        <v/>
      </c>
      <c r="C14" s="903"/>
      <c r="D14" s="903"/>
      <c r="E14" s="903"/>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903"/>
      <c r="C15" s="903"/>
      <c r="D15" s="903"/>
      <c r="E15" s="903"/>
      <c r="F15" s="370"/>
      <c r="G15" s="370"/>
      <c r="H15" s="370"/>
      <c r="I15" s="370"/>
      <c r="J15" s="370"/>
      <c r="K15" s="370"/>
      <c r="L15" s="370"/>
      <c r="M15" s="370"/>
      <c r="N15" s="370"/>
      <c r="O15" s="370"/>
      <c r="P15" s="370"/>
      <c r="Q15" s="472">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902" t="str">
        <f>IF($W$1&lt;&gt;"BOQ", "DIFF SET TO " &amp; W1,"")</f>
        <v/>
      </c>
      <c r="C16" s="902"/>
      <c r="D16" s="902"/>
      <c r="E16" s="902"/>
      <c r="F16" s="190"/>
      <c r="G16" s="190"/>
      <c r="H16" s="190"/>
      <c r="I16" s="190"/>
      <c r="J16" s="190"/>
      <c r="K16" s="190"/>
      <c r="L16" s="190"/>
      <c r="M16" s="190"/>
      <c r="N16" s="190"/>
      <c r="O16" s="190"/>
      <c r="P16" s="190"/>
      <c r="Q16" s="473">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902"/>
      <c r="C17" s="902"/>
      <c r="D17" s="902"/>
      <c r="E17" s="902"/>
      <c r="G17" s="8"/>
      <c r="H17" s="8"/>
      <c r="I17" s="8"/>
      <c r="J17" s="8"/>
      <c r="K17" s="8"/>
      <c r="L17" s="8"/>
      <c r="M17" s="8"/>
      <c r="N17" s="8"/>
      <c r="O17" s="8"/>
      <c r="P17" s="8"/>
      <c r="Q17" s="474">
        <f>F74</f>
        <v>0</v>
      </c>
      <c r="R17" s="366" t="s">
        <v>244</v>
      </c>
      <c r="S17" s="367"/>
      <c r="T17" s="412"/>
    </row>
    <row r="18" spans="1:24" ht="18.75" customHeight="1">
      <c r="A18" s="432"/>
      <c r="B18" s="904" t="str">
        <f>IF(AND(G1,G2,G3,G4,G5,G6,G7,G8,G9,G10,H1)=TRUE, "", "CHECKLIST INCOMPLETE !" )</f>
        <v>CHECKLIST INCOMPLETE !</v>
      </c>
      <c r="C18" s="904"/>
      <c r="D18" s="904"/>
      <c r="E18" s="904"/>
      <c r="F18" s="432"/>
      <c r="G18"/>
      <c r="H18"/>
      <c r="I18"/>
      <c r="J18"/>
      <c r="K18"/>
      <c r="L18"/>
      <c r="M18"/>
      <c r="N18"/>
      <c r="O18"/>
      <c r="P18"/>
      <c r="Q18" s="916"/>
      <c r="R18" s="916"/>
      <c r="S18" s="916"/>
      <c r="T18" s="916"/>
    </row>
    <row r="19" spans="1:24" ht="18" customHeight="1">
      <c r="B19" s="917" t="str">
        <f>IF(ABS(SUM(A23:A32))&gt;100,"[Discy A-J] are high, Check it out."," ")</f>
        <v xml:space="preserve"> </v>
      </c>
      <c r="C19" s="917"/>
      <c r="D19" s="917"/>
      <c r="E19" s="917"/>
      <c r="G19"/>
      <c r="H19"/>
      <c r="I19"/>
      <c r="J19"/>
      <c r="K19"/>
      <c r="L19"/>
      <c r="M19"/>
      <c r="N19"/>
      <c r="O19"/>
      <c r="P19"/>
      <c r="Q19" s="475">
        <f>R83</f>
        <v>1.057444432146343</v>
      </c>
      <c r="R19" s="366" t="s">
        <v>245</v>
      </c>
      <c r="S19" s="439"/>
      <c r="T19" s="440"/>
    </row>
    <row r="20" spans="1:24" ht="12.75" customHeight="1">
      <c r="A20" s="526"/>
      <c r="B20" s="526"/>
      <c r="C20" s="526"/>
      <c r="D20" s="526"/>
      <c r="E20" s="526"/>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6" t="s">
        <v>235</v>
      </c>
      <c r="B22" s="386" t="s">
        <v>225</v>
      </c>
      <c r="C22"/>
      <c r="D22" s="358"/>
      <c r="E22" s="369" t="str">
        <f>"SELLING  " &amp; $Q$1</f>
        <v>SELLING  €</v>
      </c>
      <c r="F22" s="483" t="str">
        <f>$Q$1</f>
        <v>€</v>
      </c>
      <c r="G22" s="351" t="s">
        <v>294</v>
      </c>
      <c r="H22" s="603" t="s">
        <v>291</v>
      </c>
      <c r="I22" s="603" t="s">
        <v>292</v>
      </c>
      <c r="J22" s="604" t="s">
        <v>293</v>
      </c>
      <c r="K22" s="351"/>
      <c r="L22" s="351"/>
      <c r="M22" s="351"/>
      <c r="N22" s="351"/>
      <c r="O22" s="351"/>
      <c r="P22" s="351"/>
      <c r="Q22" s="360" t="s">
        <v>223</v>
      </c>
      <c r="R22" s="352" t="s">
        <v>262</v>
      </c>
      <c r="S22" s="351"/>
      <c r="T22" s="350" t="s">
        <v>263</v>
      </c>
      <c r="V22"/>
      <c r="W22"/>
      <c r="X22"/>
    </row>
    <row r="23" spans="1:24">
      <c r="A23" s="441" t="str">
        <f>IF($F23=0,"",($F23/$C2)-($R23*$S2+$T23*$T2))</f>
        <v/>
      </c>
      <c r="B23" s="387" t="str">
        <f>IF(F23=0,"",IF(R23=0,"A) "&amp;"---,    "&amp;ROUND(($F23/$C2-($R23*$S2))/$T23,2),IF(T23=0,"A) "&amp;ROUND(($F23/$C2)/$R23,2),"A) "&amp;ROUND(($F23/$C2-($T23*$T2))/$R23,2)&amp;", "
&amp;ROUND(($F23/$C2-($R23*$S2))/$T23,2))))</f>
        <v/>
      </c>
      <c r="C23"/>
      <c r="D23" s="425" t="str">
        <f>IF($F2="","",$F2)</f>
        <v>Electrical Site Pair</v>
      </c>
      <c r="E23" s="539">
        <f>F23*(1-Q23)</f>
        <v>0</v>
      </c>
      <c r="F23" s="538">
        <f>Elec_Est!F65</f>
        <v>0</v>
      </c>
      <c r="G23" s="337">
        <f>C2</f>
        <v>1</v>
      </c>
      <c r="H23" s="427">
        <f>$S2</f>
        <v>1</v>
      </c>
      <c r="I23" s="427">
        <f>$T2</f>
        <v>28.53</v>
      </c>
      <c r="J23" s="337">
        <f>$D$9</f>
        <v>28.53</v>
      </c>
      <c r="K23" s="337"/>
      <c r="L23" s="337"/>
      <c r="M23" s="337"/>
      <c r="N23" s="337"/>
      <c r="O23" s="337"/>
      <c r="P23" s="337"/>
      <c r="Q23" s="361"/>
      <c r="R23" s="538">
        <f>Elec_Est!R65</f>
        <v>0</v>
      </c>
      <c r="S23" s="337"/>
      <c r="T23" s="542">
        <f>Elec_Est!T65</f>
        <v>0</v>
      </c>
      <c r="V23"/>
      <c r="W23"/>
      <c r="X23"/>
    </row>
    <row r="24" spans="1:24">
      <c r="A24" s="442">
        <f t="shared" ref="A24:A32" si="7">IF($F24=0,"",($F24/$C3)-($R24*$S3+$T24*$T3))</f>
        <v>0</v>
      </c>
      <c r="B24" s="388" t="str">
        <f t="shared" ref="B24:B32" si="8">IF(F24=0,"",IF(R24=0,"A) "&amp;"---,    "&amp;ROUND(($F24/$C3-($R24*$S3))/$T24,2),IF(T24=0,"A) "&amp;ROUND(($F24/$C3)/$R24,2),"A) "&amp;ROUND(($F24/$C3-($T24*$T3))/$R24,2)&amp;", "
&amp;ROUND(($F24/$C3-($R24*$S3))/$T24,2))))</f>
        <v>A) 1, 33.72</v>
      </c>
      <c r="C24"/>
      <c r="D24" s="425" t="str">
        <f t="shared" ref="D24:D32" si="9">IF($F3="","",$F3)</f>
        <v>ECA/BMS Pair</v>
      </c>
      <c r="E24" s="539">
        <f t="shared" ref="E24:E32" si="10">F24*(1-Q24)</f>
        <v>1050.92</v>
      </c>
      <c r="F24" s="538">
        <f>Elec_Est!F66</f>
        <v>1050.92</v>
      </c>
      <c r="G24" s="337">
        <f t="shared" ref="G24:G32" si="11">C3</f>
        <v>1</v>
      </c>
      <c r="H24" s="427">
        <f t="shared" ref="H24:H32" si="12">$S3</f>
        <v>1</v>
      </c>
      <c r="I24" s="427">
        <f t="shared" ref="I24:I32" si="13">$T3</f>
        <v>33.72</v>
      </c>
      <c r="J24" s="337">
        <f t="shared" ref="J24:J32" si="14">$D$9</f>
        <v>28.53</v>
      </c>
      <c r="K24" s="337"/>
      <c r="L24" s="337"/>
      <c r="M24" s="337"/>
      <c r="N24" s="337"/>
      <c r="O24" s="337"/>
      <c r="P24" s="337"/>
      <c r="Q24" s="361"/>
      <c r="R24" s="538">
        <f>Elec_Est!R66</f>
        <v>680</v>
      </c>
      <c r="S24" s="337"/>
      <c r="T24" s="541">
        <f>Elec_Est!T66</f>
        <v>11</v>
      </c>
      <c r="V24"/>
      <c r="W24"/>
      <c r="X24"/>
    </row>
    <row r="25" spans="1:24">
      <c r="A25" s="442" t="str">
        <f t="shared" si="7"/>
        <v/>
      </c>
      <c r="B25" s="389" t="str">
        <f t="shared" si="8"/>
        <v/>
      </c>
      <c r="C25"/>
      <c r="D25" s="425" t="str">
        <f t="shared" si="9"/>
        <v>ECA/BMS Engineer</v>
      </c>
      <c r="E25" s="539">
        <f t="shared" si="10"/>
        <v>0</v>
      </c>
      <c r="F25" s="538">
        <f>Elec_Est!F67</f>
        <v>0</v>
      </c>
      <c r="G25" s="337">
        <f t="shared" si="11"/>
        <v>1</v>
      </c>
      <c r="H25" s="427">
        <f t="shared" si="12"/>
        <v>1</v>
      </c>
      <c r="I25" s="427">
        <f t="shared" si="13"/>
        <v>31</v>
      </c>
      <c r="J25" s="337">
        <f t="shared" si="14"/>
        <v>28.53</v>
      </c>
      <c r="K25" s="337"/>
      <c r="L25" s="337"/>
      <c r="M25" s="337"/>
      <c r="N25" s="337"/>
      <c r="O25" s="337"/>
      <c r="P25" s="337"/>
      <c r="Q25" s="361"/>
      <c r="R25" s="538">
        <f>Elec_Est!R67</f>
        <v>0</v>
      </c>
      <c r="S25" s="337"/>
      <c r="T25" s="541">
        <f>Elec_Est!T67</f>
        <v>0</v>
      </c>
      <c r="V25"/>
      <c r="W25"/>
      <c r="X25"/>
    </row>
    <row r="26" spans="1:24">
      <c r="A26" s="442" t="str">
        <f t="shared" si="7"/>
        <v/>
      </c>
      <c r="B26" s="390" t="str">
        <f t="shared" si="8"/>
        <v/>
      </c>
      <c r="C26"/>
      <c r="D26" s="425" t="str">
        <f t="shared" si="9"/>
        <v>BMS - Tech - Single</v>
      </c>
      <c r="E26" s="539">
        <f t="shared" si="10"/>
        <v>0</v>
      </c>
      <c r="F26" s="538">
        <f>Elec_Est!F68</f>
        <v>0</v>
      </c>
      <c r="G26" s="337">
        <f t="shared" si="11"/>
        <v>1</v>
      </c>
      <c r="H26" s="427">
        <f t="shared" si="12"/>
        <v>1</v>
      </c>
      <c r="I26" s="427">
        <f t="shared" si="13"/>
        <v>21.44</v>
      </c>
      <c r="J26" s="763">
        <v>21.44</v>
      </c>
      <c r="K26" s="337"/>
      <c r="L26" s="337"/>
      <c r="M26" s="337"/>
      <c r="N26" s="337"/>
      <c r="O26" s="337"/>
      <c r="P26" s="337"/>
      <c r="Q26" s="361"/>
      <c r="R26" s="538">
        <f>Elec_Est!R68</f>
        <v>0</v>
      </c>
      <c r="S26" s="337"/>
      <c r="T26" s="541">
        <f>Elec_Est!T68</f>
        <v>0</v>
      </c>
      <c r="V26"/>
      <c r="W26"/>
      <c r="X26"/>
    </row>
    <row r="27" spans="1:24">
      <c r="A27" s="442" t="str">
        <f t="shared" si="7"/>
        <v/>
      </c>
      <c r="B27" s="391" t="str">
        <f t="shared" si="8"/>
        <v/>
      </c>
      <c r="C27"/>
      <c r="D27" s="425" t="str">
        <f t="shared" si="9"/>
        <v>Edward/Mark + AGV</v>
      </c>
      <c r="E27" s="539">
        <f t="shared" si="10"/>
        <v>0</v>
      </c>
      <c r="F27" s="538">
        <f>Elec_Est!F69</f>
        <v>0</v>
      </c>
      <c r="G27" s="337">
        <f t="shared" si="11"/>
        <v>1</v>
      </c>
      <c r="H27" s="427">
        <f t="shared" si="12"/>
        <v>1</v>
      </c>
      <c r="I27" s="427">
        <f t="shared" si="13"/>
        <v>33.72</v>
      </c>
      <c r="J27" s="763">
        <v>30</v>
      </c>
      <c r="K27" s="337"/>
      <c r="L27" s="337"/>
      <c r="M27" s="337"/>
      <c r="N27" s="337"/>
      <c r="O27" s="337"/>
      <c r="P27" s="337"/>
      <c r="Q27" s="361"/>
      <c r="R27" s="538">
        <f>Elec_Est!R69</f>
        <v>0</v>
      </c>
      <c r="S27" s="337"/>
      <c r="T27" s="541">
        <f>Elec_Est!T69</f>
        <v>0</v>
      </c>
      <c r="V27"/>
      <c r="W27"/>
      <c r="X27"/>
    </row>
    <row r="28" spans="1:24">
      <c r="A28" s="442" t="str">
        <f t="shared" si="7"/>
        <v/>
      </c>
      <c r="B28" s="392" t="str">
        <f t="shared" si="8"/>
        <v/>
      </c>
      <c r="C28"/>
      <c r="D28" s="425" t="str">
        <f t="shared" si="9"/>
        <v/>
      </c>
      <c r="E28" s="539">
        <f t="shared" si="10"/>
        <v>0</v>
      </c>
      <c r="F28" s="538">
        <f>Elec_Est!F70</f>
        <v>0</v>
      </c>
      <c r="G28" s="337">
        <f t="shared" si="11"/>
        <v>1</v>
      </c>
      <c r="H28" s="427">
        <f t="shared" si="12"/>
        <v>0</v>
      </c>
      <c r="I28" s="427">
        <f t="shared" si="13"/>
        <v>0</v>
      </c>
      <c r="J28" s="337">
        <f t="shared" si="14"/>
        <v>28.53</v>
      </c>
      <c r="K28" s="337"/>
      <c r="L28" s="337"/>
      <c r="M28" s="337"/>
      <c r="N28" s="337"/>
      <c r="O28" s="337"/>
      <c r="P28" s="337"/>
      <c r="Q28" s="361"/>
      <c r="R28" s="538">
        <f>Elec_Est!R70</f>
        <v>0</v>
      </c>
      <c r="S28" s="337"/>
      <c r="T28" s="541">
        <f>Elec_Est!T70</f>
        <v>0</v>
      </c>
      <c r="V28"/>
      <c r="W28"/>
      <c r="X28"/>
    </row>
    <row r="29" spans="1:24">
      <c r="A29" s="442" t="str">
        <f t="shared" si="7"/>
        <v/>
      </c>
      <c r="B29" s="393" t="str">
        <f t="shared" si="8"/>
        <v/>
      </c>
      <c r="C29"/>
      <c r="D29" s="425" t="str">
        <f t="shared" si="9"/>
        <v/>
      </c>
      <c r="E29" s="539">
        <f t="shared" si="10"/>
        <v>0</v>
      </c>
      <c r="F29" s="538">
        <f>Elec_Est!F71</f>
        <v>0</v>
      </c>
      <c r="G29" s="337">
        <f t="shared" si="11"/>
        <v>1</v>
      </c>
      <c r="H29" s="427">
        <f t="shared" si="12"/>
        <v>0</v>
      </c>
      <c r="I29" s="427">
        <f t="shared" si="13"/>
        <v>0</v>
      </c>
      <c r="J29" s="337">
        <f t="shared" si="14"/>
        <v>28.53</v>
      </c>
      <c r="K29" s="337"/>
      <c r="L29" s="337"/>
      <c r="M29" s="337"/>
      <c r="N29" s="337"/>
      <c r="O29" s="337"/>
      <c r="P29" s="337"/>
      <c r="Q29" s="361"/>
      <c r="R29" s="538">
        <f>Elec_Est!R71</f>
        <v>0</v>
      </c>
      <c r="S29" s="337"/>
      <c r="T29" s="540">
        <f>Elec_Est!T71</f>
        <v>0</v>
      </c>
      <c r="V29"/>
      <c r="W29"/>
      <c r="X29"/>
    </row>
    <row r="30" spans="1:24">
      <c r="A30" s="442" t="str">
        <f t="shared" si="7"/>
        <v/>
      </c>
      <c r="B30" s="394" t="str">
        <f t="shared" si="8"/>
        <v/>
      </c>
      <c r="C30"/>
      <c r="D30" s="425" t="str">
        <f t="shared" si="9"/>
        <v/>
      </c>
      <c r="E30" s="539">
        <f t="shared" si="10"/>
        <v>0</v>
      </c>
      <c r="F30" s="538">
        <f>Elec_Est!F72</f>
        <v>0</v>
      </c>
      <c r="G30" s="337">
        <f t="shared" si="11"/>
        <v>1</v>
      </c>
      <c r="H30" s="427">
        <f t="shared" si="12"/>
        <v>0</v>
      </c>
      <c r="I30" s="427">
        <f t="shared" si="13"/>
        <v>0</v>
      </c>
      <c r="J30" s="337">
        <f t="shared" si="14"/>
        <v>28.53</v>
      </c>
      <c r="K30" s="337"/>
      <c r="L30" s="337"/>
      <c r="M30" s="337"/>
      <c r="N30" s="337"/>
      <c r="O30" s="337"/>
      <c r="P30" s="337"/>
      <c r="Q30" s="361"/>
      <c r="R30" s="538">
        <f>Elec_Est!R72</f>
        <v>0</v>
      </c>
      <c r="S30" s="337"/>
      <c r="T30" s="540">
        <f>Elec_Est!T72</f>
        <v>0</v>
      </c>
      <c r="V30"/>
      <c r="W30"/>
      <c r="X30"/>
    </row>
    <row r="31" spans="1:24">
      <c r="A31" s="442" t="str">
        <f t="shared" si="7"/>
        <v/>
      </c>
      <c r="B31" s="395" t="str">
        <f t="shared" si="8"/>
        <v/>
      </c>
      <c r="C31"/>
      <c r="D31" s="425" t="str">
        <f t="shared" si="9"/>
        <v/>
      </c>
      <c r="E31" s="539">
        <f t="shared" si="10"/>
        <v>0</v>
      </c>
      <c r="F31" s="538">
        <f>Elec_Est!F73</f>
        <v>0</v>
      </c>
      <c r="G31" s="337">
        <f t="shared" si="11"/>
        <v>1</v>
      </c>
      <c r="H31" s="427">
        <f t="shared" si="12"/>
        <v>0</v>
      </c>
      <c r="I31" s="427">
        <f t="shared" si="13"/>
        <v>0</v>
      </c>
      <c r="J31" s="337">
        <f t="shared" si="14"/>
        <v>28.53</v>
      </c>
      <c r="K31" s="337"/>
      <c r="L31" s="337"/>
      <c r="M31" s="337"/>
      <c r="N31" s="337"/>
      <c r="O31" s="337"/>
      <c r="P31" s="337"/>
      <c r="Q31" s="361"/>
      <c r="R31" s="538">
        <f>Elec_Est!R73</f>
        <v>0</v>
      </c>
      <c r="S31" s="337"/>
      <c r="T31" s="540">
        <f>Elec_Est!T73</f>
        <v>0</v>
      </c>
      <c r="V31"/>
      <c r="W31"/>
      <c r="X31"/>
    </row>
    <row r="32" spans="1:24">
      <c r="A32" s="443" t="str">
        <f t="shared" si="7"/>
        <v/>
      </c>
      <c r="B32" s="500" t="str">
        <f t="shared" si="8"/>
        <v/>
      </c>
      <c r="C32"/>
      <c r="D32" s="425" t="str">
        <f t="shared" si="9"/>
        <v/>
      </c>
      <c r="E32" s="539">
        <f t="shared" si="10"/>
        <v>0</v>
      </c>
      <c r="F32" s="538">
        <f>Elec_Est!F74</f>
        <v>0</v>
      </c>
      <c r="G32" s="337">
        <f t="shared" si="11"/>
        <v>1</v>
      </c>
      <c r="H32" s="427">
        <f t="shared" si="12"/>
        <v>0</v>
      </c>
      <c r="I32" s="427">
        <f t="shared" si="13"/>
        <v>0</v>
      </c>
      <c r="J32" s="337">
        <f t="shared" si="14"/>
        <v>28.53</v>
      </c>
      <c r="K32" s="337"/>
      <c r="L32" s="337"/>
      <c r="M32" s="337"/>
      <c r="N32" s="337"/>
      <c r="O32" s="337"/>
      <c r="P32" s="337"/>
      <c r="Q32" s="361"/>
      <c r="R32" s="538">
        <f ca="1">Elec_Est!R74</f>
        <v>0</v>
      </c>
      <c r="S32" s="337"/>
      <c r="T32" s="540">
        <f>Elec_Est!T74</f>
        <v>0</v>
      </c>
      <c r="V32"/>
      <c r="W32"/>
      <c r="X32"/>
    </row>
    <row r="33" spans="1:24">
      <c r="B33"/>
      <c r="C33" s="402" t="s">
        <v>231</v>
      </c>
      <c r="D33"/>
      <c r="E33"/>
      <c r="F33" s="401"/>
      <c r="G33" s="337"/>
      <c r="H33" s="337"/>
      <c r="I33" s="337"/>
      <c r="J33" s="337"/>
      <c r="K33" s="337"/>
      <c r="L33" s="337"/>
      <c r="M33" s="337"/>
      <c r="N33" s="337"/>
      <c r="O33" s="337"/>
      <c r="P33" s="337"/>
      <c r="R33" s="402"/>
      <c r="S33" s="337"/>
      <c r="T33" s="401"/>
      <c r="V33"/>
      <c r="W33"/>
      <c r="X33"/>
    </row>
    <row r="34" spans="1:24" ht="13.8" thickBot="1">
      <c r="B34" s="36"/>
      <c r="C34"/>
      <c r="R34" s="346"/>
      <c r="S34" s="346"/>
      <c r="T34" s="346"/>
      <c r="V34"/>
      <c r="W34"/>
      <c r="X34"/>
    </row>
    <row r="35" spans="1:24">
      <c r="A35" s="501" t="s">
        <v>236</v>
      </c>
      <c r="B35" s="505">
        <f>E_BOQ!F56</f>
        <v>680</v>
      </c>
      <c r="E35" s="539">
        <f>SUM(E23:E32)</f>
        <v>1050.92</v>
      </c>
      <c r="F35" s="538">
        <f>SUM(F23:F32)</f>
        <v>1050.92</v>
      </c>
      <c r="G35" s="338"/>
      <c r="H35" s="338"/>
      <c r="I35" s="338"/>
      <c r="J35" s="338"/>
      <c r="K35" s="338"/>
      <c r="L35" s="338"/>
      <c r="M35" s="338"/>
      <c r="N35" s="338"/>
      <c r="O35" s="338"/>
      <c r="P35" s="338"/>
      <c r="Q35" s="339"/>
      <c r="R35" s="343">
        <f ca="1">SUM(R23:R32)</f>
        <v>680</v>
      </c>
      <c r="S35" s="340"/>
      <c r="T35" s="343">
        <f>SUM(T23:T32)</f>
        <v>11</v>
      </c>
      <c r="V35"/>
      <c r="W35"/>
      <c r="X35"/>
    </row>
    <row r="36" spans="1:24" ht="14.4" thickBot="1">
      <c r="A36" s="502" t="str">
        <f xml:space="preserve"> IF(A39=0,"0.00",A39-(A38*A37))</f>
        <v>0.00</v>
      </c>
      <c r="B36" s="504" t="s">
        <v>271</v>
      </c>
      <c r="E36" s="602" t="str">
        <f>"ESTIM TOTAL (" &amp; $Q$1 &amp; ")"</f>
        <v>ESTIM TOTAL (€)</v>
      </c>
      <c r="G36" s="338"/>
      <c r="H36" s="338"/>
      <c r="I36" s="338"/>
      <c r="J36" s="338"/>
      <c r="K36" s="338"/>
      <c r="L36" s="338"/>
      <c r="M36" s="338"/>
      <c r="N36" s="338"/>
      <c r="O36" s="338"/>
      <c r="P36" s="338"/>
      <c r="Q36" s="339"/>
      <c r="V36"/>
      <c r="W36"/>
      <c r="X36"/>
    </row>
    <row r="37" spans="1:24" ht="13.8">
      <c r="A37" s="434">
        <v>1.125</v>
      </c>
      <c r="B37" s="503" t="s">
        <v>258</v>
      </c>
      <c r="C37" s="317"/>
      <c r="D37"/>
      <c r="E37" s="438"/>
      <c r="G37"/>
      <c r="H37"/>
      <c r="I37"/>
      <c r="J37"/>
      <c r="K37"/>
      <c r="L37"/>
      <c r="M37"/>
      <c r="N37"/>
      <c r="O37"/>
      <c r="P37"/>
      <c r="Q37"/>
      <c r="R37" s="485">
        <f>R177</f>
        <v>680</v>
      </c>
      <c r="S37" s="486" t="s">
        <v>227</v>
      </c>
      <c r="T37" s="484">
        <f>T177</f>
        <v>11</v>
      </c>
      <c r="V37"/>
      <c r="W37"/>
      <c r="X37"/>
    </row>
    <row r="38" spans="1:24">
      <c r="A38" s="436"/>
      <c r="B38" s="435" t="s">
        <v>256</v>
      </c>
      <c r="C38"/>
      <c r="D38"/>
      <c r="G38"/>
      <c r="H38"/>
      <c r="I38"/>
      <c r="J38"/>
      <c r="K38"/>
      <c r="L38"/>
      <c r="M38"/>
      <c r="N38"/>
      <c r="O38"/>
      <c r="P38"/>
      <c r="Q38"/>
      <c r="R38"/>
      <c r="S38"/>
      <c r="T38"/>
    </row>
    <row r="39" spans="1:24">
      <c r="A39" s="437"/>
      <c r="B39" s="435" t="s">
        <v>257</v>
      </c>
      <c r="C39"/>
      <c r="D39"/>
      <c r="E39"/>
      <c r="F39"/>
      <c r="G39" s="316"/>
      <c r="H39" s="316"/>
      <c r="I39" s="316"/>
      <c r="J39" s="316"/>
      <c r="K39" s="316"/>
      <c r="L39" s="316"/>
      <c r="M39" s="316"/>
      <c r="N39" s="316"/>
      <c r="O39" s="316"/>
      <c r="P39" s="316"/>
      <c r="Q39" s="433" t="s">
        <v>237</v>
      </c>
      <c r="R39" s="487">
        <f ca="1">R37-R35</f>
        <v>0</v>
      </c>
      <c r="S39" s="519" t="s">
        <v>278</v>
      </c>
      <c r="T39" s="488">
        <f>T37-T35</f>
        <v>0</v>
      </c>
    </row>
    <row r="40" spans="1:24" ht="14.25" customHeight="1">
      <c r="S40" s="530"/>
    </row>
    <row r="41" spans="1:24">
      <c r="B41" s="489" t="s">
        <v>259</v>
      </c>
      <c r="C41" s="490"/>
      <c r="D41" s="478">
        <v>36892</v>
      </c>
      <c r="E41" s="491" t="s">
        <v>265</v>
      </c>
      <c r="F41" s="491" t="s">
        <v>265</v>
      </c>
      <c r="G41" s="492"/>
      <c r="H41" s="492"/>
      <c r="I41" s="492"/>
      <c r="J41" s="492"/>
      <c r="K41" s="492"/>
      <c r="L41" s="492"/>
      <c r="M41" s="492"/>
      <c r="N41" s="492"/>
      <c r="O41" s="492"/>
      <c r="P41" s="492"/>
      <c r="Q41" s="493"/>
      <c r="R41" s="491" t="s">
        <v>265</v>
      </c>
      <c r="S41" s="493"/>
      <c r="T41" s="491" t="s">
        <v>265</v>
      </c>
    </row>
    <row r="42" spans="1:24" ht="13.8">
      <c r="B42" s="477"/>
      <c r="C42"/>
      <c r="D42" s="479"/>
      <c r="E42" s="403"/>
      <c r="F42" s="403"/>
      <c r="G42" s="403"/>
      <c r="H42" s="403"/>
      <c r="I42" s="403"/>
      <c r="J42" s="403"/>
      <c r="K42" s="403"/>
      <c r="L42" s="403"/>
      <c r="M42" s="403"/>
      <c r="N42" s="403"/>
      <c r="O42" s="403"/>
      <c r="P42" s="403"/>
      <c r="Q42" s="403"/>
      <c r="R42" s="403"/>
      <c r="S42" s="403"/>
      <c r="T42" s="403"/>
    </row>
    <row r="43" spans="1:24" ht="13.8">
      <c r="B43" s="477"/>
      <c r="C43"/>
      <c r="D43" s="480" t="s">
        <v>7</v>
      </c>
      <c r="E43" s="403"/>
      <c r="F43" s="403"/>
      <c r="G43" s="403"/>
      <c r="H43" s="403"/>
      <c r="I43" s="403"/>
      <c r="J43" s="403"/>
      <c r="K43" s="403"/>
      <c r="L43" s="403"/>
      <c r="M43" s="403"/>
      <c r="N43" s="403"/>
      <c r="O43" s="403"/>
      <c r="P43" s="403"/>
      <c r="Q43" s="403"/>
      <c r="R43" s="403"/>
      <c r="S43" s="403"/>
      <c r="T43" s="403"/>
    </row>
    <row r="44" spans="1:24">
      <c r="B44" s="318"/>
      <c r="C44" s="319"/>
      <c r="D44" s="319"/>
    </row>
    <row r="45" spans="1:24" s="208" customFormat="1" ht="14.25" customHeight="1">
      <c r="A45" s="204"/>
      <c r="B45" s="205"/>
      <c r="C45" s="202"/>
      <c r="D45" s="202"/>
    </row>
    <row r="46" spans="1:24" s="208" customFormat="1" ht="13.8">
      <c r="A46" s="431" t="s">
        <v>36</v>
      </c>
      <c r="C46" s="36"/>
      <c r="D46" s="36"/>
    </row>
    <row r="47" spans="1:24" s="208" customFormat="1" ht="14.25" customHeight="1">
      <c r="A47" s="915" t="s">
        <v>242</v>
      </c>
      <c r="B47" s="915"/>
      <c r="C47" s="915"/>
      <c r="D47" s="915"/>
      <c r="E47" s="915"/>
      <c r="F47" s="915"/>
      <c r="G47" s="915"/>
      <c r="H47" s="915"/>
      <c r="I47" s="915"/>
      <c r="J47" s="915"/>
      <c r="K47" s="915"/>
      <c r="L47" s="915"/>
      <c r="M47" s="915"/>
      <c r="N47" s="915"/>
      <c r="O47" s="915"/>
      <c r="P47" s="915"/>
      <c r="Q47" s="915"/>
      <c r="R47" s="915"/>
      <c r="S47" s="915"/>
    </row>
    <row r="48" spans="1:24" s="208" customFormat="1" ht="14.25" customHeight="1">
      <c r="A48" s="915" t="s">
        <v>243</v>
      </c>
      <c r="B48" s="915"/>
      <c r="C48" s="915"/>
      <c r="D48" s="915"/>
      <c r="E48" s="915"/>
      <c r="F48" s="915"/>
      <c r="G48" s="915"/>
      <c r="H48" s="915"/>
      <c r="I48" s="915"/>
      <c r="J48" s="915"/>
      <c r="K48" s="915"/>
      <c r="L48" s="915"/>
      <c r="M48" s="915"/>
      <c r="N48" s="915"/>
      <c r="O48" s="915"/>
      <c r="P48" s="915"/>
      <c r="Q48" s="915"/>
      <c r="R48" s="915"/>
      <c r="S48" s="915"/>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914" t="s">
        <v>208</v>
      </c>
      <c r="B55" s="914"/>
      <c r="C55" s="12"/>
      <c r="D55" s="420" t="str">
        <f ca="1" xml:space="preserve"> CELL("filename")</f>
        <v>\\pclnas\bms\1. Estimates\3. Small Jobs\SJ585 - Portomaso Level 4 - Dampers\1. Estimate\[C26_Portomaso_L4_Dampers_SJ585.1_R0.1.xlsx]Quote</v>
      </c>
      <c r="E55" s="319"/>
      <c r="F55" s="421"/>
      <c r="G55" s="319"/>
      <c r="H55" s="319"/>
      <c r="I55" s="319"/>
      <c r="J55" s="319"/>
      <c r="K55" s="319"/>
      <c r="L55" s="319"/>
      <c r="M55" s="319"/>
      <c r="N55" s="319"/>
      <c r="O55" s="319"/>
      <c r="P55" s="319"/>
      <c r="Q55" s="422"/>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907" t="s">
        <v>41</v>
      </c>
      <c r="C57" s="908"/>
      <c r="D57" s="908"/>
      <c r="E57" s="908"/>
      <c r="F57" s="908"/>
      <c r="G57" s="908"/>
      <c r="H57" s="908"/>
      <c r="I57" s="908"/>
      <c r="J57" s="908"/>
      <c r="K57" s="908"/>
      <c r="L57" s="908"/>
      <c r="M57" s="908"/>
      <c r="N57" s="908"/>
      <c r="O57" s="908"/>
      <c r="P57" s="908"/>
      <c r="Q57" s="908"/>
      <c r="R57" s="908"/>
      <c r="S57" s="908"/>
      <c r="T57" s="909"/>
    </row>
    <row r="58" spans="1:20" ht="18" customHeight="1">
      <c r="B58" s="910" t="s">
        <v>42</v>
      </c>
      <c r="C58" s="911"/>
      <c r="D58" s="911"/>
      <c r="E58" s="911"/>
      <c r="F58" s="911"/>
      <c r="G58" s="911"/>
      <c r="H58" s="911"/>
      <c r="I58" s="911"/>
      <c r="J58" s="911"/>
      <c r="K58" s="911"/>
      <c r="L58" s="911"/>
      <c r="M58" s="911"/>
      <c r="N58" s="911"/>
      <c r="O58" s="911"/>
      <c r="P58" s="911"/>
      <c r="Q58" s="911"/>
      <c r="R58" s="911"/>
      <c r="S58" s="912"/>
      <c r="T58" s="913"/>
    </row>
    <row r="59" spans="1:20">
      <c r="B59" s="216"/>
      <c r="S59" s="217" t="s">
        <v>43</v>
      </c>
      <c r="T59" s="203"/>
    </row>
    <row r="60" spans="1:20">
      <c r="B60" s="216"/>
      <c r="D60" s="218" t="s">
        <v>44</v>
      </c>
      <c r="E60" s="320" t="str">
        <f>D1</f>
        <v>UMUT - Electrical Team</v>
      </c>
      <c r="F60" s="321"/>
      <c r="G60" s="146"/>
      <c r="H60" s="146"/>
      <c r="I60" s="146"/>
      <c r="J60" s="146"/>
      <c r="K60" s="146"/>
      <c r="L60" s="146"/>
      <c r="M60" s="146"/>
      <c r="N60" s="146"/>
      <c r="O60" s="146"/>
      <c r="P60" s="146"/>
      <c r="Q60" s="322"/>
      <c r="R60" s="146"/>
      <c r="S60" s="217" t="s">
        <v>315</v>
      </c>
      <c r="T60" s="203"/>
    </row>
    <row r="61" spans="1:20">
      <c r="B61" s="216"/>
      <c r="D61" s="219" t="s">
        <v>45</v>
      </c>
      <c r="E61" s="320" t="str">
        <f>D2</f>
        <v>Portomaso L4 Dampers</v>
      </c>
      <c r="F61" s="321"/>
      <c r="G61" s="146"/>
      <c r="H61" s="146"/>
      <c r="I61" s="146"/>
      <c r="J61" s="146"/>
      <c r="K61" s="146"/>
      <c r="L61" s="146"/>
      <c r="M61" s="146"/>
      <c r="N61" s="146"/>
      <c r="O61" s="146"/>
      <c r="P61" s="146"/>
      <c r="Q61" s="322"/>
      <c r="R61" s="146"/>
      <c r="S61" s="217" t="s">
        <v>308</v>
      </c>
      <c r="T61" s="203"/>
    </row>
    <row r="62" spans="1:20">
      <c r="B62" s="216"/>
      <c r="D62" s="218" t="s">
        <v>46</v>
      </c>
      <c r="E62" s="320" t="str">
        <f>D3</f>
        <v>Damper for VAV boxes</v>
      </c>
      <c r="F62" s="321"/>
      <c r="G62" s="146"/>
      <c r="H62" s="146"/>
      <c r="I62" s="146"/>
      <c r="J62" s="146"/>
      <c r="K62" s="146"/>
      <c r="L62" s="146"/>
      <c r="M62" s="146"/>
      <c r="N62" s="146"/>
      <c r="O62" s="146"/>
      <c r="P62" s="146"/>
      <c r="Q62" s="322"/>
      <c r="R62" s="146"/>
      <c r="S62" s="217" t="s">
        <v>314</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0">
        <f>IF($A$33="MIXED",F23/(1-Q2)+F24/(1-Q3)+F25/(1-Q4)+F26/(1-Q5)+F27/(1-Q6)+F28/(1-Q7)+F29/(1-Q8)+F30/(1-Q9)+F31/(1-Q10)+F32/(1-Q11)-SUM(A23:A32),   F23/(1-Q2)+F24/(1-Q3)+F25/(1-Q4)+F26/(1-Q5)+F27/(1-Q6)+F28/(1-Q7)+F29/(1-Q8)+F30/(1-Q9)+F31/(1-Q10)+F32/(1-Q11))</f>
        <v>1050.92</v>
      </c>
      <c r="E72" s="198" t="s">
        <v>267</v>
      </c>
      <c r="F72" s="462">
        <f>IF(D6="VAT INCLUDED",C72/($C$1*1.18),C72/$C$1)</f>
        <v>1050.92</v>
      </c>
      <c r="G72" s="201"/>
      <c r="H72" s="201"/>
      <c r="I72" s="201"/>
      <c r="J72" s="201"/>
      <c r="K72" s="201"/>
      <c r="L72" s="201"/>
      <c r="M72" s="201"/>
      <c r="N72" s="201"/>
      <c r="O72" s="201"/>
      <c r="P72" s="201"/>
      <c r="Q72" s="201"/>
      <c r="R72" s="201"/>
      <c r="S72" s="119"/>
      <c r="T72" s="224"/>
    </row>
    <row r="73" spans="2:20">
      <c r="B73" s="216"/>
      <c r="F73" s="468"/>
      <c r="G73" s="201"/>
      <c r="H73" s="201"/>
      <c r="I73" s="201"/>
      <c r="J73" s="201"/>
      <c r="K73" s="201"/>
      <c r="L73" s="201"/>
      <c r="M73" s="201"/>
      <c r="N73" s="201"/>
      <c r="O73" s="201"/>
      <c r="P73" s="201"/>
      <c r="Q73" s="201"/>
      <c r="R73" s="201"/>
      <c r="S73" s="119"/>
      <c r="T73" s="224"/>
    </row>
    <row r="74" spans="2:20" ht="15" customHeight="1">
      <c r="B74" s="353"/>
      <c r="E74" s="471" t="s">
        <v>268</v>
      </c>
      <c r="F74" s="469">
        <f>(F72-F75)/F72</f>
        <v>0</v>
      </c>
      <c r="G74" s="230"/>
      <c r="H74" s="230"/>
      <c r="I74" s="230"/>
      <c r="J74" s="230"/>
      <c r="K74" s="230"/>
      <c r="L74" s="230"/>
      <c r="M74" s="230"/>
      <c r="N74" s="230"/>
      <c r="O74" s="230"/>
      <c r="P74" s="230"/>
      <c r="Q74" s="231"/>
      <c r="T74" s="224"/>
    </row>
    <row r="75" spans="2:20">
      <c r="B75" s="354"/>
      <c r="E75" s="219" t="s">
        <v>266</v>
      </c>
      <c r="F75" s="470">
        <f>IF(D6="VAT INCLUDED",E35/($C$1*1.18),E35/$C$1)</f>
        <v>1050.92</v>
      </c>
      <c r="T75" s="224"/>
    </row>
    <row r="76" spans="2:20" ht="14.25" customHeight="1">
      <c r="B76" s="216"/>
      <c r="E76" s="198"/>
      <c r="F76" s="323"/>
      <c r="R76" s="198"/>
      <c r="T76" s="224"/>
    </row>
    <row r="77" spans="2:20" ht="15.6">
      <c r="B77" s="232"/>
      <c r="C77" s="233"/>
      <c r="E77" s="234" t="s">
        <v>210</v>
      </c>
      <c r="F77" s="494">
        <f>$D$9</f>
        <v>28.53</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3">
        <f>R177</f>
        <v>680</v>
      </c>
      <c r="E83" s="464">
        <f>T177</f>
        <v>11</v>
      </c>
      <c r="F83" s="465">
        <f>R177+S177</f>
        <v>993.83</v>
      </c>
      <c r="G83" s="466"/>
      <c r="H83" s="466"/>
      <c r="I83" s="466"/>
      <c r="J83" s="466"/>
      <c r="K83" s="466"/>
      <c r="L83" s="466"/>
      <c r="M83" s="466"/>
      <c r="N83" s="466"/>
      <c r="O83" s="466"/>
      <c r="P83" s="466"/>
      <c r="Q83" s="466"/>
      <c r="R83" s="467">
        <f>IF(F83=0,0,F75/F83)</f>
        <v>1.057444432146343</v>
      </c>
      <c r="S83" s="254"/>
      <c r="T83" s="224"/>
    </row>
    <row r="84" spans="2:20">
      <c r="B84" s="216"/>
      <c r="D84" s="905" t="s">
        <v>192</v>
      </c>
      <c r="E84" s="906"/>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316</v>
      </c>
      <c r="G94" s="266"/>
      <c r="I94" s="233"/>
      <c r="J94" s="263"/>
      <c r="K94" s="264"/>
      <c r="L94" s="264"/>
      <c r="M94" s="264"/>
      <c r="N94" s="264"/>
      <c r="O94" s="264"/>
      <c r="P94" s="264"/>
      <c r="Q94" s="264"/>
      <c r="R94" s="198" t="s">
        <v>59</v>
      </c>
      <c r="S94" s="262"/>
      <c r="T94" s="224"/>
    </row>
    <row r="95" spans="2:20" ht="15">
      <c r="B95" s="216"/>
      <c r="D95" s="268">
        <f ca="1">NOW()</f>
        <v>46119.647364467593</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Portomaso L4 Dampers</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Damper for VAV boxes</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48" t="s">
        <v>64</v>
      </c>
      <c r="G106" s="449"/>
      <c r="H106" s="450"/>
      <c r="I106" s="450"/>
      <c r="J106" s="450"/>
      <c r="K106" s="450"/>
      <c r="L106" s="450"/>
      <c r="M106" s="450"/>
      <c r="N106" s="450"/>
      <c r="O106" s="450"/>
      <c r="P106" s="451"/>
      <c r="Q106" s="448" t="s">
        <v>65</v>
      </c>
      <c r="R106" s="447" t="s">
        <v>66</v>
      </c>
      <c r="S106" s="447" t="s">
        <v>67</v>
      </c>
      <c r="T106" s="447" t="s">
        <v>68</v>
      </c>
    </row>
    <row r="107" spans="1:20" ht="13.8">
      <c r="B107" s="301"/>
      <c r="C107" s="302"/>
      <c r="D107" s="6"/>
      <c r="F107" s="448" t="s">
        <v>69</v>
      </c>
      <c r="G107" s="449"/>
      <c r="H107" s="450"/>
      <c r="I107" s="450"/>
      <c r="J107" s="450"/>
      <c r="K107" s="450"/>
      <c r="L107" s="450"/>
      <c r="M107" s="450"/>
      <c r="N107" s="450"/>
      <c r="O107" s="450"/>
      <c r="P107" s="452"/>
      <c r="Q107" s="448" t="s">
        <v>70</v>
      </c>
      <c r="R107" s="303" t="s">
        <v>262</v>
      </c>
      <c r="S107" s="482">
        <f>$D$9</f>
        <v>28.53</v>
      </c>
      <c r="T107" s="303" t="s">
        <v>264</v>
      </c>
    </row>
    <row r="108" spans="1:20">
      <c r="B108" s="537" t="s">
        <v>71</v>
      </c>
      <c r="C108" s="109"/>
      <c r="D108" s="399" t="s">
        <v>238</v>
      </c>
      <c r="E108" s="109"/>
      <c r="F108" s="304"/>
      <c r="P108" s="411" t="s">
        <v>27</v>
      </c>
      <c r="Q108" s="344">
        <v>1</v>
      </c>
      <c r="R108" s="226"/>
      <c r="S108" s="226"/>
      <c r="T108" s="226"/>
    </row>
    <row r="109" spans="1:20">
      <c r="A109" s="224"/>
      <c r="B109" s="558" t="s">
        <v>72</v>
      </c>
      <c r="C109" s="6" t="s">
        <v>73</v>
      </c>
      <c r="D109" s="36" t="s">
        <v>74</v>
      </c>
      <c r="E109" s="224"/>
      <c r="F109" s="419">
        <v>501</v>
      </c>
      <c r="G109" s="115"/>
      <c r="P109" s="409">
        <v>1</v>
      </c>
      <c r="Q109" s="305">
        <v>1</v>
      </c>
      <c r="R109" s="342">
        <f>Elec_Est!R86</f>
        <v>0</v>
      </c>
      <c r="S109" s="446">
        <f>T109*$D$9</f>
        <v>0</v>
      </c>
      <c r="T109" s="342">
        <f>Elec_Est!T86</f>
        <v>0</v>
      </c>
    </row>
    <row r="110" spans="1:20">
      <c r="A110" s="224"/>
      <c r="B110" s="558">
        <v>2</v>
      </c>
      <c r="C110" s="6" t="s">
        <v>73</v>
      </c>
      <c r="D110" s="36" t="s">
        <v>75</v>
      </c>
      <c r="E110" s="224"/>
      <c r="F110" s="419">
        <v>505</v>
      </c>
      <c r="G110" s="115"/>
      <c r="P110" s="409">
        <v>1</v>
      </c>
      <c r="Q110" s="305">
        <v>1</v>
      </c>
      <c r="R110" s="342">
        <f>Elec_Est!R87</f>
        <v>0</v>
      </c>
      <c r="S110" s="446">
        <f t="shared" ref="S110:S173" si="15">T110*$D$9</f>
        <v>0</v>
      </c>
      <c r="T110" s="342">
        <f>Elec_Est!T87</f>
        <v>0</v>
      </c>
    </row>
    <row r="111" spans="1:20">
      <c r="A111" s="224"/>
      <c r="B111" s="558">
        <v>3</v>
      </c>
      <c r="C111" s="6" t="s">
        <v>73</v>
      </c>
      <c r="D111" s="36" t="s">
        <v>76</v>
      </c>
      <c r="E111" s="224"/>
      <c r="F111" s="419">
        <v>510</v>
      </c>
      <c r="G111" s="115"/>
      <c r="P111" s="409">
        <v>2</v>
      </c>
      <c r="Q111" s="305">
        <v>1</v>
      </c>
      <c r="R111" s="342">
        <f>Elec_Est!R88</f>
        <v>0</v>
      </c>
      <c r="S111" s="446">
        <f t="shared" si="15"/>
        <v>0</v>
      </c>
      <c r="T111" s="342">
        <f>Elec_Est!T88</f>
        <v>0</v>
      </c>
    </row>
    <row r="112" spans="1:20">
      <c r="A112" s="224"/>
      <c r="B112" s="558">
        <v>4</v>
      </c>
      <c r="C112" s="6" t="s">
        <v>73</v>
      </c>
      <c r="D112" s="36" t="s">
        <v>77</v>
      </c>
      <c r="E112" s="224"/>
      <c r="F112" s="419">
        <v>511</v>
      </c>
      <c r="G112" s="115"/>
      <c r="P112" s="409">
        <v>2</v>
      </c>
      <c r="Q112" s="305">
        <v>1</v>
      </c>
      <c r="R112" s="342">
        <f>Elec_Est!R89</f>
        <v>0</v>
      </c>
      <c r="S112" s="446">
        <f t="shared" si="15"/>
        <v>0</v>
      </c>
      <c r="T112" s="342">
        <f>Elec_Est!T89</f>
        <v>0</v>
      </c>
    </row>
    <row r="113" spans="1:20">
      <c r="A113" s="224"/>
      <c r="B113" s="558">
        <v>5</v>
      </c>
      <c r="C113" s="6" t="s">
        <v>73</v>
      </c>
      <c r="D113" s="36" t="s">
        <v>78</v>
      </c>
      <c r="E113" s="224"/>
      <c r="F113" s="419">
        <v>512</v>
      </c>
      <c r="G113" s="115"/>
      <c r="P113" s="409">
        <v>2</v>
      </c>
      <c r="Q113" s="305">
        <v>1</v>
      </c>
      <c r="R113" s="342">
        <f>Elec_Est!R90</f>
        <v>0</v>
      </c>
      <c r="S113" s="446">
        <f t="shared" si="15"/>
        <v>0</v>
      </c>
      <c r="T113" s="342">
        <f>Elec_Est!T90</f>
        <v>0</v>
      </c>
    </row>
    <row r="114" spans="1:20">
      <c r="A114" s="224"/>
      <c r="B114" s="558">
        <v>6</v>
      </c>
      <c r="C114" s="6" t="s">
        <v>73</v>
      </c>
      <c r="D114" s="36" t="s">
        <v>79</v>
      </c>
      <c r="E114" s="224"/>
      <c r="F114" s="419">
        <v>520</v>
      </c>
      <c r="G114" s="115"/>
      <c r="P114" s="409">
        <v>1</v>
      </c>
      <c r="Q114" s="305">
        <v>1</v>
      </c>
      <c r="R114" s="342">
        <f>Elec_Est!R91</f>
        <v>0</v>
      </c>
      <c r="S114" s="446">
        <f t="shared" si="15"/>
        <v>0</v>
      </c>
      <c r="T114" s="342">
        <f>Elec_Est!T91</f>
        <v>0</v>
      </c>
    </row>
    <row r="115" spans="1:20">
      <c r="A115" s="224"/>
      <c r="B115" s="558">
        <v>7</v>
      </c>
      <c r="C115" s="6" t="s">
        <v>73</v>
      </c>
      <c r="D115" s="36" t="s">
        <v>80</v>
      </c>
      <c r="E115" s="224"/>
      <c r="F115" s="419">
        <v>530</v>
      </c>
      <c r="G115" s="115"/>
      <c r="P115" s="409">
        <v>2</v>
      </c>
      <c r="Q115" s="305">
        <v>1</v>
      </c>
      <c r="R115" s="342">
        <f>Elec_Est!R92</f>
        <v>0</v>
      </c>
      <c r="S115" s="446">
        <f t="shared" si="15"/>
        <v>0</v>
      </c>
      <c r="T115" s="342">
        <f>Elec_Est!T92</f>
        <v>0</v>
      </c>
    </row>
    <row r="116" spans="1:20">
      <c r="A116" s="224"/>
      <c r="B116" s="558">
        <v>8</v>
      </c>
      <c r="C116" s="6" t="s">
        <v>73</v>
      </c>
      <c r="D116" s="36" t="s">
        <v>81</v>
      </c>
      <c r="E116" s="224"/>
      <c r="F116" s="419">
        <v>550</v>
      </c>
      <c r="G116" s="115"/>
      <c r="P116" s="409">
        <v>2</v>
      </c>
      <c r="Q116" s="305">
        <v>1</v>
      </c>
      <c r="R116" s="342">
        <f>Elec_Est!R93</f>
        <v>0</v>
      </c>
      <c r="S116" s="446">
        <f t="shared" si="15"/>
        <v>0</v>
      </c>
      <c r="T116" s="342">
        <f>Elec_Est!T93</f>
        <v>0</v>
      </c>
    </row>
    <row r="117" spans="1:20">
      <c r="A117" s="224"/>
      <c r="B117" s="558">
        <v>9</v>
      </c>
      <c r="C117" s="6" t="s">
        <v>73</v>
      </c>
      <c r="D117" s="36" t="s">
        <v>82</v>
      </c>
      <c r="E117" s="224"/>
      <c r="F117" s="419">
        <v>570</v>
      </c>
      <c r="G117" s="115"/>
      <c r="P117" s="409">
        <v>2</v>
      </c>
      <c r="Q117" s="305">
        <v>1</v>
      </c>
      <c r="R117" s="342">
        <f>Elec_Est!R94</f>
        <v>0</v>
      </c>
      <c r="S117" s="446">
        <f t="shared" si="15"/>
        <v>0</v>
      </c>
      <c r="T117" s="342">
        <f>Elec_Est!T94</f>
        <v>0</v>
      </c>
    </row>
    <row r="118" spans="1:20">
      <c r="A118" s="224"/>
      <c r="B118" s="558">
        <v>10</v>
      </c>
      <c r="C118" s="6" t="s">
        <v>73</v>
      </c>
      <c r="D118" s="36" t="s">
        <v>83</v>
      </c>
      <c r="E118" s="224"/>
      <c r="F118" s="419">
        <v>615</v>
      </c>
      <c r="G118" s="115"/>
      <c r="P118" s="409">
        <v>2</v>
      </c>
      <c r="Q118" s="305">
        <v>1</v>
      </c>
      <c r="R118" s="342">
        <f>Elec_Est!R95</f>
        <v>0</v>
      </c>
      <c r="S118" s="446">
        <f t="shared" si="15"/>
        <v>0</v>
      </c>
      <c r="T118" s="342">
        <f>Elec_Est!T95</f>
        <v>0</v>
      </c>
    </row>
    <row r="119" spans="1:20">
      <c r="A119" s="224"/>
      <c r="B119" s="558" t="s">
        <v>84</v>
      </c>
      <c r="C119" s="6" t="s">
        <v>73</v>
      </c>
      <c r="D119" s="36" t="s">
        <v>85</v>
      </c>
      <c r="E119" s="224"/>
      <c r="F119" s="419">
        <v>616</v>
      </c>
      <c r="G119" s="115"/>
      <c r="P119" s="409">
        <v>2</v>
      </c>
      <c r="Q119" s="305">
        <v>1</v>
      </c>
      <c r="R119" s="342">
        <f>Elec_Est!R96</f>
        <v>0</v>
      </c>
      <c r="S119" s="446">
        <f t="shared" si="15"/>
        <v>0</v>
      </c>
      <c r="T119" s="342">
        <f>Elec_Est!T96</f>
        <v>0</v>
      </c>
    </row>
    <row r="120" spans="1:20">
      <c r="A120" s="224"/>
      <c r="B120" s="558">
        <v>12</v>
      </c>
      <c r="C120" s="6" t="s">
        <v>73</v>
      </c>
      <c r="D120" s="36" t="s">
        <v>86</v>
      </c>
      <c r="E120" s="224"/>
      <c r="F120" s="419">
        <v>617</v>
      </c>
      <c r="G120" s="115"/>
      <c r="P120" s="409">
        <v>2</v>
      </c>
      <c r="Q120" s="305">
        <v>1</v>
      </c>
      <c r="R120" s="342">
        <f>Elec_Est!R97</f>
        <v>0</v>
      </c>
      <c r="S120" s="446">
        <f t="shared" si="15"/>
        <v>0</v>
      </c>
      <c r="T120" s="342">
        <f>Elec_Est!T97</f>
        <v>0</v>
      </c>
    </row>
    <row r="121" spans="1:20">
      <c r="A121" s="224"/>
      <c r="B121" s="558">
        <v>13</v>
      </c>
      <c r="C121" s="6" t="s">
        <v>73</v>
      </c>
      <c r="D121" s="36" t="s">
        <v>87</v>
      </c>
      <c r="E121" s="224"/>
      <c r="F121" s="419">
        <v>620</v>
      </c>
      <c r="G121" s="115"/>
      <c r="P121" s="409">
        <v>2</v>
      </c>
      <c r="Q121" s="305">
        <v>1</v>
      </c>
      <c r="R121" s="342">
        <f>Elec_Est!R98</f>
        <v>0</v>
      </c>
      <c r="S121" s="446">
        <f t="shared" si="15"/>
        <v>0</v>
      </c>
      <c r="T121" s="342">
        <f>Elec_Est!T98</f>
        <v>0</v>
      </c>
    </row>
    <row r="122" spans="1:20">
      <c r="A122" s="224"/>
      <c r="B122" s="558">
        <v>14</v>
      </c>
      <c r="C122" s="6" t="s">
        <v>73</v>
      </c>
      <c r="D122" s="36" t="s">
        <v>88</v>
      </c>
      <c r="E122" s="224"/>
      <c r="F122" s="419">
        <v>650</v>
      </c>
      <c r="G122" s="115"/>
      <c r="P122" s="409">
        <v>1</v>
      </c>
      <c r="Q122" s="305">
        <v>1</v>
      </c>
      <c r="R122" s="342">
        <f>Elec_Est!R99</f>
        <v>0</v>
      </c>
      <c r="S122" s="446">
        <f t="shared" si="15"/>
        <v>0</v>
      </c>
      <c r="T122" s="342">
        <f>Elec_Est!T99</f>
        <v>0</v>
      </c>
    </row>
    <row r="123" spans="1:20">
      <c r="A123" s="224"/>
      <c r="B123" s="558">
        <v>15</v>
      </c>
      <c r="C123" s="6" t="s">
        <v>73</v>
      </c>
      <c r="D123" s="36" t="s">
        <v>89</v>
      </c>
      <c r="E123" s="224"/>
      <c r="F123" s="419">
        <v>651</v>
      </c>
      <c r="G123" s="115"/>
      <c r="P123" s="409">
        <v>1</v>
      </c>
      <c r="Q123" s="305">
        <v>1</v>
      </c>
      <c r="R123" s="342">
        <f>Elec_Est!R100</f>
        <v>0</v>
      </c>
      <c r="S123" s="446">
        <f t="shared" si="15"/>
        <v>0</v>
      </c>
      <c r="T123" s="342">
        <f>Elec_Est!T100</f>
        <v>0</v>
      </c>
    </row>
    <row r="124" spans="1:20">
      <c r="A124" s="224"/>
      <c r="B124" s="558">
        <v>16</v>
      </c>
      <c r="C124" s="6" t="s">
        <v>73</v>
      </c>
      <c r="D124" s="36" t="s">
        <v>90</v>
      </c>
      <c r="E124" s="224"/>
      <c r="F124" s="419">
        <v>652</v>
      </c>
      <c r="G124" s="115"/>
      <c r="P124" s="409">
        <v>1</v>
      </c>
      <c r="Q124" s="305">
        <v>1</v>
      </c>
      <c r="R124" s="342">
        <f>Elec_Est!R101</f>
        <v>0</v>
      </c>
      <c r="S124" s="446">
        <f t="shared" si="15"/>
        <v>0</v>
      </c>
      <c r="T124" s="342">
        <f>Elec_Est!T101</f>
        <v>0</v>
      </c>
    </row>
    <row r="125" spans="1:20">
      <c r="A125" s="224"/>
      <c r="B125" s="558">
        <v>17</v>
      </c>
      <c r="C125" s="6" t="s">
        <v>73</v>
      </c>
      <c r="D125" s="36" t="s">
        <v>91</v>
      </c>
      <c r="E125" s="224"/>
      <c r="F125" s="419">
        <v>654</v>
      </c>
      <c r="G125" s="115"/>
      <c r="P125" s="409">
        <v>1</v>
      </c>
      <c r="Q125" s="305">
        <v>1</v>
      </c>
      <c r="R125" s="342">
        <f>Elec_Est!R102</f>
        <v>0</v>
      </c>
      <c r="S125" s="446">
        <f t="shared" si="15"/>
        <v>0</v>
      </c>
      <c r="T125" s="342">
        <f>Elec_Est!T102</f>
        <v>0</v>
      </c>
    </row>
    <row r="126" spans="1:20">
      <c r="A126" s="224"/>
      <c r="B126" s="558">
        <v>18</v>
      </c>
      <c r="C126" s="6" t="s">
        <v>73</v>
      </c>
      <c r="D126" s="36" t="s">
        <v>92</v>
      </c>
      <c r="E126" s="224"/>
      <c r="F126" s="419">
        <v>675</v>
      </c>
      <c r="G126" s="115"/>
      <c r="P126" s="409">
        <v>1</v>
      </c>
      <c r="Q126" s="305">
        <v>1</v>
      </c>
      <c r="R126" s="342">
        <f>Elec_Est!R103</f>
        <v>0</v>
      </c>
      <c r="S126" s="446">
        <f t="shared" si="15"/>
        <v>0</v>
      </c>
      <c r="T126" s="342">
        <f>Elec_Est!T103</f>
        <v>0</v>
      </c>
    </row>
    <row r="127" spans="1:20">
      <c r="A127" s="224"/>
      <c r="B127" s="558">
        <v>19</v>
      </c>
      <c r="C127" s="6" t="s">
        <v>73</v>
      </c>
      <c r="D127" s="36" t="s">
        <v>93</v>
      </c>
      <c r="E127" s="224"/>
      <c r="F127" s="419">
        <v>676</v>
      </c>
      <c r="G127" s="115"/>
      <c r="P127" s="409">
        <v>1</v>
      </c>
      <c r="Q127" s="305">
        <v>1</v>
      </c>
      <c r="R127" s="342">
        <f>Elec_Est!R104</f>
        <v>0</v>
      </c>
      <c r="S127" s="446">
        <f t="shared" si="15"/>
        <v>0</v>
      </c>
      <c r="T127" s="342">
        <f>Elec_Est!T104</f>
        <v>0</v>
      </c>
    </row>
    <row r="128" spans="1:20">
      <c r="A128" s="224"/>
      <c r="B128" s="558">
        <v>20</v>
      </c>
      <c r="C128" s="6" t="s">
        <v>73</v>
      </c>
      <c r="D128" s="36" t="s">
        <v>94</v>
      </c>
      <c r="E128" s="224"/>
      <c r="F128" s="419">
        <v>680</v>
      </c>
      <c r="G128" s="115"/>
      <c r="P128" s="409">
        <v>1</v>
      </c>
      <c r="Q128" s="305">
        <v>1</v>
      </c>
      <c r="R128" s="342">
        <f>Elec_Est!R105</f>
        <v>0</v>
      </c>
      <c r="S128" s="446">
        <f t="shared" si="15"/>
        <v>0</v>
      </c>
      <c r="T128" s="342">
        <f>Elec_Est!T105</f>
        <v>0</v>
      </c>
    </row>
    <row r="129" spans="1:20">
      <c r="A129" s="224"/>
      <c r="B129" s="558" t="s">
        <v>95</v>
      </c>
      <c r="C129" s="6" t="s">
        <v>73</v>
      </c>
      <c r="D129" s="36" t="s">
        <v>96</v>
      </c>
      <c r="E129" s="224"/>
      <c r="F129" s="419">
        <v>681</v>
      </c>
      <c r="G129" s="115"/>
      <c r="P129" s="409">
        <v>1</v>
      </c>
      <c r="Q129" s="305">
        <v>1</v>
      </c>
      <c r="R129" s="342">
        <f>Elec_Est!R106</f>
        <v>0</v>
      </c>
      <c r="S129" s="446">
        <f t="shared" si="15"/>
        <v>0</v>
      </c>
      <c r="T129" s="342">
        <f>Elec_Est!T106</f>
        <v>0</v>
      </c>
    </row>
    <row r="130" spans="1:20">
      <c r="A130" s="224"/>
      <c r="B130" s="558">
        <v>22</v>
      </c>
      <c r="C130" s="6" t="s">
        <v>73</v>
      </c>
      <c r="D130" s="36" t="s">
        <v>97</v>
      </c>
      <c r="E130" s="224"/>
      <c r="F130" s="419">
        <v>690</v>
      </c>
      <c r="G130" s="115"/>
      <c r="P130" s="409">
        <v>1</v>
      </c>
      <c r="Q130" s="305">
        <v>1</v>
      </c>
      <c r="R130" s="342">
        <f>Elec_Est!R107</f>
        <v>0</v>
      </c>
      <c r="S130" s="446">
        <f t="shared" si="15"/>
        <v>0</v>
      </c>
      <c r="T130" s="342">
        <f>Elec_Est!T107</f>
        <v>0</v>
      </c>
    </row>
    <row r="131" spans="1:20">
      <c r="A131" s="224"/>
      <c r="B131" s="558">
        <v>23</v>
      </c>
      <c r="C131" s="6" t="s">
        <v>73</v>
      </c>
      <c r="D131" s="36" t="s">
        <v>98</v>
      </c>
      <c r="E131" s="224"/>
      <c r="F131" s="419">
        <v>700</v>
      </c>
      <c r="G131" s="115"/>
      <c r="P131" s="409">
        <v>1</v>
      </c>
      <c r="Q131" s="305">
        <v>1</v>
      </c>
      <c r="R131" s="342">
        <f>Elec_Est!R108</f>
        <v>0</v>
      </c>
      <c r="S131" s="446">
        <f t="shared" si="15"/>
        <v>0</v>
      </c>
      <c r="T131" s="342">
        <f>Elec_Est!T108</f>
        <v>0</v>
      </c>
    </row>
    <row r="132" spans="1:20">
      <c r="A132" s="224"/>
      <c r="B132" s="558">
        <v>24</v>
      </c>
      <c r="C132" s="6" t="s">
        <v>73</v>
      </c>
      <c r="D132" s="36" t="s">
        <v>99</v>
      </c>
      <c r="E132" s="224"/>
      <c r="F132" s="419">
        <v>705</v>
      </c>
      <c r="G132" s="115"/>
      <c r="P132" s="409">
        <v>3</v>
      </c>
      <c r="Q132" s="305">
        <v>1</v>
      </c>
      <c r="R132" s="342">
        <f>Elec_Est!R109</f>
        <v>0</v>
      </c>
      <c r="S132" s="446">
        <f t="shared" si="15"/>
        <v>0</v>
      </c>
      <c r="T132" s="342">
        <f>Elec_Est!T109</f>
        <v>0</v>
      </c>
    </row>
    <row r="133" spans="1:20">
      <c r="A133" s="224"/>
      <c r="B133" s="558">
        <v>25</v>
      </c>
      <c r="C133" s="6" t="s">
        <v>73</v>
      </c>
      <c r="D133" s="36" t="s">
        <v>100</v>
      </c>
      <c r="E133" s="224"/>
      <c r="F133" s="419">
        <v>706</v>
      </c>
      <c r="G133" s="115"/>
      <c r="P133" s="409">
        <v>3</v>
      </c>
      <c r="Q133" s="305">
        <v>1</v>
      </c>
      <c r="R133" s="342">
        <f>Elec_Est!R110</f>
        <v>0</v>
      </c>
      <c r="S133" s="446">
        <f t="shared" si="15"/>
        <v>0</v>
      </c>
      <c r="T133" s="342">
        <f>Elec_Est!T110</f>
        <v>0</v>
      </c>
    </row>
    <row r="134" spans="1:20">
      <c r="A134" s="224"/>
      <c r="B134" s="558">
        <v>26</v>
      </c>
      <c r="C134" s="6" t="s">
        <v>73</v>
      </c>
      <c r="D134" s="36" t="s">
        <v>101</v>
      </c>
      <c r="E134" s="224"/>
      <c r="F134" s="419">
        <v>725</v>
      </c>
      <c r="G134" s="115"/>
      <c r="P134" s="409">
        <v>3</v>
      </c>
      <c r="Q134" s="305">
        <v>1</v>
      </c>
      <c r="R134" s="342">
        <f>Elec_Est!R111</f>
        <v>0</v>
      </c>
      <c r="S134" s="446">
        <f t="shared" si="15"/>
        <v>0</v>
      </c>
      <c r="T134" s="342">
        <f>Elec_Est!T111</f>
        <v>0</v>
      </c>
    </row>
    <row r="135" spans="1:20">
      <c r="A135" s="224"/>
      <c r="B135" s="558">
        <v>27</v>
      </c>
      <c r="C135" s="6" t="s">
        <v>73</v>
      </c>
      <c r="D135" s="36" t="s">
        <v>102</v>
      </c>
      <c r="E135" s="224"/>
      <c r="F135" s="419">
        <v>726</v>
      </c>
      <c r="G135" s="115"/>
      <c r="P135" s="409">
        <v>3</v>
      </c>
      <c r="Q135" s="305">
        <v>1</v>
      </c>
      <c r="R135" s="342">
        <f>Elec_Est!R112</f>
        <v>0</v>
      </c>
      <c r="S135" s="446">
        <f t="shared" si="15"/>
        <v>0</v>
      </c>
      <c r="T135" s="342">
        <f>Elec_Est!T112</f>
        <v>0</v>
      </c>
    </row>
    <row r="136" spans="1:20">
      <c r="A136" s="224"/>
      <c r="B136" s="558">
        <v>28</v>
      </c>
      <c r="C136" s="6" t="s">
        <v>73</v>
      </c>
      <c r="D136" s="36" t="s">
        <v>103</v>
      </c>
      <c r="E136" s="224"/>
      <c r="F136" s="419">
        <v>750</v>
      </c>
      <c r="G136" s="115"/>
      <c r="P136" s="409">
        <v>3</v>
      </c>
      <c r="Q136" s="305">
        <v>1</v>
      </c>
      <c r="R136" s="342">
        <f>Elec_Est!R113</f>
        <v>0</v>
      </c>
      <c r="S136" s="446">
        <f t="shared" si="15"/>
        <v>0</v>
      </c>
      <c r="T136" s="342">
        <f>Elec_Est!T113</f>
        <v>0</v>
      </c>
    </row>
    <row r="137" spans="1:20">
      <c r="A137" s="224"/>
      <c r="B137" s="558">
        <v>29</v>
      </c>
      <c r="C137" s="6" t="s">
        <v>73</v>
      </c>
      <c r="D137" s="36" t="s">
        <v>104</v>
      </c>
      <c r="E137" s="224"/>
      <c r="F137" s="419">
        <v>751</v>
      </c>
      <c r="G137" s="115"/>
      <c r="P137" s="409">
        <v>3</v>
      </c>
      <c r="Q137" s="305">
        <v>1</v>
      </c>
      <c r="R137" s="342">
        <f>Elec_Est!R114</f>
        <v>0</v>
      </c>
      <c r="S137" s="446">
        <f t="shared" si="15"/>
        <v>0</v>
      </c>
      <c r="T137" s="342">
        <f>Elec_Est!T114</f>
        <v>0</v>
      </c>
    </row>
    <row r="138" spans="1:20">
      <c r="A138" s="224"/>
      <c r="B138" s="558">
        <v>30</v>
      </c>
      <c r="C138" s="6" t="s">
        <v>73</v>
      </c>
      <c r="D138" s="36" t="s">
        <v>105</v>
      </c>
      <c r="E138" s="224"/>
      <c r="F138" s="419">
        <v>752</v>
      </c>
      <c r="G138" s="115"/>
      <c r="P138" s="409">
        <v>3</v>
      </c>
      <c r="Q138" s="305">
        <v>1</v>
      </c>
      <c r="R138" s="342">
        <f>Elec_Est!R115</f>
        <v>0</v>
      </c>
      <c r="S138" s="446">
        <f t="shared" si="15"/>
        <v>0</v>
      </c>
      <c r="T138" s="342">
        <f>Elec_Est!T115</f>
        <v>0</v>
      </c>
    </row>
    <row r="139" spans="1:20">
      <c r="A139" s="224"/>
      <c r="B139" s="558" t="s">
        <v>106</v>
      </c>
      <c r="C139" s="6" t="s">
        <v>73</v>
      </c>
      <c r="D139" s="720" t="s">
        <v>307</v>
      </c>
      <c r="E139" s="224"/>
      <c r="F139" s="419">
        <v>753</v>
      </c>
      <c r="G139" s="115"/>
      <c r="P139" s="409">
        <v>3</v>
      </c>
      <c r="Q139" s="305">
        <v>1</v>
      </c>
      <c r="R139" s="342">
        <f>Elec_Est!R116</f>
        <v>0</v>
      </c>
      <c r="S139" s="446">
        <f t="shared" si="15"/>
        <v>0</v>
      </c>
      <c r="T139" s="342">
        <f>Elec_Est!T116</f>
        <v>0</v>
      </c>
    </row>
    <row r="140" spans="1:20">
      <c r="A140" s="224"/>
      <c r="B140" s="558">
        <v>32</v>
      </c>
      <c r="C140" s="6" t="s">
        <v>73</v>
      </c>
      <c r="D140" s="36" t="s">
        <v>107</v>
      </c>
      <c r="E140" s="224"/>
      <c r="F140" s="419">
        <v>770</v>
      </c>
      <c r="G140" s="115"/>
      <c r="P140" s="409">
        <v>3</v>
      </c>
      <c r="Q140" s="305">
        <v>1</v>
      </c>
      <c r="R140" s="342">
        <f>Elec_Est!R117</f>
        <v>0</v>
      </c>
      <c r="S140" s="446">
        <f t="shared" si="15"/>
        <v>0</v>
      </c>
      <c r="T140" s="342">
        <f>Elec_Est!T117</f>
        <v>0</v>
      </c>
    </row>
    <row r="141" spans="1:20">
      <c r="A141" s="224"/>
      <c r="B141" s="558">
        <v>33</v>
      </c>
      <c r="C141" s="6" t="s">
        <v>73</v>
      </c>
      <c r="D141" s="36" t="s">
        <v>108</v>
      </c>
      <c r="E141" s="224"/>
      <c r="F141" s="419">
        <v>790</v>
      </c>
      <c r="G141" s="115"/>
      <c r="P141" s="409">
        <v>3</v>
      </c>
      <c r="Q141" s="305">
        <v>1</v>
      </c>
      <c r="R141" s="342">
        <f>Elec_Est!R118</f>
        <v>0</v>
      </c>
      <c r="S141" s="446">
        <f t="shared" si="15"/>
        <v>0</v>
      </c>
      <c r="T141" s="342">
        <f>Elec_Est!T118</f>
        <v>0</v>
      </c>
    </row>
    <row r="142" spans="1:20">
      <c r="A142" s="224"/>
      <c r="B142" s="558">
        <v>34</v>
      </c>
      <c r="C142" s="6" t="s">
        <v>73</v>
      </c>
      <c r="D142" s="36" t="s">
        <v>109</v>
      </c>
      <c r="E142" s="224"/>
      <c r="F142" s="419">
        <v>791</v>
      </c>
      <c r="G142" s="115"/>
      <c r="P142" s="409">
        <v>3</v>
      </c>
      <c r="Q142" s="305">
        <v>1</v>
      </c>
      <c r="R142" s="342">
        <f>Elec_Est!R119</f>
        <v>0</v>
      </c>
      <c r="S142" s="446">
        <f t="shared" si="15"/>
        <v>0</v>
      </c>
      <c r="T142" s="342">
        <f>Elec_Est!T119</f>
        <v>0</v>
      </c>
    </row>
    <row r="143" spans="1:20">
      <c r="A143" s="224"/>
      <c r="B143" s="558">
        <v>35</v>
      </c>
      <c r="C143" s="6" t="s">
        <v>73</v>
      </c>
      <c r="D143" s="36" t="s">
        <v>110</v>
      </c>
      <c r="E143" s="224"/>
      <c r="F143" s="419">
        <v>810</v>
      </c>
      <c r="G143" s="115"/>
      <c r="P143" s="409">
        <v>3</v>
      </c>
      <c r="Q143" s="305">
        <v>1</v>
      </c>
      <c r="R143" s="342">
        <f>Elec_Est!R120</f>
        <v>0</v>
      </c>
      <c r="S143" s="446">
        <f t="shared" si="15"/>
        <v>0</v>
      </c>
      <c r="T143" s="342">
        <f>Elec_Est!T120</f>
        <v>0</v>
      </c>
    </row>
    <row r="144" spans="1:20">
      <c r="A144" s="224"/>
      <c r="B144" s="558">
        <v>36</v>
      </c>
      <c r="C144" s="6" t="s">
        <v>73</v>
      </c>
      <c r="D144" s="36" t="s">
        <v>111</v>
      </c>
      <c r="E144" s="224"/>
      <c r="F144" s="419">
        <v>815</v>
      </c>
      <c r="G144" s="115"/>
      <c r="P144" s="409">
        <v>3</v>
      </c>
      <c r="Q144" s="305">
        <v>1</v>
      </c>
      <c r="R144" s="342">
        <f>Elec_Est!R121</f>
        <v>0</v>
      </c>
      <c r="S144" s="446">
        <f t="shared" si="15"/>
        <v>0</v>
      </c>
      <c r="T144" s="342">
        <f>Elec_Est!T121</f>
        <v>0</v>
      </c>
    </row>
    <row r="145" spans="1:23">
      <c r="A145" s="224"/>
      <c r="B145" s="558">
        <v>37</v>
      </c>
      <c r="C145" s="6" t="s">
        <v>73</v>
      </c>
      <c r="D145" s="36" t="s">
        <v>112</v>
      </c>
      <c r="E145" s="224"/>
      <c r="F145" s="419">
        <v>820</v>
      </c>
      <c r="G145" s="115"/>
      <c r="P145" s="409">
        <v>2</v>
      </c>
      <c r="Q145" s="305">
        <v>1</v>
      </c>
      <c r="R145" s="342">
        <f>Elec_Est!R122</f>
        <v>0</v>
      </c>
      <c r="S145" s="446">
        <f t="shared" si="15"/>
        <v>0</v>
      </c>
      <c r="T145" s="342">
        <f>Elec_Est!T122</f>
        <v>0</v>
      </c>
    </row>
    <row r="146" spans="1:23">
      <c r="A146" s="224"/>
      <c r="B146" s="558">
        <v>38</v>
      </c>
      <c r="C146" s="6" t="s">
        <v>73</v>
      </c>
      <c r="D146" s="36" t="s">
        <v>113</v>
      </c>
      <c r="E146" s="224"/>
      <c r="F146" s="419">
        <v>821</v>
      </c>
      <c r="G146" s="115"/>
      <c r="P146" s="409">
        <v>3</v>
      </c>
      <c r="Q146" s="305">
        <v>1</v>
      </c>
      <c r="R146" s="342">
        <f>Elec_Est!R123</f>
        <v>0</v>
      </c>
      <c r="S146" s="446">
        <f t="shared" si="15"/>
        <v>0</v>
      </c>
      <c r="T146" s="342">
        <f>Elec_Est!T123</f>
        <v>0</v>
      </c>
    </row>
    <row r="147" spans="1:23">
      <c r="A147" s="224"/>
      <c r="B147" s="558">
        <v>39</v>
      </c>
      <c r="C147" s="6" t="s">
        <v>73</v>
      </c>
      <c r="D147" s="36" t="s">
        <v>114</v>
      </c>
      <c r="E147" s="224"/>
      <c r="F147" s="419">
        <v>835</v>
      </c>
      <c r="G147" s="115"/>
      <c r="P147" s="409">
        <v>3</v>
      </c>
      <c r="Q147" s="305">
        <v>1</v>
      </c>
      <c r="R147" s="342">
        <f>Elec_Est!R124</f>
        <v>0</v>
      </c>
      <c r="S147" s="446">
        <f t="shared" si="15"/>
        <v>0</v>
      </c>
      <c r="T147" s="342">
        <f>Elec_Est!T124</f>
        <v>0</v>
      </c>
    </row>
    <row r="148" spans="1:23">
      <c r="A148" s="224"/>
      <c r="B148" s="558">
        <v>40</v>
      </c>
      <c r="C148" s="6" t="s">
        <v>73</v>
      </c>
      <c r="D148" s="36" t="s">
        <v>115</v>
      </c>
      <c r="E148" s="224"/>
      <c r="F148" s="419">
        <v>845</v>
      </c>
      <c r="G148" s="115"/>
      <c r="P148" s="409">
        <v>2</v>
      </c>
      <c r="Q148" s="305">
        <v>1</v>
      </c>
      <c r="R148" s="342">
        <f>Elec_Est!R125</f>
        <v>0</v>
      </c>
      <c r="S148" s="446">
        <f t="shared" si="15"/>
        <v>0</v>
      </c>
      <c r="T148" s="342">
        <f>Elec_Est!T125</f>
        <v>0</v>
      </c>
    </row>
    <row r="149" spans="1:23">
      <c r="A149" s="224"/>
      <c r="B149" s="558" t="s">
        <v>116</v>
      </c>
      <c r="C149" s="6" t="s">
        <v>73</v>
      </c>
      <c r="D149" s="36" t="s">
        <v>117</v>
      </c>
      <c r="E149" s="224"/>
      <c r="F149" s="419">
        <v>855</v>
      </c>
      <c r="G149" s="115"/>
      <c r="P149" s="409">
        <v>3</v>
      </c>
      <c r="Q149" s="305">
        <v>1</v>
      </c>
      <c r="R149" s="342">
        <f>Elec_Est!R126</f>
        <v>0</v>
      </c>
      <c r="S149" s="446">
        <f t="shared" si="15"/>
        <v>0</v>
      </c>
      <c r="T149" s="342">
        <f>Elec_Est!T126</f>
        <v>0</v>
      </c>
    </row>
    <row r="150" spans="1:23">
      <c r="A150" s="224"/>
      <c r="B150" s="558">
        <v>42</v>
      </c>
      <c r="C150" s="6" t="s">
        <v>73</v>
      </c>
      <c r="D150" s="36" t="s">
        <v>118</v>
      </c>
      <c r="E150" s="224"/>
      <c r="F150" s="419">
        <v>856</v>
      </c>
      <c r="G150" s="115"/>
      <c r="P150" s="409">
        <v>3</v>
      </c>
      <c r="Q150" s="305">
        <v>1</v>
      </c>
      <c r="R150" s="342">
        <f>Elec_Est!R127</f>
        <v>0</v>
      </c>
      <c r="S150" s="446">
        <f t="shared" si="15"/>
        <v>0</v>
      </c>
      <c r="T150" s="342">
        <f>Elec_Est!T127</f>
        <v>0</v>
      </c>
    </row>
    <row r="151" spans="1:23">
      <c r="A151" s="224"/>
      <c r="B151" s="558">
        <v>43</v>
      </c>
      <c r="C151" s="6" t="s">
        <v>73</v>
      </c>
      <c r="D151" s="36" t="s">
        <v>281</v>
      </c>
      <c r="E151" s="224"/>
      <c r="F151" s="419">
        <v>857</v>
      </c>
      <c r="G151" s="115"/>
      <c r="P151" s="409">
        <v>4</v>
      </c>
      <c r="Q151" s="305">
        <v>1</v>
      </c>
      <c r="R151" s="342">
        <f>Elec_Est!R128</f>
        <v>0</v>
      </c>
      <c r="S151" s="446">
        <f t="shared" si="15"/>
        <v>0</v>
      </c>
      <c r="T151" s="342">
        <f>Elec_Est!T128</f>
        <v>0</v>
      </c>
    </row>
    <row r="152" spans="1:23">
      <c r="A152" s="224"/>
      <c r="B152" s="558">
        <v>44</v>
      </c>
      <c r="C152" s="6" t="s">
        <v>73</v>
      </c>
      <c r="D152" s="36" t="s">
        <v>119</v>
      </c>
      <c r="E152" s="224"/>
      <c r="F152" s="419">
        <v>858</v>
      </c>
      <c r="G152" s="115"/>
      <c r="P152" s="409">
        <v>3</v>
      </c>
      <c r="Q152" s="305">
        <v>1</v>
      </c>
      <c r="R152" s="342">
        <f>Elec_Est!R129</f>
        <v>0</v>
      </c>
      <c r="S152" s="446">
        <f t="shared" si="15"/>
        <v>0</v>
      </c>
      <c r="T152" s="342">
        <f>Elec_Est!T129</f>
        <v>0</v>
      </c>
    </row>
    <row r="153" spans="1:23">
      <c r="A153" s="224"/>
      <c r="B153" s="558">
        <v>45</v>
      </c>
      <c r="C153" s="6" t="s">
        <v>73</v>
      </c>
      <c r="D153" s="36" t="s">
        <v>120</v>
      </c>
      <c r="E153" s="224"/>
      <c r="F153" s="419">
        <v>865</v>
      </c>
      <c r="G153" s="115"/>
      <c r="P153" s="409">
        <v>3</v>
      </c>
      <c r="Q153" s="305">
        <v>1</v>
      </c>
      <c r="R153" s="342">
        <f>Elec_Est!R130</f>
        <v>0</v>
      </c>
      <c r="S153" s="446">
        <f t="shared" si="15"/>
        <v>0</v>
      </c>
      <c r="T153" s="342">
        <f>Elec_Est!T130</f>
        <v>0</v>
      </c>
    </row>
    <row r="154" spans="1:23">
      <c r="A154" s="224"/>
      <c r="B154" s="558">
        <v>46</v>
      </c>
      <c r="C154" s="6" t="s">
        <v>73</v>
      </c>
      <c r="D154" s="36" t="s">
        <v>121</v>
      </c>
      <c r="E154" s="224"/>
      <c r="F154" s="419">
        <v>870</v>
      </c>
      <c r="G154" s="115"/>
      <c r="P154" s="409">
        <v>4</v>
      </c>
      <c r="Q154" s="305">
        <v>1</v>
      </c>
      <c r="R154" s="342">
        <f>Elec_Est!R131</f>
        <v>0</v>
      </c>
      <c r="S154" s="446">
        <f t="shared" si="15"/>
        <v>0</v>
      </c>
      <c r="T154" s="342">
        <f>Elec_Est!T131</f>
        <v>0</v>
      </c>
    </row>
    <row r="155" spans="1:23">
      <c r="A155" s="224"/>
      <c r="B155" s="558">
        <v>47</v>
      </c>
      <c r="C155" s="6" t="s">
        <v>73</v>
      </c>
      <c r="D155" s="36" t="s">
        <v>122</v>
      </c>
      <c r="E155" s="224"/>
      <c r="F155" s="419">
        <v>875</v>
      </c>
      <c r="G155" s="115"/>
      <c r="P155" s="409">
        <v>1</v>
      </c>
      <c r="Q155" s="305">
        <v>1</v>
      </c>
      <c r="R155" s="342">
        <f>Elec_Est!R132</f>
        <v>0</v>
      </c>
      <c r="S155" s="446">
        <f t="shared" si="15"/>
        <v>0</v>
      </c>
      <c r="T155" s="342">
        <f>Elec_Est!T132</f>
        <v>0</v>
      </c>
      <c r="W155" s="720"/>
    </row>
    <row r="156" spans="1:23">
      <c r="A156" s="224"/>
      <c r="B156" s="558">
        <v>48</v>
      </c>
      <c r="C156" s="6" t="s">
        <v>73</v>
      </c>
      <c r="D156" s="36" t="s">
        <v>123</v>
      </c>
      <c r="E156" s="224"/>
      <c r="F156" s="419">
        <v>880</v>
      </c>
      <c r="G156" s="115"/>
      <c r="P156" s="409">
        <v>3</v>
      </c>
      <c r="Q156" s="305">
        <v>1</v>
      </c>
      <c r="R156" s="342">
        <f>Elec_Est!R133</f>
        <v>0</v>
      </c>
      <c r="S156" s="446">
        <f t="shared" si="15"/>
        <v>0</v>
      </c>
      <c r="T156" s="342">
        <f>Elec_Est!T133</f>
        <v>0</v>
      </c>
    </row>
    <row r="157" spans="1:23">
      <c r="A157" s="224"/>
      <c r="B157" s="558">
        <v>49</v>
      </c>
      <c r="C157" s="6" t="s">
        <v>73</v>
      </c>
      <c r="D157" s="36" t="s">
        <v>124</v>
      </c>
      <c r="E157" s="224"/>
      <c r="F157" s="419">
        <v>885</v>
      </c>
      <c r="G157" s="115"/>
      <c r="P157" s="409">
        <v>4</v>
      </c>
      <c r="Q157" s="305">
        <v>1</v>
      </c>
      <c r="R157" s="342">
        <f>Elec_Est!R134</f>
        <v>0</v>
      </c>
      <c r="S157" s="446">
        <f t="shared" si="15"/>
        <v>0</v>
      </c>
      <c r="T157" s="342">
        <f>Elec_Est!T134</f>
        <v>0</v>
      </c>
    </row>
    <row r="158" spans="1:23">
      <c r="A158" s="224"/>
      <c r="B158" s="558">
        <v>50</v>
      </c>
      <c r="C158" s="6" t="s">
        <v>73</v>
      </c>
      <c r="D158" s="36" t="s">
        <v>68</v>
      </c>
      <c r="E158" s="224"/>
      <c r="F158" s="419">
        <v>900</v>
      </c>
      <c r="G158" s="115"/>
      <c r="P158" s="409">
        <v>3</v>
      </c>
      <c r="Q158" s="305">
        <v>1</v>
      </c>
      <c r="R158" s="342">
        <f>Elec_Est!R135</f>
        <v>0</v>
      </c>
      <c r="S158" s="446">
        <f t="shared" si="15"/>
        <v>0</v>
      </c>
      <c r="T158" s="342">
        <f>Elec_Est!T135</f>
        <v>0</v>
      </c>
    </row>
    <row r="159" spans="1:23">
      <c r="A159" s="224"/>
      <c r="B159" s="558" t="s">
        <v>125</v>
      </c>
      <c r="C159" s="6" t="s">
        <v>73</v>
      </c>
      <c r="D159" s="36" t="s">
        <v>126</v>
      </c>
      <c r="E159" s="224"/>
      <c r="F159" s="419">
        <v>901</v>
      </c>
      <c r="G159" s="115"/>
      <c r="P159" s="409">
        <v>1</v>
      </c>
      <c r="Q159" s="305">
        <v>1</v>
      </c>
      <c r="R159" s="342">
        <f>Elec_Est!R136</f>
        <v>0</v>
      </c>
      <c r="S159" s="446">
        <f t="shared" si="15"/>
        <v>0</v>
      </c>
      <c r="T159" s="342">
        <f>Elec_Est!T136</f>
        <v>0</v>
      </c>
    </row>
    <row r="160" spans="1:23">
      <c r="A160" s="224"/>
      <c r="B160" s="558">
        <v>52</v>
      </c>
      <c r="C160" s="6" t="s">
        <v>73</v>
      </c>
      <c r="D160" s="36" t="s">
        <v>127</v>
      </c>
      <c r="E160" s="224"/>
      <c r="F160" s="419">
        <v>902</v>
      </c>
      <c r="G160" s="115"/>
      <c r="P160" s="409">
        <v>3</v>
      </c>
      <c r="Q160" s="305">
        <v>1</v>
      </c>
      <c r="R160" s="342">
        <f>Elec_Est!R137</f>
        <v>0</v>
      </c>
      <c r="S160" s="446">
        <f t="shared" si="15"/>
        <v>0</v>
      </c>
      <c r="T160" s="342">
        <f>Elec_Est!T137</f>
        <v>0</v>
      </c>
    </row>
    <row r="161" spans="1:20">
      <c r="A161" s="224"/>
      <c r="B161" s="558">
        <v>53</v>
      </c>
      <c r="C161" s="6" t="s">
        <v>73</v>
      </c>
      <c r="D161" s="119" t="s">
        <v>128</v>
      </c>
      <c r="E161" s="224"/>
      <c r="F161" s="419">
        <v>960</v>
      </c>
      <c r="G161" s="115"/>
      <c r="P161" s="409">
        <v>4</v>
      </c>
      <c r="Q161" s="305">
        <v>1</v>
      </c>
      <c r="R161" s="342">
        <f>Elec_Est!R138</f>
        <v>0</v>
      </c>
      <c r="S161" s="446">
        <f t="shared" si="15"/>
        <v>0</v>
      </c>
      <c r="T161" s="342">
        <f>Elec_Est!T138</f>
        <v>0</v>
      </c>
    </row>
    <row r="162" spans="1:20">
      <c r="A162" s="224"/>
      <c r="B162" s="558">
        <v>54</v>
      </c>
      <c r="C162" s="6" t="s">
        <v>73</v>
      </c>
      <c r="D162" s="119" t="s">
        <v>129</v>
      </c>
      <c r="E162" s="224"/>
      <c r="F162" s="419">
        <v>961</v>
      </c>
      <c r="G162" s="115"/>
      <c r="P162" s="409">
        <v>3</v>
      </c>
      <c r="Q162" s="305">
        <v>1</v>
      </c>
      <c r="R162" s="342">
        <f>Elec_Est!R139</f>
        <v>0</v>
      </c>
      <c r="S162" s="446">
        <f t="shared" si="15"/>
        <v>0</v>
      </c>
      <c r="T162" s="342">
        <f>Elec_Est!T139</f>
        <v>0</v>
      </c>
    </row>
    <row r="163" spans="1:20">
      <c r="A163" s="224"/>
      <c r="B163" s="558">
        <v>55</v>
      </c>
      <c r="C163" s="6" t="s">
        <v>73</v>
      </c>
      <c r="D163" s="119" t="s">
        <v>130</v>
      </c>
      <c r="E163" s="224"/>
      <c r="F163" s="419">
        <v>962</v>
      </c>
      <c r="G163" s="115"/>
      <c r="P163" s="409">
        <v>1</v>
      </c>
      <c r="Q163" s="305">
        <v>1</v>
      </c>
      <c r="R163" s="342">
        <f>Elec_Est!R140</f>
        <v>0</v>
      </c>
      <c r="S163" s="446">
        <f t="shared" si="15"/>
        <v>0</v>
      </c>
      <c r="T163" s="342">
        <f>Elec_Est!T140</f>
        <v>0</v>
      </c>
    </row>
    <row r="164" spans="1:20">
      <c r="A164" s="224"/>
      <c r="B164" s="558">
        <v>57</v>
      </c>
      <c r="C164" s="6" t="s">
        <v>73</v>
      </c>
      <c r="D164" s="720" t="s">
        <v>320</v>
      </c>
      <c r="E164" s="224"/>
      <c r="F164" s="419">
        <v>410</v>
      </c>
      <c r="G164" s="115"/>
      <c r="P164" s="409">
        <v>4</v>
      </c>
      <c r="Q164" s="305">
        <v>1</v>
      </c>
      <c r="R164" s="342">
        <f>Elec_Est!R141</f>
        <v>0</v>
      </c>
      <c r="S164" s="446">
        <f t="shared" si="15"/>
        <v>0</v>
      </c>
      <c r="T164" s="342">
        <f>Elec_Est!T141</f>
        <v>0</v>
      </c>
    </row>
    <row r="165" spans="1:20">
      <c r="A165" s="224"/>
      <c r="B165" s="558">
        <v>58</v>
      </c>
      <c r="C165" s="6" t="s">
        <v>73</v>
      </c>
      <c r="D165" s="36" t="s">
        <v>321</v>
      </c>
      <c r="E165" s="224"/>
      <c r="F165" s="419">
        <v>411</v>
      </c>
      <c r="G165" s="115"/>
      <c r="P165" s="409">
        <v>4</v>
      </c>
      <c r="Q165" s="305">
        <v>1</v>
      </c>
      <c r="R165" s="342">
        <f>Elec_Est!R142</f>
        <v>0</v>
      </c>
      <c r="S165" s="446">
        <f t="shared" si="15"/>
        <v>0</v>
      </c>
      <c r="T165" s="342">
        <f>Elec_Est!T142</f>
        <v>0</v>
      </c>
    </row>
    <row r="166" spans="1:20">
      <c r="A166" s="224"/>
      <c r="B166" s="558">
        <v>59</v>
      </c>
      <c r="C166" s="6" t="s">
        <v>73</v>
      </c>
      <c r="D166" s="36" t="s">
        <v>322</v>
      </c>
      <c r="E166" s="224"/>
      <c r="F166" s="419">
        <v>412</v>
      </c>
      <c r="G166" s="115"/>
      <c r="P166" s="409">
        <v>4</v>
      </c>
      <c r="Q166" s="305">
        <v>1</v>
      </c>
      <c r="R166" s="342">
        <f>Elec_Est!R143</f>
        <v>0</v>
      </c>
      <c r="S166" s="446">
        <f t="shared" si="15"/>
        <v>0</v>
      </c>
      <c r="T166" s="342">
        <f>Elec_Est!T143</f>
        <v>0</v>
      </c>
    </row>
    <row r="167" spans="1:20">
      <c r="A167" s="224"/>
      <c r="B167" s="558">
        <v>60</v>
      </c>
      <c r="C167" s="6" t="s">
        <v>73</v>
      </c>
      <c r="D167" s="36" t="s">
        <v>323</v>
      </c>
      <c r="E167" s="224"/>
      <c r="F167" s="419">
        <v>413</v>
      </c>
      <c r="G167" s="115"/>
      <c r="P167" s="409">
        <v>4</v>
      </c>
      <c r="Q167" s="305">
        <v>1</v>
      </c>
      <c r="R167" s="342">
        <f>Elec_Est!R144</f>
        <v>0</v>
      </c>
      <c r="S167" s="446">
        <f t="shared" si="15"/>
        <v>0</v>
      </c>
      <c r="T167" s="342">
        <f>Elec_Est!T144</f>
        <v>0</v>
      </c>
    </row>
    <row r="168" spans="1:20">
      <c r="A168" s="224"/>
      <c r="B168" s="558">
        <v>61</v>
      </c>
      <c r="C168" s="6" t="s">
        <v>73</v>
      </c>
      <c r="D168" s="36" t="s">
        <v>324</v>
      </c>
      <c r="E168" s="224"/>
      <c r="F168" s="419">
        <v>414</v>
      </c>
      <c r="G168" s="115"/>
      <c r="P168" s="409">
        <v>4</v>
      </c>
      <c r="Q168" s="305">
        <v>1</v>
      </c>
      <c r="R168" s="342">
        <f>Elec_Est!R145</f>
        <v>0</v>
      </c>
      <c r="S168" s="446">
        <f t="shared" si="15"/>
        <v>0</v>
      </c>
      <c r="T168" s="342">
        <f>Elec_Est!T145</f>
        <v>0</v>
      </c>
    </row>
    <row r="169" spans="1:20">
      <c r="A169" s="224"/>
      <c r="B169" s="558">
        <v>62</v>
      </c>
      <c r="C169" s="6" t="s">
        <v>73</v>
      </c>
      <c r="D169" s="36" t="s">
        <v>325</v>
      </c>
      <c r="E169" s="224"/>
      <c r="F169" s="419">
        <v>415</v>
      </c>
      <c r="G169" s="115"/>
      <c r="P169" s="409">
        <v>4</v>
      </c>
      <c r="Q169" s="305">
        <v>1</v>
      </c>
      <c r="R169" s="342">
        <f>Elec_Est!R146</f>
        <v>0</v>
      </c>
      <c r="S169" s="446">
        <f t="shared" si="15"/>
        <v>0</v>
      </c>
      <c r="T169" s="342">
        <f>Elec_Est!T146</f>
        <v>0</v>
      </c>
    </row>
    <row r="170" spans="1:20">
      <c r="A170" s="224"/>
      <c r="B170" s="558">
        <v>63</v>
      </c>
      <c r="C170" s="6" t="s">
        <v>73</v>
      </c>
      <c r="D170" s="36" t="s">
        <v>326</v>
      </c>
      <c r="E170" s="224"/>
      <c r="F170" s="419">
        <v>416</v>
      </c>
      <c r="G170" s="115"/>
      <c r="P170" s="409">
        <v>4</v>
      </c>
      <c r="Q170" s="305">
        <v>1</v>
      </c>
      <c r="R170" s="342">
        <f>Elec_Est!R147</f>
        <v>620</v>
      </c>
      <c r="S170" s="446">
        <f t="shared" si="15"/>
        <v>0</v>
      </c>
      <c r="T170" s="342">
        <f>Elec_Est!T147</f>
        <v>0</v>
      </c>
    </row>
    <row r="171" spans="1:20">
      <c r="A171" s="224"/>
      <c r="B171" s="558">
        <v>64</v>
      </c>
      <c r="C171" s="6" t="s">
        <v>73</v>
      </c>
      <c r="D171" s="36" t="s">
        <v>327</v>
      </c>
      <c r="E171" s="224"/>
      <c r="F171" s="419">
        <v>417</v>
      </c>
      <c r="G171" s="115"/>
      <c r="P171" s="409">
        <v>4</v>
      </c>
      <c r="Q171" s="305">
        <v>1</v>
      </c>
      <c r="R171" s="342">
        <f>Elec_Est!R148</f>
        <v>0</v>
      </c>
      <c r="S171" s="446">
        <f t="shared" si="15"/>
        <v>0</v>
      </c>
      <c r="T171" s="342">
        <f>Elec_Est!T148</f>
        <v>0</v>
      </c>
    </row>
    <row r="172" spans="1:20">
      <c r="A172" s="224"/>
      <c r="B172" s="558">
        <v>65</v>
      </c>
      <c r="C172" s="6" t="s">
        <v>73</v>
      </c>
      <c r="D172" s="36" t="s">
        <v>328</v>
      </c>
      <c r="E172" s="224"/>
      <c r="F172" s="419">
        <v>418</v>
      </c>
      <c r="G172" s="115"/>
      <c r="P172" s="409">
        <v>4</v>
      </c>
      <c r="Q172" s="305">
        <v>1</v>
      </c>
      <c r="R172" s="342">
        <f>Elec_Est!R149</f>
        <v>0</v>
      </c>
      <c r="S172" s="446">
        <f t="shared" si="15"/>
        <v>0</v>
      </c>
      <c r="T172" s="342">
        <f>Elec_Est!T149</f>
        <v>0</v>
      </c>
    </row>
    <row r="173" spans="1:20">
      <c r="A173" s="224"/>
      <c r="B173" s="558">
        <v>66</v>
      </c>
      <c r="C173" s="6" t="s">
        <v>73</v>
      </c>
      <c r="D173" s="119" t="s">
        <v>329</v>
      </c>
      <c r="E173" s="224"/>
      <c r="F173" s="419">
        <v>419</v>
      </c>
      <c r="G173" s="115"/>
      <c r="P173" s="409">
        <v>4</v>
      </c>
      <c r="Q173" s="305">
        <v>1</v>
      </c>
      <c r="R173" s="342">
        <f>Elec_Est!R150</f>
        <v>0</v>
      </c>
      <c r="S173" s="446">
        <f t="shared" si="15"/>
        <v>0</v>
      </c>
      <c r="T173" s="342">
        <f>Elec_Est!T150</f>
        <v>0</v>
      </c>
    </row>
    <row r="174" spans="1:20">
      <c r="A174" s="224"/>
      <c r="B174" s="558">
        <v>67</v>
      </c>
      <c r="C174" s="6" t="s">
        <v>73</v>
      </c>
      <c r="D174" s="119" t="s">
        <v>330</v>
      </c>
      <c r="E174" s="224"/>
      <c r="F174" s="419">
        <v>420</v>
      </c>
      <c r="G174" s="115"/>
      <c r="P174" s="409">
        <v>4</v>
      </c>
      <c r="Q174" s="305">
        <v>1</v>
      </c>
      <c r="R174" s="342">
        <f>Elec_Est!R151</f>
        <v>0</v>
      </c>
      <c r="S174" s="446">
        <f t="shared" ref="S174:S176" si="16">T174*$D$9</f>
        <v>0</v>
      </c>
      <c r="T174" s="342">
        <f>Elec_Est!T151</f>
        <v>0</v>
      </c>
    </row>
    <row r="175" spans="1:20">
      <c r="A175" s="224"/>
      <c r="B175" s="558">
        <v>68</v>
      </c>
      <c r="C175" s="6" t="s">
        <v>73</v>
      </c>
      <c r="D175" s="119" t="s">
        <v>333</v>
      </c>
      <c r="E175" s="224"/>
      <c r="F175" s="419">
        <v>421</v>
      </c>
      <c r="G175" s="115"/>
      <c r="P175" s="409">
        <v>4</v>
      </c>
      <c r="Q175" s="305">
        <v>1</v>
      </c>
      <c r="R175" s="342">
        <f>Elec_Est!R152</f>
        <v>60</v>
      </c>
      <c r="S175" s="446">
        <f t="shared" si="16"/>
        <v>313.83000000000004</v>
      </c>
      <c r="T175" s="342">
        <f>Elec_Est!T152</f>
        <v>11</v>
      </c>
    </row>
    <row r="176" spans="1:20">
      <c r="A176" s="224"/>
      <c r="B176" s="558">
        <v>56</v>
      </c>
      <c r="C176" s="6" t="s">
        <v>73</v>
      </c>
      <c r="D176" s="306" t="s">
        <v>131</v>
      </c>
      <c r="E176" s="224"/>
      <c r="F176" s="419">
        <v>970</v>
      </c>
      <c r="G176" s="307"/>
      <c r="H176" s="109"/>
      <c r="I176" s="109"/>
      <c r="J176" s="308"/>
      <c r="K176" s="308"/>
      <c r="L176" s="308"/>
      <c r="M176" s="308"/>
      <c r="N176" s="308"/>
      <c r="O176" s="308"/>
      <c r="P176" s="410">
        <v>4</v>
      </c>
      <c r="Q176" s="309">
        <v>1</v>
      </c>
      <c r="R176" s="342">
        <f>Elec_Est!R153</f>
        <v>0</v>
      </c>
      <c r="S176" s="446">
        <f t="shared" si="16"/>
        <v>0</v>
      </c>
      <c r="T176" s="342">
        <f>Elec_Est!T153</f>
        <v>0</v>
      </c>
    </row>
    <row r="177" spans="1:28" ht="13.8" thickBot="1">
      <c r="A177" s="224"/>
      <c r="B177" s="418"/>
      <c r="C177" s="310"/>
      <c r="D177" s="311" t="s">
        <v>193</v>
      </c>
      <c r="E177" s="312"/>
      <c r="F177" s="137"/>
      <c r="G177" s="124"/>
      <c r="H177" s="124"/>
      <c r="I177" s="124"/>
      <c r="J177" s="313"/>
      <c r="K177" s="313"/>
      <c r="L177" s="313"/>
      <c r="M177" s="313"/>
      <c r="N177" s="313"/>
      <c r="O177" s="313"/>
      <c r="P177" s="313"/>
      <c r="Q177" s="314"/>
      <c r="R177" s="341">
        <f>SUM(R109:R176)</f>
        <v>680</v>
      </c>
      <c r="S177" s="341">
        <f>SUM(S109:S176)</f>
        <v>313.83000000000004</v>
      </c>
      <c r="T177" s="341">
        <f>SUM(T109:T176)</f>
        <v>11</v>
      </c>
    </row>
    <row r="178" spans="1:28" ht="14.4" hidden="1" thickTop="1">
      <c r="A178" s="114"/>
      <c r="B178" s="407"/>
      <c r="C178" s="6" t="s">
        <v>73</v>
      </c>
      <c r="D178" s="130"/>
      <c r="F178" s="131" t="s">
        <v>160</v>
      </c>
      <c r="G178" s="132"/>
      <c r="H178" s="36">
        <v>1</v>
      </c>
      <c r="O178" s="116"/>
      <c r="R178" s="415">
        <f>SUMIF($P109:$P176,1,R109:R176)</f>
        <v>0</v>
      </c>
      <c r="T178" s="413">
        <f>SUMIF($P109:$P176,1,T109:T176)</f>
        <v>0</v>
      </c>
      <c r="V178" s="380"/>
      <c r="W178" s="380" t="s">
        <v>332</v>
      </c>
      <c r="X178" s="380"/>
      <c r="Y178" s="380"/>
      <c r="Z178" s="380"/>
      <c r="AA178" s="380"/>
      <c r="AB178" s="380"/>
    </row>
    <row r="179" spans="1:28" ht="13.8" hidden="1">
      <c r="A179" s="114"/>
      <c r="B179" s="250"/>
      <c r="C179" s="6" t="s">
        <v>73</v>
      </c>
      <c r="D179" s="130"/>
      <c r="F179" s="131" t="s">
        <v>161</v>
      </c>
      <c r="G179" s="132"/>
      <c r="H179" s="36">
        <v>2</v>
      </c>
      <c r="O179" s="116"/>
      <c r="R179" s="415">
        <f>SUMIF($P109:$P176,2,R109:R176)</f>
        <v>0</v>
      </c>
      <c r="T179" s="414">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5">
        <f>SUMIF($P109:$P176,3,R109:R176)</f>
        <v>0</v>
      </c>
      <c r="T180" s="414">
        <f>SUMIF($P109:$P176,3,T109:T176)</f>
        <v>0</v>
      </c>
      <c r="V180" s="380"/>
      <c r="W180" s="380"/>
      <c r="X180" s="380"/>
      <c r="Y180" s="380"/>
      <c r="Z180" s="380"/>
      <c r="AA180" s="380"/>
      <c r="AB180" s="380"/>
    </row>
    <row r="181" spans="1:28" ht="13.8" hidden="1">
      <c r="A181" s="114"/>
      <c r="B181" s="250"/>
      <c r="C181" s="6" t="s">
        <v>73</v>
      </c>
      <c r="D181" s="130"/>
      <c r="F181" s="131" t="s">
        <v>163</v>
      </c>
      <c r="G181" s="132"/>
      <c r="H181" s="36">
        <v>3</v>
      </c>
      <c r="O181" s="116"/>
      <c r="R181" s="415">
        <f>SUMIF($P109:$P176,4,R109:R176)</f>
        <v>680</v>
      </c>
      <c r="T181" s="414">
        <f>SUMIF($P109:$P176,4,T109:T176)</f>
        <v>11</v>
      </c>
      <c r="V181" s="380"/>
      <c r="W181" s="380"/>
      <c r="X181" s="380"/>
      <c r="Y181" s="380"/>
      <c r="Z181" s="380"/>
      <c r="AA181" s="380"/>
      <c r="AB181" s="380"/>
    </row>
    <row r="182" spans="1:28" ht="14.4" hidden="1" thickBot="1">
      <c r="A182" s="114"/>
      <c r="B182" s="408"/>
      <c r="C182" s="122" t="s">
        <v>73</v>
      </c>
      <c r="D182" s="134"/>
      <c r="E182" s="124"/>
      <c r="F182" s="135" t="s">
        <v>164</v>
      </c>
      <c r="G182" s="136"/>
      <c r="H182" s="137"/>
      <c r="I182" s="137"/>
      <c r="J182" s="137"/>
      <c r="K182" s="137"/>
      <c r="L182" s="137"/>
      <c r="M182" s="137"/>
      <c r="N182" s="137"/>
      <c r="O182" s="138"/>
      <c r="P182" s="137"/>
      <c r="Q182" s="137"/>
      <c r="R182" s="416">
        <f>SUM(R178:R181)</f>
        <v>680</v>
      </c>
      <c r="S182" s="140"/>
      <c r="T182" s="417">
        <f>SUM(T178:T181)</f>
        <v>11</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316</v>
      </c>
    </row>
    <row r="187" spans="1:28">
      <c r="D187" s="315">
        <f ca="1">D95</f>
        <v>46119.647364467593</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"28.53,27.46,24.50,23.95,22.96,23.02,23.52,22.42,21.57,24.39,23.36,23.23,24.10,23.75,26.30,not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D10" sqref="D10"/>
    </sheetView>
  </sheetViews>
  <sheetFormatPr defaultColWidth="9.109375" defaultRowHeight="14.4"/>
  <cols>
    <col min="1" max="2" width="8" style="726" customWidth="1"/>
    <col min="3" max="3" width="3.88671875" style="726" hidden="1" customWidth="1"/>
    <col min="4" max="4" width="15.6640625" style="726" customWidth="1"/>
    <col min="5" max="6" width="12.6640625" style="726" customWidth="1"/>
    <col min="7" max="7" width="9.6640625" style="726" hidden="1" customWidth="1"/>
    <col min="8" max="8" width="7.6640625" style="726" hidden="1" customWidth="1"/>
    <col min="9" max="11" width="8.6640625" style="726" hidden="1" customWidth="1"/>
    <col min="12" max="12" width="6.6640625" style="726" hidden="1" customWidth="1"/>
    <col min="13" max="16" width="8.6640625" style="726" hidden="1" customWidth="1"/>
    <col min="17" max="17" width="12.88671875" style="726" customWidth="1"/>
    <col min="18" max="18" width="8.6640625" style="726" customWidth="1"/>
    <col min="19" max="19" width="10.109375" style="726" customWidth="1"/>
    <col min="20" max="20" width="8.33203125" style="726" customWidth="1"/>
    <col min="21" max="16384" width="9.109375" style="726"/>
  </cols>
  <sheetData>
    <row r="1" spans="1:21" s="724" customFormat="1">
      <c r="A1" s="918" t="str">
        <f>IF(AND(UPPER(LEFT(TRIM($D$8),11))="01",UPPER(LEFT(TRIM($D$9),3))&lt;&gt;"ELM"),"PANTA RETAIL LTD.","PANTA CONTRACTING LIMITED")</f>
        <v>PANTA CONTRACTING LIMITED</v>
      </c>
      <c r="B1" s="918"/>
      <c r="C1" s="918"/>
      <c r="D1" s="918"/>
      <c r="E1" s="918"/>
      <c r="F1" s="918"/>
      <c r="G1" s="918"/>
      <c r="H1" s="918"/>
      <c r="I1" s="918"/>
      <c r="J1" s="918"/>
      <c r="K1" s="918"/>
      <c r="L1" s="918"/>
      <c r="M1" s="918"/>
      <c r="N1" s="918"/>
      <c r="O1" s="918"/>
      <c r="P1" s="918"/>
      <c r="Q1" s="918"/>
      <c r="R1" s="918"/>
      <c r="S1" s="918"/>
      <c r="T1" s="918"/>
      <c r="U1" s="727"/>
    </row>
    <row r="2" spans="1:21" s="724" customFormat="1">
      <c r="A2" s="919" t="str">
        <f>IF(UPPER(LEFT(TRIM($D$9),3))="ELM","ELEC-FOR-MECH INTERNAL QUOTATION","ELECTRICAL INTERNAL QUOTATION")</f>
        <v>ELECTRICAL INTERNAL QUOTATION</v>
      </c>
      <c r="B2" s="919"/>
      <c r="C2" s="919"/>
      <c r="D2" s="919"/>
      <c r="E2" s="919"/>
      <c r="F2" s="919"/>
      <c r="G2" s="919"/>
      <c r="H2" s="919"/>
      <c r="I2" s="919"/>
      <c r="J2" s="919"/>
      <c r="K2" s="919"/>
      <c r="L2" s="919"/>
      <c r="M2" s="919"/>
      <c r="N2" s="919"/>
      <c r="O2" s="919"/>
      <c r="P2" s="919"/>
      <c r="Q2" s="919"/>
      <c r="R2" s="919"/>
      <c r="S2" s="919"/>
      <c r="T2" s="919"/>
    </row>
    <row r="3" spans="1:21" s="724" customFormat="1">
      <c r="B3" s="725"/>
      <c r="G3" s="726"/>
      <c r="H3" s="726"/>
      <c r="I3" s="726"/>
      <c r="J3" s="726"/>
    </row>
    <row r="4" spans="1:21" s="724" customFormat="1">
      <c r="A4" s="726"/>
      <c r="B4" s="726"/>
      <c r="C4" s="726"/>
      <c r="D4" s="726"/>
      <c r="E4" s="726"/>
      <c r="F4" s="726"/>
      <c r="G4" s="726"/>
      <c r="H4" s="726"/>
      <c r="I4" s="726"/>
      <c r="J4" s="726"/>
      <c r="K4" s="726"/>
      <c r="L4" s="726"/>
      <c r="M4" s="726"/>
      <c r="N4" s="726"/>
      <c r="O4" s="726"/>
      <c r="P4" s="726"/>
      <c r="Q4" s="726"/>
      <c r="R4" s="726"/>
      <c r="S4" s="726"/>
      <c r="T4" s="726"/>
    </row>
    <row r="5" spans="1:21" s="724" customFormat="1">
      <c r="B5" s="725" t="s">
        <v>249</v>
      </c>
      <c r="C5" s="726"/>
      <c r="D5" s="727" t="str">
        <f>IF(A2="Internal Quotation", "Mechanical Division","")</f>
        <v/>
      </c>
      <c r="E5" s="726"/>
      <c r="F5" s="726"/>
      <c r="G5" s="728"/>
      <c r="H5" s="728"/>
      <c r="I5" s="729"/>
      <c r="J5" s="729"/>
      <c r="K5" s="728"/>
      <c r="L5" s="728"/>
      <c r="M5" s="728"/>
      <c r="N5" s="728"/>
      <c r="O5" s="728"/>
      <c r="P5" s="728"/>
      <c r="Q5" s="726"/>
      <c r="R5" s="730" t="s">
        <v>202</v>
      </c>
      <c r="S5" s="731">
        <f ca="1">NOW()</f>
        <v>46119.647364467593</v>
      </c>
      <c r="T5" s="726"/>
    </row>
    <row r="6" spans="1:21" s="724" customFormat="1">
      <c r="A6" s="750"/>
      <c r="B6" s="750" t="s">
        <v>0</v>
      </c>
      <c r="C6" s="732" t="s">
        <v>250</v>
      </c>
      <c r="D6" s="724" t="str">
        <f>ML_Sum!D1</f>
        <v>UMUT - Electrical Team</v>
      </c>
      <c r="G6" s="726"/>
      <c r="H6" s="726"/>
      <c r="I6" s="726"/>
      <c r="J6" s="726"/>
      <c r="R6" s="726"/>
      <c r="S6" s="726"/>
      <c r="T6" s="726"/>
    </row>
    <row r="7" spans="1:21" s="724" customFormat="1">
      <c r="A7" s="750"/>
      <c r="B7" s="750" t="s">
        <v>2</v>
      </c>
      <c r="C7" s="732" t="s">
        <v>251</v>
      </c>
      <c r="D7" s="724" t="str">
        <f>ML_Sum!D2</f>
        <v>Portomaso L4 Dampers</v>
      </c>
      <c r="G7" s="726"/>
      <c r="H7" s="726"/>
      <c r="I7" s="726"/>
      <c r="J7" s="726"/>
      <c r="R7" s="726"/>
      <c r="S7" s="726"/>
      <c r="T7" s="726"/>
    </row>
    <row r="8" spans="1:21" s="724" customFormat="1">
      <c r="A8" s="750"/>
      <c r="B8" s="750" t="s">
        <v>4</v>
      </c>
      <c r="C8" s="732" t="s">
        <v>252</v>
      </c>
      <c r="D8" s="724" t="str">
        <f>ML_Sum!D3</f>
        <v>Damper for VAV boxes</v>
      </c>
      <c r="G8" s="726"/>
      <c r="H8" s="726"/>
      <c r="I8" s="726"/>
      <c r="J8" s="726"/>
      <c r="R8" s="726"/>
      <c r="S8" s="726"/>
      <c r="T8" s="726"/>
    </row>
    <row r="9" spans="1:21" s="724" customFormat="1">
      <c r="A9" s="726"/>
      <c r="B9" s="725" t="s">
        <v>6</v>
      </c>
      <c r="C9" s="732" t="s">
        <v>253</v>
      </c>
      <c r="D9" s="724" t="str">
        <f>ML_Sum!D4</f>
        <v>EL</v>
      </c>
      <c r="G9" s="726"/>
      <c r="H9" s="726"/>
      <c r="I9" s="726"/>
      <c r="J9" s="726"/>
    </row>
    <row r="10" spans="1:21" s="724" customFormat="1">
      <c r="A10" s="726"/>
      <c r="B10" s="730" t="s">
        <v>194</v>
      </c>
      <c r="C10" s="732" t="s">
        <v>254</v>
      </c>
      <c r="D10" s="724">
        <f>ML_Sum!D5</f>
        <v>0</v>
      </c>
      <c r="E10" s="726"/>
      <c r="F10" s="726"/>
      <c r="G10" s="726"/>
      <c r="H10" s="726"/>
      <c r="I10" s="726"/>
      <c r="J10" s="726"/>
      <c r="K10" s="726"/>
      <c r="L10" s="726"/>
      <c r="M10" s="726"/>
      <c r="N10" s="726"/>
      <c r="O10" s="726"/>
      <c r="P10" s="726"/>
      <c r="Q10" s="726"/>
      <c r="R10" s="726"/>
      <c r="S10" s="726"/>
      <c r="T10" s="726"/>
    </row>
    <row r="11" spans="1:21" s="724" customFormat="1">
      <c r="A11" s="726"/>
      <c r="B11" s="726"/>
      <c r="C11" s="728"/>
      <c r="D11" s="726"/>
      <c r="E11" s="726"/>
      <c r="F11" s="726"/>
      <c r="G11" s="726"/>
      <c r="H11" s="726"/>
      <c r="I11" s="726"/>
      <c r="J11" s="726"/>
      <c r="K11" s="726"/>
      <c r="L11" s="726"/>
      <c r="M11" s="726"/>
      <c r="N11" s="726"/>
      <c r="O11" s="726"/>
      <c r="P11" s="726"/>
      <c r="Q11" s="726"/>
      <c r="R11" s="726"/>
      <c r="S11" s="726"/>
      <c r="T11" s="726"/>
    </row>
    <row r="12" spans="1:21" s="724" customFormat="1">
      <c r="D12" s="726"/>
      <c r="E12" s="726"/>
      <c r="F12" s="726"/>
      <c r="G12" s="726"/>
      <c r="H12" s="726"/>
      <c r="I12" s="726"/>
      <c r="J12" s="726"/>
      <c r="K12" s="726"/>
      <c r="L12" s="726"/>
      <c r="M12" s="726"/>
      <c r="N12" s="726"/>
      <c r="O12" s="726"/>
      <c r="P12" s="726"/>
      <c r="Q12" s="726"/>
      <c r="R12" s="726"/>
      <c r="S12" s="726"/>
      <c r="T12" s="726"/>
    </row>
    <row r="13" spans="1:21" s="724" customFormat="1">
      <c r="A13" s="733"/>
      <c r="D13" s="726"/>
      <c r="E13" s="726"/>
      <c r="F13" s="726"/>
      <c r="G13" s="726"/>
      <c r="H13" s="726"/>
      <c r="I13" s="726"/>
      <c r="J13" s="726"/>
      <c r="K13" s="726"/>
      <c r="L13" s="726"/>
      <c r="M13" s="726"/>
      <c r="N13" s="726"/>
      <c r="O13" s="726"/>
      <c r="P13" s="726"/>
      <c r="Q13" s="726"/>
      <c r="R13" s="726"/>
      <c r="S13" s="726"/>
      <c r="T13" s="726"/>
    </row>
    <row r="14" spans="1:21" s="724" customFormat="1">
      <c r="G14" s="726"/>
      <c r="H14" s="726"/>
      <c r="I14" s="726"/>
      <c r="J14" s="726"/>
    </row>
    <row r="15" spans="1:21" s="724" customFormat="1">
      <c r="G15" s="726"/>
      <c r="H15" s="726"/>
      <c r="I15" s="726"/>
      <c r="J15" s="726"/>
    </row>
    <row r="16" spans="1:21" s="724" customFormat="1">
      <c r="G16" s="726"/>
      <c r="H16" s="726"/>
      <c r="I16" s="726"/>
      <c r="J16" s="726"/>
    </row>
    <row r="17" spans="1:20" s="724" customFormat="1">
      <c r="G17" s="726"/>
      <c r="H17" s="726"/>
      <c r="I17" s="726"/>
      <c r="J17" s="726"/>
    </row>
    <row r="18" spans="1:20" s="724" customFormat="1">
      <c r="G18" s="726"/>
      <c r="H18" s="726"/>
      <c r="I18" s="726"/>
      <c r="J18" s="726"/>
    </row>
    <row r="19" spans="1:20" s="724" customFormat="1">
      <c r="G19" s="726"/>
      <c r="H19" s="726"/>
      <c r="I19" s="726"/>
      <c r="J19" s="726"/>
    </row>
    <row r="20" spans="1:20" s="724" customFormat="1">
      <c r="G20" s="726"/>
      <c r="H20" s="726"/>
      <c r="I20" s="726"/>
      <c r="J20" s="726"/>
    </row>
    <row r="21" spans="1:20" s="724" customFormat="1">
      <c r="G21" s="726"/>
      <c r="H21" s="726"/>
      <c r="I21" s="726"/>
      <c r="J21" s="726"/>
    </row>
    <row r="22" spans="1:20" s="724" customFormat="1">
      <c r="A22" s="726"/>
      <c r="B22" s="726"/>
      <c r="C22" s="726"/>
      <c r="D22" s="734" t="s">
        <v>260</v>
      </c>
      <c r="E22" s="735">
        <f>ML_Sum!E35</f>
        <v>1050.92</v>
      </c>
      <c r="F22" s="732" t="str">
        <f>ML_Sum!D6</f>
        <v>VAT EXCL.</v>
      </c>
      <c r="G22" s="751" t="s">
        <v>203</v>
      </c>
      <c r="H22" s="751" t="s">
        <v>203</v>
      </c>
      <c r="I22" s="751" t="s">
        <v>203</v>
      </c>
      <c r="J22" s="751" t="s">
        <v>203</v>
      </c>
      <c r="K22" s="751" t="s">
        <v>203</v>
      </c>
      <c r="L22" s="751" t="s">
        <v>203</v>
      </c>
      <c r="M22" s="751" t="s">
        <v>203</v>
      </c>
      <c r="N22" s="751" t="s">
        <v>203</v>
      </c>
      <c r="O22" s="751" t="s">
        <v>203</v>
      </c>
      <c r="P22" s="751" t="s">
        <v>203</v>
      </c>
      <c r="Q22" s="752"/>
      <c r="R22" s="726"/>
      <c r="S22" s="726"/>
      <c r="T22" s="726"/>
    </row>
    <row r="23" spans="1:20" s="724" customFormat="1">
      <c r="A23" s="726"/>
      <c r="B23" s="726"/>
      <c r="C23" s="726"/>
      <c r="D23" s="753"/>
      <c r="E23" s="736"/>
      <c r="F23" s="736"/>
      <c r="G23" s="752"/>
      <c r="H23" s="752"/>
      <c r="I23" s="752"/>
      <c r="J23" s="752"/>
      <c r="K23" s="752"/>
      <c r="L23" s="752"/>
      <c r="M23" s="752"/>
      <c r="N23" s="752"/>
      <c r="O23" s="752"/>
      <c r="P23" s="752"/>
      <c r="Q23" s="752"/>
      <c r="S23" s="726"/>
    </row>
    <row r="24" spans="1:20" s="724" customFormat="1">
      <c r="A24" s="726"/>
      <c r="B24" s="726"/>
      <c r="C24" s="726"/>
      <c r="D24" s="737"/>
      <c r="E24" s="752"/>
      <c r="F24" s="752"/>
      <c r="G24" s="752"/>
      <c r="H24" s="752"/>
      <c r="I24" s="752"/>
      <c r="J24" s="752"/>
      <c r="K24" s="752"/>
      <c r="L24" s="752"/>
      <c r="M24" s="752"/>
      <c r="N24" s="752"/>
      <c r="O24" s="752"/>
      <c r="P24" s="752"/>
      <c r="Q24" s="752"/>
      <c r="S24" s="726"/>
    </row>
    <row r="25" spans="1:20" s="724" customFormat="1">
      <c r="A25" s="738"/>
      <c r="B25" s="739"/>
      <c r="C25" s="739"/>
      <c r="D25" s="726"/>
      <c r="E25" s="726"/>
      <c r="F25" s="726"/>
      <c r="G25" s="726"/>
      <c r="H25" s="726"/>
      <c r="I25" s="726"/>
      <c r="J25" s="726"/>
      <c r="K25" s="726"/>
      <c r="L25" s="726"/>
      <c r="M25" s="726"/>
      <c r="N25" s="726"/>
      <c r="O25" s="726"/>
      <c r="P25" s="726"/>
      <c r="Q25" s="726"/>
    </row>
    <row r="26" spans="1:20" s="724" customFormat="1">
      <c r="A26" s="727"/>
      <c r="G26" s="726"/>
      <c r="H26" s="726"/>
      <c r="I26" s="726"/>
      <c r="J26" s="726"/>
    </row>
    <row r="27" spans="1:20" s="724" customFormat="1">
      <c r="A27" s="727"/>
      <c r="G27" s="726"/>
      <c r="H27" s="726"/>
      <c r="I27" s="726"/>
      <c r="J27" s="726"/>
    </row>
    <row r="28" spans="1:20" s="724" customFormat="1">
      <c r="A28" s="727"/>
      <c r="G28" s="726"/>
      <c r="H28" s="726"/>
      <c r="I28" s="726"/>
      <c r="J28" s="726"/>
    </row>
    <row r="29" spans="1:20" s="724" customFormat="1">
      <c r="A29" s="727"/>
      <c r="G29" s="726"/>
      <c r="H29" s="726"/>
      <c r="I29" s="726"/>
      <c r="J29" s="726"/>
    </row>
    <row r="30" spans="1:20" s="724" customFormat="1">
      <c r="A30" s="727"/>
      <c r="G30" s="726"/>
      <c r="H30" s="726"/>
      <c r="I30" s="726"/>
      <c r="J30" s="726"/>
    </row>
    <row r="31" spans="1:20" s="724" customFormat="1">
      <c r="A31" s="727"/>
      <c r="G31" s="726"/>
      <c r="H31" s="726"/>
      <c r="I31" s="726"/>
      <c r="J31" s="726"/>
    </row>
    <row r="32" spans="1:20" s="724" customFormat="1">
      <c r="A32" s="727"/>
      <c r="G32" s="726"/>
      <c r="H32" s="726"/>
      <c r="I32" s="726"/>
      <c r="J32" s="726"/>
    </row>
    <row r="33" spans="1:20" s="724" customFormat="1">
      <c r="G33" s="726"/>
      <c r="H33" s="726"/>
      <c r="I33" s="726"/>
      <c r="J33" s="726"/>
    </row>
    <row r="34" spans="1:20" s="724" customFormat="1">
      <c r="A34" s="726"/>
      <c r="B34" s="726"/>
      <c r="C34" s="726"/>
      <c r="D34" s="726"/>
      <c r="E34" s="726"/>
      <c r="F34" s="726"/>
      <c r="G34" s="726"/>
      <c r="H34" s="726"/>
      <c r="I34" s="726"/>
      <c r="J34" s="726"/>
      <c r="K34" s="726"/>
      <c r="L34" s="726"/>
      <c r="M34" s="726"/>
      <c r="N34" s="726"/>
      <c r="O34" s="726"/>
      <c r="P34" s="726"/>
      <c r="Q34" s="726"/>
      <c r="R34" s="726"/>
      <c r="S34" s="726"/>
      <c r="T34" s="726"/>
    </row>
    <row r="35" spans="1:20" s="724" customFormat="1">
      <c r="A35" s="726"/>
      <c r="B35" s="726"/>
      <c r="C35" s="726"/>
      <c r="D35" s="726"/>
      <c r="E35" s="726"/>
      <c r="F35" s="726"/>
      <c r="G35" s="726"/>
      <c r="H35" s="726"/>
      <c r="I35" s="726"/>
      <c r="J35" s="726"/>
      <c r="K35" s="726"/>
      <c r="L35" s="726"/>
      <c r="M35" s="726"/>
      <c r="N35" s="726"/>
      <c r="O35" s="726"/>
      <c r="P35" s="726"/>
      <c r="Q35" s="726"/>
      <c r="R35" s="726"/>
      <c r="S35" s="726"/>
      <c r="T35" s="726"/>
    </row>
    <row r="36" spans="1:20" s="724" customFormat="1">
      <c r="A36" s="726"/>
      <c r="B36" s="726"/>
      <c r="C36" s="726"/>
      <c r="D36" s="726"/>
      <c r="E36" s="726"/>
      <c r="F36" s="726"/>
      <c r="G36" s="726"/>
      <c r="H36" s="726"/>
      <c r="I36" s="726"/>
      <c r="J36" s="726"/>
      <c r="K36" s="726"/>
      <c r="L36" s="726"/>
      <c r="M36" s="726"/>
      <c r="N36" s="726"/>
      <c r="O36" s="726"/>
      <c r="P36" s="726"/>
      <c r="Q36" s="726"/>
      <c r="R36" s="726"/>
      <c r="S36" s="726"/>
      <c r="T36" s="726"/>
    </row>
    <row r="37" spans="1:20" s="724" customFormat="1">
      <c r="G37" s="726"/>
      <c r="H37" s="726"/>
      <c r="I37" s="726"/>
      <c r="J37" s="726"/>
    </row>
    <row r="38" spans="1:20" s="724" customFormat="1">
      <c r="A38" s="733"/>
      <c r="B38" s="740"/>
      <c r="G38" s="726"/>
      <c r="H38" s="726"/>
      <c r="I38" s="726"/>
      <c r="J38" s="726"/>
    </row>
    <row r="39" spans="1:20" s="724" customFormat="1">
      <c r="A39" s="727"/>
      <c r="G39" s="726"/>
      <c r="H39" s="726"/>
      <c r="I39" s="726"/>
      <c r="J39" s="726"/>
    </row>
    <row r="40" spans="1:20" s="724" customFormat="1">
      <c r="A40" s="727"/>
      <c r="G40" s="726"/>
      <c r="H40" s="726"/>
      <c r="I40" s="726"/>
      <c r="J40" s="726"/>
    </row>
    <row r="41" spans="1:20" s="724" customFormat="1">
      <c r="A41" s="727"/>
      <c r="G41" s="726"/>
      <c r="H41" s="726"/>
      <c r="I41" s="726"/>
      <c r="J41" s="726"/>
    </row>
    <row r="42" spans="1:20" s="724" customFormat="1">
      <c r="A42" s="727"/>
      <c r="G42" s="726"/>
      <c r="H42" s="726"/>
      <c r="I42" s="726"/>
      <c r="J42" s="726"/>
    </row>
    <row r="43" spans="1:20" s="724" customFormat="1">
      <c r="A43" s="727"/>
      <c r="G43" s="726"/>
      <c r="H43" s="726"/>
      <c r="I43" s="726"/>
      <c r="J43" s="726"/>
    </row>
    <row r="44" spans="1:20" s="724" customFormat="1">
      <c r="A44" s="727"/>
      <c r="G44" s="726"/>
      <c r="H44" s="726"/>
      <c r="I44" s="726"/>
      <c r="J44" s="726"/>
    </row>
    <row r="45" spans="1:20" s="724" customFormat="1">
      <c r="A45" s="727"/>
      <c r="G45" s="726"/>
      <c r="H45" s="726"/>
      <c r="I45" s="726"/>
      <c r="J45" s="726"/>
    </row>
    <row r="46" spans="1:20" s="724" customFormat="1">
      <c r="A46" s="727"/>
      <c r="G46" s="726"/>
      <c r="H46" s="726"/>
      <c r="I46" s="726"/>
      <c r="J46" s="726"/>
    </row>
    <row r="47" spans="1:20" s="724" customFormat="1">
      <c r="A47" s="727"/>
      <c r="G47" s="726"/>
      <c r="H47" s="726"/>
      <c r="I47" s="726"/>
      <c r="J47" s="726"/>
    </row>
    <row r="48" spans="1:20" s="724" customFormat="1">
      <c r="G48" s="726"/>
      <c r="H48" s="726"/>
      <c r="I48" s="726"/>
      <c r="J48" s="726"/>
    </row>
    <row r="49" spans="1:19" s="724" customFormat="1">
      <c r="G49" s="726"/>
      <c r="H49" s="726"/>
      <c r="I49" s="726"/>
      <c r="J49" s="726"/>
    </row>
    <row r="50" spans="1:19" s="724" customFormat="1">
      <c r="A50" s="728"/>
      <c r="B50" s="728"/>
      <c r="C50" s="728"/>
      <c r="G50" s="726"/>
      <c r="H50" s="726"/>
      <c r="I50" s="726"/>
      <c r="J50" s="726"/>
      <c r="Q50" s="728"/>
      <c r="R50" s="728"/>
      <c r="S50" s="728"/>
    </row>
    <row r="51" spans="1:19" s="724" customFormat="1">
      <c r="A51" s="724" t="s">
        <v>132</v>
      </c>
      <c r="D51" s="741"/>
      <c r="G51" s="726"/>
      <c r="H51" s="726"/>
      <c r="I51" s="726"/>
      <c r="J51" s="726"/>
      <c r="Q51" s="724" t="s">
        <v>132</v>
      </c>
    </row>
    <row r="52" spans="1:19" s="724" customFormat="1">
      <c r="A52" s="724" t="s">
        <v>133</v>
      </c>
      <c r="G52" s="726"/>
      <c r="H52" s="726"/>
      <c r="I52" s="726"/>
      <c r="J52" s="726"/>
      <c r="Q52" s="724" t="s">
        <v>204</v>
      </c>
    </row>
    <row r="53" spans="1:19" s="724" customFormat="1" ht="15" thickBot="1">
      <c r="G53" s="726"/>
      <c r="H53" s="726"/>
      <c r="I53" s="726"/>
      <c r="J53" s="726"/>
    </row>
    <row r="54" spans="1:19" s="724" customFormat="1">
      <c r="G54" s="726"/>
      <c r="H54" s="726"/>
      <c r="I54" s="726"/>
      <c r="J54" s="726"/>
      <c r="Q54" s="742" t="s">
        <v>205</v>
      </c>
      <c r="R54" s="743"/>
    </row>
    <row r="55" spans="1:19" s="724" customFormat="1">
      <c r="G55" s="726"/>
      <c r="H55" s="726"/>
      <c r="I55" s="726"/>
      <c r="J55" s="726"/>
      <c r="Q55" s="744" t="s">
        <v>314</v>
      </c>
      <c r="R55" s="745"/>
    </row>
    <row r="56" spans="1:19" s="724" customFormat="1">
      <c r="G56" s="726"/>
      <c r="H56" s="726"/>
      <c r="I56" s="726"/>
      <c r="J56" s="726"/>
      <c r="Q56" s="744"/>
      <c r="R56" s="745"/>
    </row>
    <row r="57" spans="1:19" s="724" customFormat="1" ht="15" thickBot="1">
      <c r="A57" s="746"/>
      <c r="Q57" s="747" t="s">
        <v>206</v>
      </c>
      <c r="R57" s="748"/>
    </row>
    <row r="58" spans="1:19" s="724" customFormat="1">
      <c r="A58" s="754"/>
      <c r="B58" s="749"/>
      <c r="C58" s="749"/>
      <c r="D58" s="749"/>
      <c r="E58" s="749"/>
      <c r="F58" s="749"/>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61"/>
  <sheetViews>
    <sheetView topLeftCell="A34" workbookViewId="0">
      <selection activeCell="A110" sqref="A110:XFD110"/>
    </sheetView>
  </sheetViews>
  <sheetFormatPr defaultColWidth="9.109375" defaultRowHeight="13.2"/>
  <cols>
    <col min="1" max="1" width="6.6640625" style="36" customWidth="1"/>
    <col min="2" max="2" width="5.6640625" style="36" customWidth="1"/>
    <col min="3" max="3" width="4.33203125" style="36" hidden="1" customWidth="1"/>
    <col min="4" max="4" width="50.10937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2"/>
      <c r="B1" s="563" t="s">
        <v>0</v>
      </c>
      <c r="C1" s="564">
        <f>ML_Sum!$C1</f>
        <v>1</v>
      </c>
      <c r="D1" s="565" t="str">
        <f>ML_Sum!$D1</f>
        <v>UMUT - Electrical Team</v>
      </c>
      <c r="E1" s="566"/>
      <c r="F1" s="567">
        <f>ML_Sum!$F1</f>
        <v>0</v>
      </c>
      <c r="G1" s="568"/>
      <c r="H1"/>
      <c r="I1" s="327">
        <v>1</v>
      </c>
      <c r="J1" s="328">
        <f>ML_Sum!$J1</f>
        <v>1</v>
      </c>
      <c r="K1" s="328">
        <f>ML_Sum!$K1</f>
        <v>1</v>
      </c>
      <c r="L1" s="328">
        <f>ML_Sum!$L1</f>
        <v>1</v>
      </c>
      <c r="M1" s="328">
        <f>ML_Sum!$M1</f>
        <v>1</v>
      </c>
      <c r="N1" s="328">
        <f>ML_Sum!$N1</f>
        <v>1</v>
      </c>
      <c r="O1" s="328">
        <f>ML_Sum!$O1</f>
        <v>1</v>
      </c>
      <c r="P1"/>
      <c r="Q1" s="398" t="str">
        <f>ML_Sum!$Q1</f>
        <v>€</v>
      </c>
      <c r="R1" s="331" t="s">
        <v>1</v>
      </c>
      <c r="S1" s="397" t="str">
        <f>ML_Sum!$S1</f>
        <v>R</v>
      </c>
      <c r="T1" s="17">
        <f>ML_Sum!$T1</f>
        <v>1.1000000000000001</v>
      </c>
      <c r="U1" s="251" t="str">
        <f>ML_Sum!W1</f>
        <v>BOQ</v>
      </c>
      <c r="V1" s="184" t="s">
        <v>207</v>
      </c>
      <c r="W1" s="185" t="s">
        <v>197</v>
      </c>
      <c r="X1" s="186" t="s">
        <v>198</v>
      </c>
      <c r="Y1" s="187" t="s">
        <v>199</v>
      </c>
      <c r="Z1" s="188" t="s">
        <v>195</v>
      </c>
      <c r="AA1" s="188" t="s">
        <v>200</v>
      </c>
      <c r="AB1" s="185" t="s">
        <v>201</v>
      </c>
    </row>
    <row r="2" spans="1:31" s="32" customFormat="1" ht="13.8">
      <c r="A2" s="562"/>
      <c r="B2" s="563" t="s">
        <v>2</v>
      </c>
      <c r="C2" s="564">
        <f>ML_Sum!$C2</f>
        <v>1</v>
      </c>
      <c r="D2" s="565" t="str">
        <f>ML_Sum!$D2</f>
        <v>Portomaso L4 Dampers</v>
      </c>
      <c r="E2" s="569"/>
      <c r="F2" s="567" t="str">
        <f>ML_Sum!$F2</f>
        <v>Electrical Site Pair</v>
      </c>
      <c r="G2" s="568"/>
      <c r="H2"/>
      <c r="I2" s="327">
        <v>2</v>
      </c>
      <c r="J2" s="328">
        <f>ML_Sum!$J2</f>
        <v>1</v>
      </c>
      <c r="K2" s="328">
        <f>ML_Sum!$K2</f>
        <v>1</v>
      </c>
      <c r="L2" s="328">
        <f>ML_Sum!$L2</f>
        <v>1</v>
      </c>
      <c r="M2" s="328">
        <f>ML_Sum!$M2</f>
        <v>1</v>
      </c>
      <c r="N2" s="328">
        <f>ML_Sum!$N2</f>
        <v>1</v>
      </c>
      <c r="O2" s="328">
        <f>ML_Sum!$O2</f>
        <v>1</v>
      </c>
      <c r="P2"/>
      <c r="Q2" s="404">
        <f>ML_Sum!$Q2</f>
        <v>0</v>
      </c>
      <c r="R2" s="18" t="s">
        <v>3</v>
      </c>
      <c r="S2" s="405">
        <f>ML_Sum!$S2</f>
        <v>1</v>
      </c>
      <c r="T2" s="406">
        <f>ML_Sum!$T2</f>
        <v>28.53</v>
      </c>
      <c r="V2" s="379"/>
      <c r="W2" s="379"/>
      <c r="X2" s="379"/>
      <c r="Y2" s="379"/>
      <c r="Z2" s="379"/>
      <c r="AA2" s="379"/>
      <c r="AB2" s="379"/>
    </row>
    <row r="3" spans="1:31" s="32" customFormat="1" ht="13.8">
      <c r="A3" s="570"/>
      <c r="B3" s="571" t="s">
        <v>4</v>
      </c>
      <c r="C3" s="564">
        <f>ML_Sum!$C3</f>
        <v>1</v>
      </c>
      <c r="D3" s="565" t="str">
        <f>ML_Sum!$D3</f>
        <v>Damper for VAV boxes</v>
      </c>
      <c r="E3" s="570"/>
      <c r="F3" s="567" t="str">
        <f>ML_Sum!$F3</f>
        <v>ECA/BMS Pair</v>
      </c>
      <c r="G3" s="572"/>
      <c r="H3"/>
      <c r="I3" s="327">
        <v>3</v>
      </c>
      <c r="J3" s="328">
        <f>ML_Sum!$J3</f>
        <v>1</v>
      </c>
      <c r="K3" s="328">
        <f>ML_Sum!$K3</f>
        <v>1</v>
      </c>
      <c r="L3" s="328">
        <f>ML_Sum!$L3</f>
        <v>1</v>
      </c>
      <c r="M3" s="328">
        <f>ML_Sum!$M3</f>
        <v>1</v>
      </c>
      <c r="N3" s="328">
        <f>ML_Sum!$N3</f>
        <v>1</v>
      </c>
      <c r="O3" s="328">
        <f>ML_Sum!$O3</f>
        <v>1</v>
      </c>
      <c r="P3"/>
      <c r="Q3" s="404">
        <f>ML_Sum!$Q3</f>
        <v>0</v>
      </c>
      <c r="R3" s="19" t="s">
        <v>5</v>
      </c>
      <c r="S3" s="405">
        <f>ML_Sum!$S3</f>
        <v>1</v>
      </c>
      <c r="T3" s="406">
        <f>ML_Sum!$T3</f>
        <v>33.72</v>
      </c>
      <c r="V3" s="379"/>
      <c r="W3" s="379"/>
      <c r="X3" s="379"/>
      <c r="Y3" s="379"/>
      <c r="Z3" s="379"/>
      <c r="AA3" s="379"/>
      <c r="AB3" s="379"/>
      <c r="AE3" s="373"/>
    </row>
    <row r="4" spans="1:31" s="32" customFormat="1" ht="13.8">
      <c r="A4" s="573"/>
      <c r="B4" s="563" t="s">
        <v>6</v>
      </c>
      <c r="C4" s="564">
        <f>ML_Sum!$C4</f>
        <v>1</v>
      </c>
      <c r="D4" s="565" t="str">
        <f>ML_Sum!$D4</f>
        <v>EL</v>
      </c>
      <c r="E4" s="570"/>
      <c r="F4" s="567" t="str">
        <f>ML_Sum!$F4</f>
        <v>ECA/BMS Engineer</v>
      </c>
      <c r="G4" s="572"/>
      <c r="H4"/>
      <c r="I4" s="327">
        <v>4</v>
      </c>
      <c r="J4" s="328">
        <f>ML_Sum!$J4</f>
        <v>1</v>
      </c>
      <c r="K4" s="328">
        <f>ML_Sum!$K4</f>
        <v>1</v>
      </c>
      <c r="L4" s="328">
        <f>ML_Sum!$L4</f>
        <v>1</v>
      </c>
      <c r="M4" s="328">
        <f>ML_Sum!$M4</f>
        <v>1</v>
      </c>
      <c r="N4" s="328">
        <f>ML_Sum!$N4</f>
        <v>1</v>
      </c>
      <c r="O4" s="328">
        <f>ML_Sum!$O4</f>
        <v>1</v>
      </c>
      <c r="P4"/>
      <c r="Q4" s="404">
        <f>ML_Sum!$Q4</f>
        <v>0</v>
      </c>
      <c r="R4" s="20" t="s">
        <v>8</v>
      </c>
      <c r="S4" s="405">
        <f>ML_Sum!$S4</f>
        <v>1</v>
      </c>
      <c r="T4" s="406">
        <f>ML_Sum!$T4</f>
        <v>31</v>
      </c>
      <c r="V4" s="379"/>
      <c r="W4" s="379"/>
      <c r="X4" s="379"/>
      <c r="Y4" s="379"/>
      <c r="Z4" s="379"/>
      <c r="AA4" s="379"/>
      <c r="AB4" s="379"/>
      <c r="AE4" s="374"/>
    </row>
    <row r="5" spans="1:31" s="32" customFormat="1" ht="13.8">
      <c r="A5" s="573"/>
      <c r="B5" s="563" t="s">
        <v>209</v>
      </c>
      <c r="C5" s="564">
        <f>ML_Sum!$C5</f>
        <v>1</v>
      </c>
      <c r="D5" s="565">
        <f>ML_Sum!$D5</f>
        <v>0</v>
      </c>
      <c r="E5" s="570"/>
      <c r="F5" s="567" t="str">
        <f>ML_Sum!$F5</f>
        <v>BMS - Tech - Single</v>
      </c>
      <c r="G5" s="574"/>
      <c r="H5"/>
      <c r="I5" s="327">
        <v>5</v>
      </c>
      <c r="J5" s="328">
        <f>ML_Sum!$J5</f>
        <v>1</v>
      </c>
      <c r="K5" s="328">
        <f>ML_Sum!$K5</f>
        <v>1</v>
      </c>
      <c r="L5" s="328">
        <f>ML_Sum!$L5</f>
        <v>1</v>
      </c>
      <c r="M5" s="328">
        <f>ML_Sum!$M5</f>
        <v>1</v>
      </c>
      <c r="N5" s="328">
        <f>ML_Sum!$N5</f>
        <v>1</v>
      </c>
      <c r="O5" s="328">
        <f>ML_Sum!$O5</f>
        <v>1</v>
      </c>
      <c r="P5"/>
      <c r="Q5" s="404">
        <f>ML_Sum!$Q5</f>
        <v>0</v>
      </c>
      <c r="R5" s="21" t="s">
        <v>10</v>
      </c>
      <c r="S5" s="405">
        <f>ML_Sum!$S5</f>
        <v>1</v>
      </c>
      <c r="T5" s="406">
        <f>ML_Sum!$T5</f>
        <v>21.44</v>
      </c>
      <c r="V5" s="379"/>
      <c r="W5" s="379"/>
      <c r="X5" s="379"/>
      <c r="Y5" s="379"/>
      <c r="Z5" s="379"/>
      <c r="AA5" s="379"/>
      <c r="AB5" s="379"/>
      <c r="AE5" s="374"/>
    </row>
    <row r="6" spans="1:31" s="32" customFormat="1" ht="13.8">
      <c r="A6"/>
      <c r="B6" s="571" t="s">
        <v>9</v>
      </c>
      <c r="C6" s="564">
        <f>ML_Sum!$C6</f>
        <v>1</v>
      </c>
      <c r="D6" s="565" t="str">
        <f>ML_Sum!$D6</f>
        <v>VAT EXCL.</v>
      </c>
      <c r="E6"/>
      <c r="F6" s="567" t="str">
        <f>ML_Sum!$F6</f>
        <v>Edward/Mark + AGV</v>
      </c>
      <c r="G6" s="574"/>
      <c r="H6"/>
      <c r="I6" s="327">
        <v>6</v>
      </c>
      <c r="J6" s="328">
        <f>ML_Sum!$J6</f>
        <v>1</v>
      </c>
      <c r="K6" s="328">
        <f>ML_Sum!$K6</f>
        <v>1</v>
      </c>
      <c r="L6" s="328">
        <f>ML_Sum!$L6</f>
        <v>1</v>
      </c>
      <c r="M6" s="328">
        <f>ML_Sum!$M6</f>
        <v>1</v>
      </c>
      <c r="N6" s="328">
        <f>ML_Sum!$N6</f>
        <v>1</v>
      </c>
      <c r="O6" s="328">
        <f>ML_Sum!$O6</f>
        <v>1</v>
      </c>
      <c r="P6"/>
      <c r="Q6" s="404">
        <f>ML_Sum!$Q6</f>
        <v>0</v>
      </c>
      <c r="R6" s="22" t="s">
        <v>11</v>
      </c>
      <c r="S6" s="405">
        <f>ML_Sum!$S6</f>
        <v>1</v>
      </c>
      <c r="T6" s="406">
        <f>ML_Sum!$T6</f>
        <v>33.72</v>
      </c>
      <c r="V6" s="379"/>
      <c r="W6" s="379"/>
      <c r="X6" s="379"/>
      <c r="Y6" s="379"/>
      <c r="Z6" s="379"/>
      <c r="AA6" s="379"/>
      <c r="AB6" s="379"/>
      <c r="AE6"/>
    </row>
    <row r="7" spans="1:31" s="32" customFormat="1" ht="13.8">
      <c r="A7" s="562"/>
      <c r="B7" s="571" t="s">
        <v>12</v>
      </c>
      <c r="C7" s="564">
        <f>ML_Sum!$C7</f>
        <v>1</v>
      </c>
      <c r="D7" s="575">
        <v>39364</v>
      </c>
      <c r="E7" s="576"/>
      <c r="F7" s="567">
        <f>ML_Sum!$F7</f>
        <v>0</v>
      </c>
      <c r="G7" s="577"/>
      <c r="H7"/>
      <c r="I7" s="327">
        <v>7</v>
      </c>
      <c r="J7" s="328">
        <f>ML_Sum!$J7</f>
        <v>1</v>
      </c>
      <c r="K7" s="328">
        <f>ML_Sum!$K7</f>
        <v>1</v>
      </c>
      <c r="L7" s="328">
        <f>ML_Sum!$L7</f>
        <v>1</v>
      </c>
      <c r="M7" s="328">
        <f>ML_Sum!$M7</f>
        <v>1</v>
      </c>
      <c r="N7" s="328">
        <f>ML_Sum!$N7</f>
        <v>1</v>
      </c>
      <c r="O7" s="328">
        <f>ML_Sum!$O7</f>
        <v>0</v>
      </c>
      <c r="P7"/>
      <c r="Q7" s="404">
        <f>ML_Sum!$Q7</f>
        <v>0</v>
      </c>
      <c r="R7" s="23" t="s">
        <v>13</v>
      </c>
      <c r="S7" s="405">
        <f>ML_Sum!$S7</f>
        <v>0</v>
      </c>
      <c r="T7" s="406">
        <f>ML_Sum!$T7</f>
        <v>0</v>
      </c>
      <c r="V7" s="379"/>
      <c r="W7" s="379"/>
      <c r="X7" s="379"/>
      <c r="Y7" s="379"/>
      <c r="Z7" s="379"/>
      <c r="AA7" s="379"/>
      <c r="AB7" s="379"/>
    </row>
    <row r="8" spans="1:31" s="32" customFormat="1" ht="13.8">
      <c r="A8" s="573"/>
      <c r="B8" s="571" t="s">
        <v>14</v>
      </c>
      <c r="C8" s="564">
        <f>ML_Sum!$C8</f>
        <v>1</v>
      </c>
      <c r="D8" s="565" t="str">
        <f>ML_Sum!$D8</f>
        <v>G. Baranyay</v>
      </c>
      <c r="E8" s="570"/>
      <c r="F8" s="567">
        <f>ML_Sum!$F8</f>
        <v>0</v>
      </c>
      <c r="G8" s="578"/>
      <c r="H8"/>
      <c r="I8" s="327">
        <v>8</v>
      </c>
      <c r="J8" s="328">
        <f>ML_Sum!$J8</f>
        <v>1</v>
      </c>
      <c r="K8" s="328">
        <f>ML_Sum!$K8</f>
        <v>1</v>
      </c>
      <c r="L8" s="328">
        <f>ML_Sum!$L8</f>
        <v>1</v>
      </c>
      <c r="M8" s="328">
        <f>ML_Sum!$M8</f>
        <v>1</v>
      </c>
      <c r="N8" s="328">
        <f>ML_Sum!$N8</f>
        <v>1</v>
      </c>
      <c r="O8" s="328">
        <f>ML_Sum!$O8</f>
        <v>0</v>
      </c>
      <c r="P8"/>
      <c r="Q8" s="404">
        <f>ML_Sum!$Q8</f>
        <v>0</v>
      </c>
      <c r="R8" s="24" t="s">
        <v>15</v>
      </c>
      <c r="S8" s="405">
        <f>ML_Sum!$S8</f>
        <v>0</v>
      </c>
      <c r="T8" s="406">
        <f>ML_Sum!$T8</f>
        <v>0</v>
      </c>
      <c r="V8" s="379"/>
      <c r="W8" s="379"/>
      <c r="X8" s="379"/>
      <c r="Y8" s="379"/>
      <c r="Z8" s="379"/>
      <c r="AA8" s="379"/>
      <c r="AB8" s="379"/>
      <c r="AE8" s="374"/>
    </row>
    <row r="9" spans="1:31" s="32" customFormat="1" ht="13.8">
      <c r="A9" s="573"/>
      <c r="B9" s="571" t="s">
        <v>301</v>
      </c>
      <c r="C9" s="564">
        <f>ML_Sum!$C9</f>
        <v>1</v>
      </c>
      <c r="D9" s="565">
        <f>ML_Sum!$D9</f>
        <v>28.53</v>
      </c>
      <c r="E9" s="570"/>
      <c r="F9" s="567">
        <f>ML_Sum!$F9</f>
        <v>0</v>
      </c>
      <c r="G9" s="578"/>
      <c r="H9"/>
      <c r="I9" s="327">
        <v>9</v>
      </c>
      <c r="J9" s="328">
        <f>ML_Sum!$J9</f>
        <v>1</v>
      </c>
      <c r="K9" s="328">
        <f>ML_Sum!$K9</f>
        <v>1</v>
      </c>
      <c r="L9" s="328">
        <f>ML_Sum!$L9</f>
        <v>1</v>
      </c>
      <c r="M9" s="328">
        <f>ML_Sum!$M9</f>
        <v>1</v>
      </c>
      <c r="N9" s="328">
        <f>ML_Sum!$N9</f>
        <v>1</v>
      </c>
      <c r="O9" s="328">
        <f>ML_Sum!$O9</f>
        <v>0</v>
      </c>
      <c r="P9"/>
      <c r="Q9" s="404">
        <f>ML_Sum!$Q9</f>
        <v>0</v>
      </c>
      <c r="R9" s="25" t="s">
        <v>16</v>
      </c>
      <c r="S9" s="405">
        <f>ML_Sum!$S9</f>
        <v>0</v>
      </c>
      <c r="T9" s="406">
        <f>ML_Sum!$T9</f>
        <v>0</v>
      </c>
      <c r="V9" s="379"/>
      <c r="W9" s="379"/>
      <c r="X9" s="379"/>
      <c r="Y9" s="379"/>
      <c r="Z9" s="379"/>
      <c r="AA9" s="379"/>
      <c r="AB9" s="379"/>
      <c r="AE9" s="374"/>
    </row>
    <row r="10" spans="1:31" s="32" customFormat="1" ht="13.8">
      <c r="A10" s="573"/>
      <c r="B10" s="562"/>
      <c r="C10" s="564">
        <f>ML_Sum!$C10</f>
        <v>1</v>
      </c>
      <c r="D10" s="562"/>
      <c r="E10" s="570"/>
      <c r="F10" s="567">
        <f>ML_Sum!$F10</f>
        <v>0</v>
      </c>
      <c r="G10" s="578"/>
      <c r="H10"/>
      <c r="I10" s="327">
        <v>10</v>
      </c>
      <c r="J10" s="328">
        <f>ML_Sum!$J10</f>
        <v>1</v>
      </c>
      <c r="K10" s="328">
        <f>ML_Sum!$K10</f>
        <v>1</v>
      </c>
      <c r="L10" s="328">
        <f>ML_Sum!$L10</f>
        <v>1</v>
      </c>
      <c r="M10" s="328">
        <f>ML_Sum!$M10</f>
        <v>1</v>
      </c>
      <c r="N10" s="328">
        <f>ML_Sum!$N10</f>
        <v>1</v>
      </c>
      <c r="O10" s="328">
        <f>ML_Sum!$O10</f>
        <v>1</v>
      </c>
      <c r="P10"/>
      <c r="Q10" s="404">
        <f>ML_Sum!$Q10</f>
        <v>0</v>
      </c>
      <c r="R10" s="26" t="s">
        <v>17</v>
      </c>
      <c r="S10" s="405">
        <f>ML_Sum!$S10</f>
        <v>0</v>
      </c>
      <c r="T10" s="406">
        <f>ML_Sum!$T10</f>
        <v>0</v>
      </c>
      <c r="V10" s="379"/>
      <c r="W10" s="379"/>
      <c r="X10" s="379"/>
      <c r="Y10" s="379"/>
      <c r="Z10" s="379"/>
      <c r="AA10" s="379"/>
      <c r="AB10" s="379"/>
      <c r="AE10" s="374"/>
    </row>
    <row r="11" spans="1:31" s="32" customFormat="1" ht="13.8">
      <c r="A11" s="573"/>
      <c r="B11" s="562"/>
      <c r="C11" s="564">
        <f>ML_Sum!$C11</f>
        <v>1</v>
      </c>
      <c r="D11" s="562"/>
      <c r="E11" s="570"/>
      <c r="F11" s="567">
        <f>ML_Sum!$F11</f>
        <v>0</v>
      </c>
      <c r="G11" s="578"/>
      <c r="H11" s="578"/>
      <c r="I11" s="562"/>
      <c r="J11" s="562"/>
      <c r="K11" s="562"/>
      <c r="L11" s="562"/>
      <c r="M11" s="562"/>
      <c r="N11" s="562"/>
      <c r="O11" s="562"/>
      <c r="P11" s="578"/>
      <c r="Q11" s="404">
        <f>ML_Sum!$Q11</f>
        <v>0</v>
      </c>
      <c r="R11" s="27" t="s">
        <v>18</v>
      </c>
      <c r="S11" s="405">
        <f>ML_Sum!$S11</f>
        <v>0</v>
      </c>
      <c r="T11" s="406">
        <f>ML_Sum!$T11</f>
        <v>0</v>
      </c>
      <c r="V11" s="379"/>
      <c r="W11" s="379"/>
      <c r="X11" s="379"/>
      <c r="Y11" s="379"/>
      <c r="Z11" s="379"/>
      <c r="AA11" s="379"/>
      <c r="AB11" s="379"/>
      <c r="AE11" s="374"/>
    </row>
    <row r="12" spans="1:31" s="32" customFormat="1" ht="13.8">
      <c r="A12" s="573"/>
      <c r="B12" s="562"/>
      <c r="C12" s="564">
        <f>ML_Sum!$C12</f>
        <v>1</v>
      </c>
      <c r="D12" s="562"/>
      <c r="E12" s="570"/>
      <c r="F12" s="567">
        <f>ML_Sum!$F12</f>
        <v>0</v>
      </c>
      <c r="G12" s="578"/>
      <c r="H12" s="578"/>
      <c r="I12" s="562"/>
      <c r="J12" s="562"/>
      <c r="K12" s="562"/>
      <c r="L12" s="562"/>
      <c r="M12" s="562"/>
      <c r="N12" s="562"/>
      <c r="O12" s="562"/>
      <c r="P12" s="578"/>
      <c r="Q12" s="404">
        <f>ML_Sum!$Q12</f>
        <v>0</v>
      </c>
      <c r="R12" s="454" t="s">
        <v>231</v>
      </c>
      <c r="S12" s="405" t="str">
        <f>ML_Sum!$S12</f>
        <v>MAT MU</v>
      </c>
      <c r="T12" s="406" t="str">
        <f>ML_Sum!$T12</f>
        <v>LAB RATE</v>
      </c>
      <c r="V12" s="379"/>
      <c r="W12" s="379"/>
      <c r="X12" s="379"/>
      <c r="Y12" s="379"/>
      <c r="Z12" s="379"/>
      <c r="AA12" s="379"/>
      <c r="AB12" s="379"/>
      <c r="AE12" s="374"/>
    </row>
    <row r="13" spans="1:31" s="32" customFormat="1" ht="14.4" thickBot="1">
      <c r="A13" s="579"/>
      <c r="B13" s="580"/>
      <c r="C13" s="581"/>
      <c r="D13" s="582"/>
      <c r="E13" s="583"/>
      <c r="F13" s="584"/>
      <c r="G13" s="585" t="s">
        <v>19</v>
      </c>
      <c r="H13" s="585" t="s">
        <v>20</v>
      </c>
      <c r="I13" s="585" t="s">
        <v>21</v>
      </c>
      <c r="J13" s="585" t="s">
        <v>22</v>
      </c>
      <c r="K13" s="585" t="s">
        <v>23</v>
      </c>
      <c r="L13" s="585" t="s">
        <v>24</v>
      </c>
      <c r="M13" s="585" t="s">
        <v>25</v>
      </c>
      <c r="N13" s="585" t="s">
        <v>26</v>
      </c>
      <c r="O13" s="585" t="s">
        <v>27</v>
      </c>
      <c r="P13" s="585"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Elec_Est!B162</f>
        <v>0</v>
      </c>
      <c r="C19" s="149"/>
      <c r="D19" s="884" t="s">
        <v>493</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55" customFormat="1">
      <c r="A22">
        <v>1</v>
      </c>
      <c r="B22" s="755" t="s">
        <v>141</v>
      </c>
      <c r="D22" s="755" t="s">
        <v>320</v>
      </c>
      <c r="G22" s="756" t="s">
        <v>318</v>
      </c>
      <c r="H22" s="757">
        <v>410</v>
      </c>
      <c r="I22" s="755" t="s">
        <v>319</v>
      </c>
      <c r="O22" s="758">
        <v>3</v>
      </c>
      <c r="P22" s="759"/>
      <c r="Q22" s="760"/>
      <c r="R22" s="761">
        <f t="shared" ref="R22" si="2">$A22*Q22</f>
        <v>0</v>
      </c>
      <c r="S22" s="760"/>
      <c r="T22" s="762">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6">
        <f>IF($B19=0,0,ROUND(ROUND(($R25*$S$2+($T25*$T$2))/$B19, 2)*$C$2,2))</f>
        <v>0</v>
      </c>
      <c r="F25" s="557">
        <f>ROUND($B19*$E25,2)</f>
        <v>0</v>
      </c>
      <c r="G25" s="48"/>
      <c r="H25" s="48"/>
      <c r="I25" s="49"/>
      <c r="J25" s="48"/>
      <c r="K25" s="164" t="s">
        <v>143</v>
      </c>
      <c r="L25" s="165" t="s">
        <v>143</v>
      </c>
      <c r="M25" s="165"/>
      <c r="N25" s="165"/>
      <c r="O25" s="165"/>
      <c r="P25" s="165"/>
      <c r="Q25" s="166"/>
      <c r="R25" s="167">
        <f>SUM(R20:R24)</f>
        <v>0</v>
      </c>
      <c r="S25" s="168"/>
      <c r="T25" s="167">
        <f>SUM(T20:T24)</f>
        <v>0</v>
      </c>
      <c r="U25" s="496"/>
      <c r="V25" s="496"/>
      <c r="W25" s="496"/>
      <c r="X25" s="496"/>
      <c r="Y25" s="496"/>
      <c r="Z25" s="496"/>
      <c r="AA25" s="496"/>
      <c r="AB25" s="496"/>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Elec_Est!B163</f>
        <v>0</v>
      </c>
      <c r="C27" s="149"/>
      <c r="D27" s="884" t="s">
        <v>494</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55" customFormat="1">
      <c r="A30">
        <v>1</v>
      </c>
      <c r="B30" s="755" t="s">
        <v>141</v>
      </c>
      <c r="D30" s="755" t="s">
        <v>321</v>
      </c>
      <c r="G30" s="756" t="s">
        <v>318</v>
      </c>
      <c r="H30" s="757">
        <v>411</v>
      </c>
      <c r="I30" s="755" t="s">
        <v>319</v>
      </c>
      <c r="O30" s="758">
        <v>3</v>
      </c>
      <c r="P30" s="759"/>
      <c r="Q30" s="760"/>
      <c r="R30" s="761">
        <f>$A30*Q30</f>
        <v>0</v>
      </c>
      <c r="S30" s="760"/>
      <c r="T30" s="762">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6">
        <f>IF($B27=0,0,ROUND(ROUND(($R33*$S$2+($T33*$T$2))/$B27, 2)*$C$2,2))</f>
        <v>0</v>
      </c>
      <c r="F33" s="557">
        <f>ROUND($B27*$E33,2)</f>
        <v>0</v>
      </c>
      <c r="G33" s="48"/>
      <c r="H33" s="48"/>
      <c r="I33" s="49"/>
      <c r="J33" s="48"/>
      <c r="K33" s="164" t="s">
        <v>143</v>
      </c>
      <c r="L33" s="165" t="s">
        <v>143</v>
      </c>
      <c r="M33" s="165"/>
      <c r="N33" s="165"/>
      <c r="O33" s="165"/>
      <c r="P33" s="165"/>
      <c r="Q33" s="166"/>
      <c r="R33" s="167">
        <f>SUM(R28:R32)</f>
        <v>0</v>
      </c>
      <c r="S33" s="168"/>
      <c r="T33" s="167">
        <f>SUM(T28:T32)</f>
        <v>0</v>
      </c>
      <c r="U33" s="496"/>
      <c r="V33" s="496"/>
      <c r="W33" s="496"/>
      <c r="X33" s="496"/>
      <c r="Y33" s="496"/>
      <c r="Z33" s="496"/>
      <c r="AA33" s="496"/>
      <c r="AB33" s="496"/>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Elec_Est!B164</f>
        <v>0</v>
      </c>
      <c r="C35" s="149"/>
      <c r="D35" s="885" t="s">
        <v>495</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55" customFormat="1">
      <c r="A38">
        <v>1</v>
      </c>
      <c r="B38" s="755" t="s">
        <v>141</v>
      </c>
      <c r="D38" s="755" t="s">
        <v>322</v>
      </c>
      <c r="G38" s="756" t="s">
        <v>318</v>
      </c>
      <c r="H38" s="757">
        <v>412</v>
      </c>
      <c r="I38" s="755" t="s">
        <v>319</v>
      </c>
      <c r="O38" s="758">
        <v>3</v>
      </c>
      <c r="P38" s="759"/>
      <c r="Q38" s="760"/>
      <c r="R38" s="761">
        <f>$A38*Q38</f>
        <v>0</v>
      </c>
      <c r="S38" s="760"/>
      <c r="T38" s="762">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6">
        <f>IF($B35=0,0,ROUND(ROUND(($R41*$S$2+($T41*$T$2))/$B35, 2)*$C$2,2))</f>
        <v>0</v>
      </c>
      <c r="F41" s="557">
        <f>ROUND($B35*$E41,2)</f>
        <v>0</v>
      </c>
      <c r="G41" s="48"/>
      <c r="H41" s="48"/>
      <c r="I41" s="49"/>
      <c r="J41" s="48"/>
      <c r="K41" s="164" t="s">
        <v>143</v>
      </c>
      <c r="L41" s="165" t="s">
        <v>143</v>
      </c>
      <c r="M41" s="165"/>
      <c r="N41" s="165"/>
      <c r="O41" s="165"/>
      <c r="P41" s="165"/>
      <c r="Q41" s="166"/>
      <c r="R41" s="167">
        <f>SUM(R36:R40)</f>
        <v>0</v>
      </c>
      <c r="S41" s="168"/>
      <c r="T41" s="167">
        <f>SUM(T36:T40)</f>
        <v>0</v>
      </c>
      <c r="U41" s="496"/>
      <c r="V41" s="496"/>
      <c r="W41" s="496"/>
      <c r="X41" s="496"/>
      <c r="Y41" s="496"/>
      <c r="Z41" s="496"/>
      <c r="AA41" s="496"/>
      <c r="AB41" s="496"/>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Elec_Est!B165</f>
        <v>0</v>
      </c>
      <c r="C43" s="149"/>
      <c r="D43" s="884" t="s">
        <v>496</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55" customFormat="1">
      <c r="A46">
        <v>1</v>
      </c>
      <c r="B46" s="755" t="s">
        <v>141</v>
      </c>
      <c r="D46" s="755" t="s">
        <v>323</v>
      </c>
      <c r="G46" s="756" t="s">
        <v>318</v>
      </c>
      <c r="H46" s="757">
        <v>413</v>
      </c>
      <c r="I46" s="755" t="s">
        <v>319</v>
      </c>
      <c r="O46" s="758">
        <v>3</v>
      </c>
      <c r="P46" s="759"/>
      <c r="Q46" s="760"/>
      <c r="R46" s="761">
        <f>$A46*Q46</f>
        <v>0</v>
      </c>
      <c r="S46" s="760"/>
      <c r="T46" s="762">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6">
        <f>IF($B43=0,0,ROUND(ROUND(($R49*$S$2+($T49*$T$2))/$B43, 2)*$C$2,2))</f>
        <v>0</v>
      </c>
      <c r="F49" s="557">
        <f>ROUND($B43*$E49,2)</f>
        <v>0</v>
      </c>
      <c r="G49" s="48"/>
      <c r="H49" s="48"/>
      <c r="I49" s="49"/>
      <c r="J49" s="48"/>
      <c r="K49" s="164" t="s">
        <v>143</v>
      </c>
      <c r="L49" s="165" t="s">
        <v>143</v>
      </c>
      <c r="M49" s="165"/>
      <c r="N49" s="165"/>
      <c r="O49" s="165"/>
      <c r="P49" s="165"/>
      <c r="Q49" s="166"/>
      <c r="R49" s="167">
        <f>SUM(R44:R48)</f>
        <v>0</v>
      </c>
      <c r="S49" s="168"/>
      <c r="T49" s="167">
        <f>SUM(T44:T48)</f>
        <v>0</v>
      </c>
      <c r="U49" s="496"/>
      <c r="V49" s="496"/>
      <c r="W49" s="496"/>
      <c r="X49" s="496"/>
      <c r="Y49" s="496"/>
      <c r="Z49" s="496"/>
      <c r="AA49" s="496"/>
      <c r="AB49" s="496"/>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Elec_Est!B166</f>
        <v>0</v>
      </c>
      <c r="C51" s="149"/>
      <c r="D51" s="885" t="s">
        <v>497</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55" customFormat="1">
      <c r="A54">
        <v>1</v>
      </c>
      <c r="B54" s="755" t="s">
        <v>141</v>
      </c>
      <c r="D54" s="755" t="s">
        <v>324</v>
      </c>
      <c r="G54" s="756" t="s">
        <v>318</v>
      </c>
      <c r="H54" s="757">
        <v>414</v>
      </c>
      <c r="I54" s="755" t="s">
        <v>319</v>
      </c>
      <c r="O54" s="758">
        <v>3</v>
      </c>
      <c r="P54" s="759"/>
      <c r="Q54" s="760"/>
      <c r="R54" s="761">
        <f>$A54*Q54</f>
        <v>0</v>
      </c>
      <c r="S54" s="760"/>
      <c r="T54" s="762">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6">
        <f>IF($B51=0,0,ROUND(ROUND(($R57*$S$2+($T57*$T$2))/$B51, 2)*$C$2,2))</f>
        <v>0</v>
      </c>
      <c r="F57" s="557">
        <f>ROUND($B51*$E57,2)</f>
        <v>0</v>
      </c>
      <c r="G57" s="48"/>
      <c r="H57" s="48"/>
      <c r="I57" s="49"/>
      <c r="J57" s="48"/>
      <c r="K57" s="164" t="s">
        <v>143</v>
      </c>
      <c r="L57" s="165" t="s">
        <v>143</v>
      </c>
      <c r="M57" s="165"/>
      <c r="N57" s="165"/>
      <c r="O57" s="165"/>
      <c r="P57" s="165"/>
      <c r="Q57" s="166"/>
      <c r="R57" s="167">
        <f>SUM(R52:R56)</f>
        <v>0</v>
      </c>
      <c r="S57" s="168"/>
      <c r="T57" s="167">
        <f>SUM(T52:T56)</f>
        <v>0</v>
      </c>
      <c r="U57" s="496"/>
      <c r="V57" s="496"/>
      <c r="W57" s="496"/>
      <c r="X57" s="496"/>
      <c r="Y57" s="496"/>
      <c r="Z57" s="496"/>
      <c r="AA57" s="496"/>
      <c r="AB57" s="496"/>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Elec_Est!B167</f>
        <v>0</v>
      </c>
      <c r="C59" s="149"/>
      <c r="D59" s="885" t="s">
        <v>498</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55" customFormat="1">
      <c r="A62">
        <v>1</v>
      </c>
      <c r="B62" s="755" t="s">
        <v>141</v>
      </c>
      <c r="D62" s="755" t="s">
        <v>325</v>
      </c>
      <c r="G62" s="756" t="s">
        <v>318</v>
      </c>
      <c r="H62" s="757">
        <v>415</v>
      </c>
      <c r="I62" s="755" t="s">
        <v>319</v>
      </c>
      <c r="O62" s="758">
        <v>3</v>
      </c>
      <c r="P62" s="759"/>
      <c r="Q62" s="760"/>
      <c r="R62" s="761">
        <f>$A62*Q62</f>
        <v>0</v>
      </c>
      <c r="S62" s="760"/>
      <c r="T62" s="762">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6">
        <f>IF($B59=0,0,ROUND(ROUND(($R65*$S$2+($T65*$T$2))/$B59, 2)*$C$2,2))</f>
        <v>0</v>
      </c>
      <c r="F65" s="557">
        <f>ROUND($B59*$E65,2)</f>
        <v>0</v>
      </c>
      <c r="G65" s="48"/>
      <c r="H65" s="48"/>
      <c r="I65" s="49"/>
      <c r="J65" s="48"/>
      <c r="K65" s="164" t="s">
        <v>143</v>
      </c>
      <c r="L65" s="165" t="s">
        <v>143</v>
      </c>
      <c r="M65" s="165"/>
      <c r="N65" s="165"/>
      <c r="O65" s="165"/>
      <c r="P65" s="165"/>
      <c r="Q65" s="166"/>
      <c r="R65" s="167">
        <f>SUM(R60:R64)</f>
        <v>0</v>
      </c>
      <c r="S65" s="168"/>
      <c r="T65" s="167">
        <f>SUM(T60:T64)</f>
        <v>0</v>
      </c>
      <c r="U65" s="496"/>
      <c r="V65" s="496"/>
      <c r="W65" s="496"/>
      <c r="X65" s="496"/>
      <c r="Y65" s="496"/>
      <c r="Z65" s="496"/>
      <c r="AA65" s="496"/>
      <c r="AB65" s="496"/>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Elec_Est!B168</f>
        <v>0</v>
      </c>
      <c r="C67" s="149"/>
      <c r="D67" s="885" t="s">
        <v>499</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55" customFormat="1">
      <c r="A70">
        <v>1</v>
      </c>
      <c r="B70" s="755" t="s">
        <v>141</v>
      </c>
      <c r="D70" s="755" t="s">
        <v>326</v>
      </c>
      <c r="G70" s="756" t="s">
        <v>318</v>
      </c>
      <c r="H70" s="757">
        <v>416</v>
      </c>
      <c r="I70" s="755" t="s">
        <v>319</v>
      </c>
      <c r="O70" s="758">
        <v>3</v>
      </c>
      <c r="P70" s="759"/>
      <c r="Q70" s="760"/>
      <c r="R70" s="761">
        <f>$A70*Q70</f>
        <v>0</v>
      </c>
      <c r="S70" s="760"/>
      <c r="T70" s="762">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6">
        <f>IF($B67=0,0,ROUND(ROUND(($R73*$S$2+($T73*$T$2))/$B67, 2)*$C$2,2))</f>
        <v>0</v>
      </c>
      <c r="F73" s="557">
        <f>ROUND($B67*$E73,2)</f>
        <v>0</v>
      </c>
      <c r="G73" s="48"/>
      <c r="H73" s="48"/>
      <c r="I73" s="49"/>
      <c r="J73" s="48"/>
      <c r="K73" s="164" t="s">
        <v>143</v>
      </c>
      <c r="L73" s="165" t="s">
        <v>143</v>
      </c>
      <c r="M73" s="165"/>
      <c r="N73" s="165"/>
      <c r="O73" s="165"/>
      <c r="P73" s="165"/>
      <c r="Q73" s="166"/>
      <c r="R73" s="167">
        <f>SUM(R68:R72)</f>
        <v>0</v>
      </c>
      <c r="S73" s="168"/>
      <c r="T73" s="167">
        <f>SUM(T68:T72)</f>
        <v>0</v>
      </c>
      <c r="U73" s="496"/>
      <c r="V73" s="496"/>
      <c r="W73" s="496"/>
      <c r="X73" s="496"/>
      <c r="Y73" s="496"/>
      <c r="Z73" s="496"/>
      <c r="AA73" s="496"/>
      <c r="AB73" s="496"/>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Elec_Est!B169</f>
        <v>0</v>
      </c>
      <c r="C75" s="149"/>
      <c r="D75" s="885" t="s">
        <v>500</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55" customFormat="1">
      <c r="A78">
        <v>1</v>
      </c>
      <c r="B78" s="755" t="s">
        <v>141</v>
      </c>
      <c r="D78" s="755" t="s">
        <v>327</v>
      </c>
      <c r="G78" s="756" t="s">
        <v>318</v>
      </c>
      <c r="H78" s="757">
        <v>417</v>
      </c>
      <c r="I78" s="755" t="s">
        <v>319</v>
      </c>
      <c r="O78" s="758">
        <v>3</v>
      </c>
      <c r="P78" s="759"/>
      <c r="Q78" s="760"/>
      <c r="R78" s="761">
        <f>$A78*Q78</f>
        <v>0</v>
      </c>
      <c r="S78" s="760"/>
      <c r="T78" s="762">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6">
        <f>IF($B75=0,0,ROUND(ROUND(($R81*$S$2+($T81*$T$2))/$B75, 2)*$C$2,2))</f>
        <v>0</v>
      </c>
      <c r="F81" s="557">
        <f>ROUND($B75*$E81,2)</f>
        <v>0</v>
      </c>
      <c r="G81" s="48"/>
      <c r="H81" s="48"/>
      <c r="I81" s="49"/>
      <c r="J81" s="48"/>
      <c r="K81" s="164" t="s">
        <v>143</v>
      </c>
      <c r="L81" s="165" t="s">
        <v>143</v>
      </c>
      <c r="M81" s="165"/>
      <c r="N81" s="165"/>
      <c r="O81" s="165"/>
      <c r="P81" s="165"/>
      <c r="Q81" s="166"/>
      <c r="R81" s="167">
        <f>SUM(R76:R80)</f>
        <v>0</v>
      </c>
      <c r="S81" s="168"/>
      <c r="T81" s="167">
        <f>SUM(T76:T80)</f>
        <v>0</v>
      </c>
      <c r="U81" s="496"/>
      <c r="V81" s="496"/>
      <c r="W81" s="496"/>
      <c r="X81" s="496"/>
      <c r="Y81" s="496"/>
      <c r="Z81" s="496"/>
      <c r="AA81" s="496"/>
      <c r="AB81" s="496"/>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Elec_Est!B170</f>
        <v>0</v>
      </c>
      <c r="C83" s="149"/>
      <c r="D83" s="885" t="s">
        <v>501</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55" customFormat="1">
      <c r="A86">
        <v>1</v>
      </c>
      <c r="B86" s="755" t="s">
        <v>141</v>
      </c>
      <c r="D86" s="755" t="s">
        <v>328</v>
      </c>
      <c r="G86" s="756" t="s">
        <v>318</v>
      </c>
      <c r="H86" s="757">
        <v>418</v>
      </c>
      <c r="I86" s="755" t="s">
        <v>319</v>
      </c>
      <c r="O86" s="758">
        <v>3</v>
      </c>
      <c r="P86" s="759"/>
      <c r="Q86" s="760"/>
      <c r="R86" s="761">
        <f>$A86*Q86</f>
        <v>0</v>
      </c>
      <c r="S86" s="760"/>
      <c r="T86" s="762">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6">
        <f>IF($B83=0,0,ROUND(ROUND(($R89*$S$2+($T89*$T$2))/$B83, 2)*$C$2,2))</f>
        <v>0</v>
      </c>
      <c r="F89" s="557">
        <f>ROUND($B83*$E89,2)</f>
        <v>0</v>
      </c>
      <c r="G89" s="48"/>
      <c r="H89" s="48"/>
      <c r="I89" s="49"/>
      <c r="J89" s="48"/>
      <c r="K89" s="164" t="s">
        <v>143</v>
      </c>
      <c r="L89" s="165" t="s">
        <v>143</v>
      </c>
      <c r="M89" s="165"/>
      <c r="N89" s="165"/>
      <c r="O89" s="165"/>
      <c r="P89" s="165"/>
      <c r="Q89" s="166"/>
      <c r="R89" s="167">
        <f>SUM(R84:R88)</f>
        <v>0</v>
      </c>
      <c r="S89" s="168"/>
      <c r="T89" s="167">
        <f>SUM(T84:T88)</f>
        <v>0</v>
      </c>
      <c r="U89" s="496"/>
      <c r="V89" s="496"/>
      <c r="W89" s="496"/>
      <c r="X89" s="496"/>
      <c r="Y89" s="496"/>
      <c r="Z89" s="496"/>
      <c r="AA89" s="496"/>
      <c r="AB89" s="496"/>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Elec_Est!B171</f>
        <v>0</v>
      </c>
      <c r="C91" s="149"/>
      <c r="D91" s="885" t="s">
        <v>502</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55" customFormat="1">
      <c r="A94">
        <v>1</v>
      </c>
      <c r="B94" s="755" t="s">
        <v>141</v>
      </c>
      <c r="D94" s="755" t="s">
        <v>329</v>
      </c>
      <c r="G94" s="756" t="s">
        <v>318</v>
      </c>
      <c r="H94" s="757">
        <v>419</v>
      </c>
      <c r="I94" s="755" t="s">
        <v>319</v>
      </c>
      <c r="O94" s="758">
        <v>3</v>
      </c>
      <c r="P94" s="759"/>
      <c r="Q94" s="760"/>
      <c r="R94" s="761">
        <f>$A94*Q94</f>
        <v>0</v>
      </c>
      <c r="S94" s="760"/>
      <c r="T94" s="762">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6">
        <f>IF($B91=0,0,ROUND(ROUND(($R97*$S$2+($T97*$T$2))/$B91, 2)*$C$2,2))</f>
        <v>0</v>
      </c>
      <c r="F97" s="557">
        <f>ROUND($B91*$E97,2)</f>
        <v>0</v>
      </c>
      <c r="G97" s="48"/>
      <c r="H97" s="48"/>
      <c r="I97" s="49"/>
      <c r="J97" s="48"/>
      <c r="K97" s="164" t="s">
        <v>143</v>
      </c>
      <c r="L97" s="165" t="s">
        <v>143</v>
      </c>
      <c r="M97" s="165"/>
      <c r="N97" s="165"/>
      <c r="O97" s="165"/>
      <c r="P97" s="165"/>
      <c r="Q97" s="166"/>
      <c r="R97" s="167">
        <f>SUM(R92:R96)</f>
        <v>0</v>
      </c>
      <c r="S97" s="168"/>
      <c r="T97" s="167">
        <f>SUM(T92:T96)</f>
        <v>0</v>
      </c>
      <c r="U97" s="496"/>
      <c r="V97" s="496"/>
      <c r="W97" s="496"/>
      <c r="X97" s="496"/>
      <c r="Y97" s="496"/>
      <c r="Z97" s="496"/>
      <c r="AA97" s="496"/>
      <c r="AB97" s="496"/>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Elec_Est!B172</f>
        <v>0</v>
      </c>
      <c r="C99" s="149"/>
      <c r="D99" s="885" t="s">
        <v>503</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55" customFormat="1">
      <c r="A102">
        <v>1</v>
      </c>
      <c r="B102" s="755" t="s">
        <v>141</v>
      </c>
      <c r="D102" s="755" t="s">
        <v>330</v>
      </c>
      <c r="G102" s="756" t="s">
        <v>318</v>
      </c>
      <c r="H102" s="757">
        <v>420</v>
      </c>
      <c r="I102" s="755" t="s">
        <v>319</v>
      </c>
      <c r="O102" s="758">
        <v>3</v>
      </c>
      <c r="P102" s="759"/>
      <c r="Q102" s="760"/>
      <c r="R102" s="761">
        <f>$A102*Q102</f>
        <v>0</v>
      </c>
      <c r="S102" s="760"/>
      <c r="T102" s="762">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6">
        <f>IF($B99=0,0,ROUND(ROUND(($R105*$S$2+($T105*$T$2))/$B99, 2)*$C$2,2))</f>
        <v>0</v>
      </c>
      <c r="F105" s="557">
        <f>ROUND($B99*$E105,2)</f>
        <v>0</v>
      </c>
      <c r="G105" s="48"/>
      <c r="H105" s="48"/>
      <c r="I105" s="49"/>
      <c r="J105" s="48"/>
      <c r="K105" s="164" t="s">
        <v>143</v>
      </c>
      <c r="L105" s="165" t="s">
        <v>143</v>
      </c>
      <c r="M105" s="165"/>
      <c r="N105" s="165"/>
      <c r="O105" s="165"/>
      <c r="P105" s="165"/>
      <c r="Q105" s="166"/>
      <c r="R105" s="167">
        <f>SUM(R100:R104)</f>
        <v>0</v>
      </c>
      <c r="S105" s="168"/>
      <c r="T105" s="167">
        <f>SUM(T100:T104)</f>
        <v>0</v>
      </c>
      <c r="U105" s="496"/>
      <c r="V105" s="496"/>
      <c r="W105" s="496"/>
      <c r="X105" s="496"/>
      <c r="Y105" s="496"/>
      <c r="Z105" s="496"/>
      <c r="AA105" s="496"/>
      <c r="AB105" s="496"/>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Elec_Est!B173</f>
        <v>0</v>
      </c>
      <c r="C107" s="149"/>
      <c r="D107" s="885" t="s">
        <v>504</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55" customFormat="1">
      <c r="A110">
        <v>1</v>
      </c>
      <c r="B110" s="755" t="s">
        <v>141</v>
      </c>
      <c r="D110" s="755" t="s">
        <v>331</v>
      </c>
      <c r="G110" s="756" t="s">
        <v>318</v>
      </c>
      <c r="H110" s="757">
        <v>421</v>
      </c>
      <c r="I110" s="755" t="s">
        <v>319</v>
      </c>
      <c r="O110" s="758">
        <v>3</v>
      </c>
      <c r="P110" s="759"/>
      <c r="Q110" s="760"/>
      <c r="R110" s="761">
        <f>$A110*Q110</f>
        <v>0</v>
      </c>
      <c r="S110" s="760"/>
      <c r="T110" s="762">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6">
        <f>IF($B107=0,0,ROUND(ROUND(($R113*$S$2+($T113*$T$2))/$B107, 2)*$C$2,2))</f>
        <v>0</v>
      </c>
      <c r="F113" s="557">
        <f>ROUND($B107*$E113,2)</f>
        <v>0</v>
      </c>
      <c r="G113" s="48"/>
      <c r="H113" s="48"/>
      <c r="I113" s="49"/>
      <c r="J113" s="48"/>
      <c r="K113" s="164" t="s">
        <v>143</v>
      </c>
      <c r="L113" s="165" t="s">
        <v>143</v>
      </c>
      <c r="M113" s="165"/>
      <c r="N113" s="165"/>
      <c r="O113" s="165"/>
      <c r="P113" s="165"/>
      <c r="Q113" s="166"/>
      <c r="R113" s="167">
        <f>SUM(R108:R112)</f>
        <v>0</v>
      </c>
      <c r="S113" s="168"/>
      <c r="T113" s="167">
        <f>SUM(T108:T112)</f>
        <v>0</v>
      </c>
      <c r="U113" s="496"/>
      <c r="V113" s="496"/>
      <c r="W113" s="496"/>
      <c r="X113" s="496"/>
      <c r="Y113" s="496"/>
      <c r="Z113" s="496"/>
      <c r="AA113" s="496"/>
      <c r="AB113" s="496"/>
    </row>
    <row r="114" spans="1:28" s="619" customFormat="1" ht="12" thickTop="1">
      <c r="A114" s="64"/>
      <c r="B114" s="64"/>
      <c r="C114" s="64"/>
      <c r="D114" s="64"/>
      <c r="E114" s="64"/>
      <c r="F114" s="64"/>
      <c r="G114" s="64"/>
      <c r="H114" s="64"/>
      <c r="I114" s="64"/>
      <c r="J114" s="64"/>
      <c r="K114" s="64"/>
      <c r="L114" s="64"/>
      <c r="M114" s="64"/>
      <c r="N114" s="64"/>
      <c r="O114" s="65"/>
      <c r="P114" s="64"/>
      <c r="Q114" s="42" t="s">
        <v>180</v>
      </c>
      <c r="R114" s="64"/>
      <c r="S114" s="13"/>
      <c r="T114" s="64"/>
    </row>
    <row r="115" spans="1:28" s="619" customFormat="1" ht="12.6" thickBot="1">
      <c r="A115" s="886">
        <v>1</v>
      </c>
      <c r="B115" s="887">
        <f>[3]Elec_Est!B139</f>
        <v>55</v>
      </c>
      <c r="C115" s="888"/>
      <c r="D115" s="884" t="s">
        <v>510</v>
      </c>
      <c r="E115" s="889"/>
      <c r="F115" s="889"/>
      <c r="G115" s="628"/>
      <c r="H115" s="628"/>
      <c r="I115" s="890"/>
      <c r="J115" s="628"/>
      <c r="K115" s="888" t="s">
        <v>181</v>
      </c>
      <c r="L115" s="891" t="s">
        <v>181</v>
      </c>
      <c r="M115" s="891"/>
      <c r="N115" s="891"/>
      <c r="O115" s="891"/>
      <c r="P115" s="891"/>
      <c r="Q115" s="892">
        <f>B115/A115</f>
        <v>55</v>
      </c>
      <c r="R115" s="893">
        <f>IF($B115=0,0,IF($S$1="R",ROUND(R141/$B115,2),R141/$B115))</f>
        <v>0</v>
      </c>
      <c r="S115" s="894"/>
      <c r="T115" s="893">
        <f>IF($B115=0,0,IF($S$1="R",ROUND(T141/$B115,2),T141/$B115))</f>
        <v>0</v>
      </c>
    </row>
    <row r="116" spans="1:28" s="619" customFormat="1" ht="13.8" thickTop="1">
      <c r="A116" s="624"/>
      <c r="B116" s="3"/>
      <c r="C116" s="3"/>
      <c r="D116" s="159" t="s">
        <v>182</v>
      </c>
      <c r="E116" s="3"/>
      <c r="F116" s="3"/>
      <c r="G116" s="3"/>
      <c r="H116" s="3"/>
      <c r="I116" s="3"/>
      <c r="J116" s="3"/>
      <c r="K116" s="3"/>
      <c r="L116" s="3"/>
      <c r="M116" s="3"/>
      <c r="N116" s="3"/>
      <c r="O116" s="160"/>
      <c r="P116" s="3"/>
      <c r="Q116" s="3"/>
      <c r="R116" s="3"/>
      <c r="S116" s="3"/>
      <c r="T116" s="3"/>
    </row>
    <row r="117" spans="1:28" s="619" customFormat="1" ht="12">
      <c r="A117" s="64"/>
      <c r="B117" s="615" t="s">
        <v>141</v>
      </c>
      <c r="C117" s="615"/>
      <c r="D117" s="615" t="s">
        <v>376</v>
      </c>
      <c r="E117" s="615" t="s">
        <v>372</v>
      </c>
      <c r="F117" s="616" t="s">
        <v>375</v>
      </c>
      <c r="G117" s="615" t="s">
        <v>318</v>
      </c>
      <c r="H117" s="615">
        <v>415</v>
      </c>
      <c r="I117" s="617" t="s">
        <v>319</v>
      </c>
      <c r="J117" s="615"/>
      <c r="K117" s="615"/>
      <c r="L117" s="615"/>
      <c r="M117" s="615"/>
      <c r="N117" s="615"/>
      <c r="O117" s="615">
        <v>3</v>
      </c>
      <c r="P117" s="615"/>
      <c r="Q117" s="617">
        <v>1.61</v>
      </c>
      <c r="R117" s="640">
        <f t="shared" ref="R117:R140" si="26">$A117*Q117</f>
        <v>0</v>
      </c>
      <c r="S117" s="617"/>
      <c r="T117" s="618">
        <f t="shared" ref="T117:T140" si="27">$A117*S117*$T$1</f>
        <v>0</v>
      </c>
    </row>
    <row r="118" spans="1:28" s="619" customFormat="1" ht="12">
      <c r="A118" s="64"/>
      <c r="B118" s="615" t="s">
        <v>141</v>
      </c>
      <c r="C118" s="615"/>
      <c r="D118" s="615" t="s">
        <v>378</v>
      </c>
      <c r="E118" s="615" t="s">
        <v>372</v>
      </c>
      <c r="F118" s="616" t="s">
        <v>377</v>
      </c>
      <c r="G118" s="615" t="s">
        <v>318</v>
      </c>
      <c r="H118" s="615">
        <v>415</v>
      </c>
      <c r="I118" s="617" t="s">
        <v>319</v>
      </c>
      <c r="J118" s="615"/>
      <c r="K118" s="615"/>
      <c r="L118" s="615"/>
      <c r="M118" s="615"/>
      <c r="N118" s="615"/>
      <c r="O118" s="615">
        <v>3</v>
      </c>
      <c r="P118" s="615"/>
      <c r="Q118" s="617">
        <v>1.6</v>
      </c>
      <c r="R118" s="640">
        <f t="shared" si="26"/>
        <v>0</v>
      </c>
      <c r="S118" s="617"/>
      <c r="T118" s="618">
        <f t="shared" si="27"/>
        <v>0</v>
      </c>
    </row>
    <row r="119" spans="1:28" s="619" customFormat="1" ht="12">
      <c r="A119" s="615"/>
      <c r="B119" s="615" t="s">
        <v>141</v>
      </c>
      <c r="C119" s="615"/>
      <c r="D119" s="615" t="s">
        <v>380</v>
      </c>
      <c r="E119" s="615" t="s">
        <v>372</v>
      </c>
      <c r="F119" s="616" t="s">
        <v>379</v>
      </c>
      <c r="G119" s="615" t="s">
        <v>318</v>
      </c>
      <c r="H119" s="615">
        <v>416</v>
      </c>
      <c r="I119" s="617" t="s">
        <v>319</v>
      </c>
      <c r="J119" s="615"/>
      <c r="K119" s="615"/>
      <c r="L119" s="615"/>
      <c r="M119" s="615"/>
      <c r="N119" s="615"/>
      <c r="O119" s="615">
        <v>3</v>
      </c>
      <c r="P119" s="615"/>
      <c r="Q119" s="617">
        <v>1.69</v>
      </c>
      <c r="R119" s="640">
        <f t="shared" si="26"/>
        <v>0</v>
      </c>
      <c r="S119" s="617"/>
      <c r="T119" s="618">
        <f t="shared" si="27"/>
        <v>0</v>
      </c>
    </row>
    <row r="120" spans="1:28" s="619" customFormat="1" ht="12">
      <c r="A120" s="64"/>
      <c r="B120" s="615" t="s">
        <v>141</v>
      </c>
      <c r="C120" s="615"/>
      <c r="D120" s="615" t="s">
        <v>384</v>
      </c>
      <c r="E120" s="615" t="s">
        <v>372</v>
      </c>
      <c r="F120" s="616" t="s">
        <v>383</v>
      </c>
      <c r="G120" s="615" t="s">
        <v>318</v>
      </c>
      <c r="H120" s="615">
        <v>416</v>
      </c>
      <c r="I120" s="617" t="s">
        <v>319</v>
      </c>
      <c r="J120" s="615"/>
      <c r="K120" s="615"/>
      <c r="L120" s="615"/>
      <c r="M120" s="615"/>
      <c r="N120" s="615"/>
      <c r="O120" s="615">
        <v>3</v>
      </c>
      <c r="P120" s="615"/>
      <c r="Q120" s="617">
        <v>6.57</v>
      </c>
      <c r="R120" s="640">
        <f t="shared" si="26"/>
        <v>0</v>
      </c>
      <c r="S120" s="617"/>
      <c r="T120" s="618">
        <f t="shared" si="27"/>
        <v>0</v>
      </c>
    </row>
    <row r="121" spans="1:28" s="619" customFormat="1" ht="12">
      <c r="A121" s="64"/>
      <c r="B121" s="615" t="s">
        <v>141</v>
      </c>
      <c r="C121" s="615"/>
      <c r="D121" s="615" t="s">
        <v>396</v>
      </c>
      <c r="E121" s="615" t="s">
        <v>372</v>
      </c>
      <c r="F121" s="616" t="s">
        <v>438</v>
      </c>
      <c r="G121" s="615" t="s">
        <v>318</v>
      </c>
      <c r="H121" s="615">
        <v>415</v>
      </c>
      <c r="I121" s="617" t="s">
        <v>319</v>
      </c>
      <c r="J121" s="615"/>
      <c r="K121" s="615"/>
      <c r="L121" s="615"/>
      <c r="M121" s="615"/>
      <c r="N121" s="615"/>
      <c r="O121" s="615">
        <v>3</v>
      </c>
      <c r="P121" s="615"/>
      <c r="Q121" s="617">
        <v>3</v>
      </c>
      <c r="R121" s="640">
        <f t="shared" si="26"/>
        <v>0</v>
      </c>
      <c r="S121" s="617"/>
      <c r="T121" s="618">
        <f t="shared" si="27"/>
        <v>0</v>
      </c>
    </row>
    <row r="122" spans="1:28" s="619" customFormat="1" ht="12">
      <c r="A122" s="615"/>
      <c r="B122" s="615" t="s">
        <v>141</v>
      </c>
      <c r="C122" s="615"/>
      <c r="D122" s="615" t="s">
        <v>402</v>
      </c>
      <c r="E122" s="615" t="s">
        <v>372</v>
      </c>
      <c r="F122" s="616" t="s">
        <v>401</v>
      </c>
      <c r="G122" s="615" t="s">
        <v>318</v>
      </c>
      <c r="H122" s="615">
        <v>415</v>
      </c>
      <c r="I122" s="617" t="s">
        <v>319</v>
      </c>
      <c r="J122" s="615"/>
      <c r="K122" s="615"/>
      <c r="L122" s="615"/>
      <c r="M122" s="615"/>
      <c r="N122" s="615"/>
      <c r="O122" s="615">
        <v>3</v>
      </c>
      <c r="P122" s="615"/>
      <c r="Q122" s="617">
        <v>0.24</v>
      </c>
      <c r="R122" s="640">
        <f t="shared" si="26"/>
        <v>0</v>
      </c>
      <c r="S122" s="617"/>
      <c r="T122" s="618">
        <f t="shared" si="27"/>
        <v>0</v>
      </c>
    </row>
    <row r="123" spans="1:28" s="619" customFormat="1" ht="12">
      <c r="A123" s="64"/>
      <c r="B123" s="615" t="s">
        <v>141</v>
      </c>
      <c r="C123" s="615"/>
      <c r="D123" s="615" t="s">
        <v>443</v>
      </c>
      <c r="E123" s="615" t="s">
        <v>372</v>
      </c>
      <c r="F123" s="616" t="s">
        <v>506</v>
      </c>
      <c r="G123" s="615" t="s">
        <v>318</v>
      </c>
      <c r="H123" s="615">
        <v>415</v>
      </c>
      <c r="I123" s="617" t="s">
        <v>319</v>
      </c>
      <c r="J123" s="615"/>
      <c r="K123" s="615"/>
      <c r="L123" s="615"/>
      <c r="M123" s="615"/>
      <c r="N123" s="615"/>
      <c r="O123" s="615">
        <v>3</v>
      </c>
      <c r="P123" s="615"/>
      <c r="Q123" s="617">
        <v>10.01</v>
      </c>
      <c r="R123" s="640">
        <f t="shared" si="26"/>
        <v>0</v>
      </c>
      <c r="S123" s="617"/>
      <c r="T123" s="618">
        <f t="shared" si="27"/>
        <v>0</v>
      </c>
    </row>
    <row r="124" spans="1:28" s="619" customFormat="1" ht="12">
      <c r="A124" s="64"/>
      <c r="B124" s="615" t="s">
        <v>141</v>
      </c>
      <c r="C124" s="615"/>
      <c r="D124" s="615" t="s">
        <v>400</v>
      </c>
      <c r="E124" s="615" t="s">
        <v>372</v>
      </c>
      <c r="F124" s="616" t="s">
        <v>507</v>
      </c>
      <c r="G124" s="615" t="s">
        <v>318</v>
      </c>
      <c r="H124" s="615">
        <v>415</v>
      </c>
      <c r="I124" s="617" t="s">
        <v>319</v>
      </c>
      <c r="J124" s="615"/>
      <c r="K124" s="615"/>
      <c r="L124" s="615"/>
      <c r="M124" s="615"/>
      <c r="N124" s="615"/>
      <c r="O124" s="615">
        <v>3</v>
      </c>
      <c r="P124" s="615"/>
      <c r="Q124" s="617">
        <v>4</v>
      </c>
      <c r="R124" s="640">
        <f t="shared" si="26"/>
        <v>0</v>
      </c>
      <c r="S124" s="617"/>
      <c r="T124" s="618">
        <f t="shared" si="27"/>
        <v>0</v>
      </c>
    </row>
    <row r="125" spans="1:28" s="619" customFormat="1" ht="12">
      <c r="A125" s="64"/>
      <c r="B125" s="615" t="s">
        <v>141</v>
      </c>
      <c r="C125" s="615"/>
      <c r="D125" s="615" t="s">
        <v>404</v>
      </c>
      <c r="E125" s="615" t="s">
        <v>372</v>
      </c>
      <c r="F125" s="616" t="s">
        <v>508</v>
      </c>
      <c r="G125" s="615" t="s">
        <v>318</v>
      </c>
      <c r="H125" s="615">
        <v>415</v>
      </c>
      <c r="I125" s="617" t="s">
        <v>319</v>
      </c>
      <c r="J125" s="615"/>
      <c r="K125" s="615"/>
      <c r="L125" s="615"/>
      <c r="M125" s="615"/>
      <c r="N125" s="615"/>
      <c r="O125" s="615">
        <v>3</v>
      </c>
      <c r="P125" s="615"/>
      <c r="Q125" s="617">
        <v>5.76</v>
      </c>
      <c r="R125" s="640">
        <f t="shared" si="26"/>
        <v>0</v>
      </c>
      <c r="S125" s="617"/>
      <c r="T125" s="618">
        <f t="shared" si="27"/>
        <v>0</v>
      </c>
    </row>
    <row r="126" spans="1:28" s="619" customFormat="1" ht="12">
      <c r="A126" s="615"/>
      <c r="B126" s="615" t="s">
        <v>141</v>
      </c>
      <c r="C126" s="615"/>
      <c r="D126" s="615" t="s">
        <v>415</v>
      </c>
      <c r="E126" s="615" t="s">
        <v>372</v>
      </c>
      <c r="F126" s="616" t="s">
        <v>414</v>
      </c>
      <c r="G126" s="615" t="s">
        <v>318</v>
      </c>
      <c r="H126" s="615">
        <v>416</v>
      </c>
      <c r="I126" s="617" t="s">
        <v>319</v>
      </c>
      <c r="J126" s="615"/>
      <c r="K126" s="615"/>
      <c r="L126" s="615"/>
      <c r="M126" s="615"/>
      <c r="N126" s="615"/>
      <c r="O126" s="615">
        <v>3</v>
      </c>
      <c r="P126" s="615"/>
      <c r="Q126" s="617">
        <v>2.2200000000000002</v>
      </c>
      <c r="R126" s="640">
        <f t="shared" si="26"/>
        <v>0</v>
      </c>
      <c r="S126" s="617"/>
      <c r="T126" s="618">
        <f t="shared" si="27"/>
        <v>0</v>
      </c>
    </row>
    <row r="127" spans="1:28" s="619" customFormat="1" ht="12">
      <c r="A127" s="615"/>
      <c r="B127" s="615" t="s">
        <v>141</v>
      </c>
      <c r="C127" s="615"/>
      <c r="D127" s="615" t="s">
        <v>417</v>
      </c>
      <c r="E127" s="615" t="s">
        <v>372</v>
      </c>
      <c r="F127" s="616" t="s">
        <v>416</v>
      </c>
      <c r="G127" s="615" t="s">
        <v>318</v>
      </c>
      <c r="H127" s="615">
        <v>416</v>
      </c>
      <c r="I127" s="617" t="s">
        <v>319</v>
      </c>
      <c r="J127" s="615"/>
      <c r="K127" s="615"/>
      <c r="L127" s="615"/>
      <c r="M127" s="615"/>
      <c r="N127" s="615"/>
      <c r="O127" s="615">
        <v>3</v>
      </c>
      <c r="P127" s="615"/>
      <c r="Q127" s="617">
        <v>1.05</v>
      </c>
      <c r="R127" s="640">
        <f t="shared" si="26"/>
        <v>0</v>
      </c>
      <c r="S127" s="617"/>
      <c r="T127" s="618">
        <f t="shared" si="27"/>
        <v>0</v>
      </c>
    </row>
    <row r="128" spans="1:28" s="619" customFormat="1" ht="12">
      <c r="A128" s="882"/>
      <c r="B128" s="615" t="s">
        <v>141</v>
      </c>
      <c r="C128" s="615"/>
      <c r="D128" s="615" t="s">
        <v>347</v>
      </c>
      <c r="E128" s="615" t="s">
        <v>338</v>
      </c>
      <c r="F128" s="616" t="s">
        <v>348</v>
      </c>
      <c r="G128" s="615" t="s">
        <v>318</v>
      </c>
      <c r="H128" s="615">
        <v>415</v>
      </c>
      <c r="I128" s="617" t="s">
        <v>319</v>
      </c>
      <c r="J128" s="615"/>
      <c r="K128" s="615"/>
      <c r="L128" s="615"/>
      <c r="M128" s="615"/>
      <c r="N128" s="615"/>
      <c r="O128" s="615">
        <v>3</v>
      </c>
      <c r="P128" s="615"/>
      <c r="Q128" s="617">
        <v>16.91</v>
      </c>
      <c r="R128" s="640">
        <f t="shared" si="26"/>
        <v>0</v>
      </c>
      <c r="S128" s="617"/>
      <c r="T128" s="618">
        <f t="shared" si="27"/>
        <v>0</v>
      </c>
    </row>
    <row r="129" spans="1:28" s="619" customFormat="1" ht="12">
      <c r="A129" s="882"/>
      <c r="B129" s="615" t="s">
        <v>141</v>
      </c>
      <c r="C129" s="615"/>
      <c r="D129" s="615" t="s">
        <v>349</v>
      </c>
      <c r="E129" s="615" t="s">
        <v>338</v>
      </c>
      <c r="F129" s="616" t="s">
        <v>350</v>
      </c>
      <c r="G129" s="615" t="s">
        <v>318</v>
      </c>
      <c r="H129" s="615">
        <v>415</v>
      </c>
      <c r="I129" s="617" t="s">
        <v>319</v>
      </c>
      <c r="J129" s="615"/>
      <c r="K129" s="615"/>
      <c r="L129" s="615"/>
      <c r="M129" s="615"/>
      <c r="N129" s="615"/>
      <c r="O129" s="615">
        <v>3</v>
      </c>
      <c r="P129" s="615"/>
      <c r="Q129" s="617">
        <v>5.57</v>
      </c>
      <c r="R129" s="640">
        <f t="shared" si="26"/>
        <v>0</v>
      </c>
      <c r="S129" s="617"/>
      <c r="T129" s="618">
        <f t="shared" si="27"/>
        <v>0</v>
      </c>
    </row>
    <row r="130" spans="1:28" s="619" customFormat="1" ht="12">
      <c r="A130" s="882"/>
      <c r="B130" s="615" t="s">
        <v>141</v>
      </c>
      <c r="C130" s="615"/>
      <c r="D130" s="615" t="s">
        <v>351</v>
      </c>
      <c r="E130" s="615" t="s">
        <v>338</v>
      </c>
      <c r="F130" s="616" t="s">
        <v>352</v>
      </c>
      <c r="G130" s="615" t="s">
        <v>318</v>
      </c>
      <c r="H130" s="615">
        <v>415</v>
      </c>
      <c r="I130" s="617" t="s">
        <v>319</v>
      </c>
      <c r="J130" s="615"/>
      <c r="K130" s="615"/>
      <c r="L130" s="615"/>
      <c r="M130" s="615"/>
      <c r="N130" s="615"/>
      <c r="O130" s="615">
        <v>3</v>
      </c>
      <c r="P130" s="615"/>
      <c r="Q130" s="617">
        <v>5.7</v>
      </c>
      <c r="R130" s="640">
        <f t="shared" si="26"/>
        <v>0</v>
      </c>
      <c r="S130" s="617"/>
      <c r="T130" s="618">
        <f t="shared" si="27"/>
        <v>0</v>
      </c>
    </row>
    <row r="131" spans="1:28" s="619" customFormat="1" ht="12">
      <c r="A131" s="882"/>
      <c r="B131" s="615" t="s">
        <v>141</v>
      </c>
      <c r="C131" s="615"/>
      <c r="D131" s="615" t="s">
        <v>353</v>
      </c>
      <c r="E131" s="615" t="s">
        <v>338</v>
      </c>
      <c r="F131" s="616" t="s">
        <v>354</v>
      </c>
      <c r="G131" s="615" t="s">
        <v>318</v>
      </c>
      <c r="H131" s="615">
        <v>415</v>
      </c>
      <c r="I131" s="617" t="s">
        <v>319</v>
      </c>
      <c r="J131" s="615"/>
      <c r="K131" s="615"/>
      <c r="L131" s="615"/>
      <c r="M131" s="615"/>
      <c r="N131" s="615"/>
      <c r="O131" s="615">
        <v>3</v>
      </c>
      <c r="P131" s="615"/>
      <c r="Q131" s="617">
        <v>7.4</v>
      </c>
      <c r="R131" s="640">
        <f t="shared" si="26"/>
        <v>0</v>
      </c>
      <c r="S131" s="617"/>
      <c r="T131" s="618">
        <f t="shared" si="27"/>
        <v>0</v>
      </c>
    </row>
    <row r="132" spans="1:28" s="619" customFormat="1" ht="12">
      <c r="A132" s="615"/>
      <c r="B132" s="615" t="s">
        <v>141</v>
      </c>
      <c r="C132" s="615"/>
      <c r="D132" s="615" t="s">
        <v>509</v>
      </c>
      <c r="E132" s="615" t="s">
        <v>372</v>
      </c>
      <c r="F132" s="616"/>
      <c r="G132" s="615" t="s">
        <v>318</v>
      </c>
      <c r="H132" s="615">
        <v>415</v>
      </c>
      <c r="I132" s="617" t="s">
        <v>319</v>
      </c>
      <c r="J132" s="615"/>
      <c r="K132" s="615"/>
      <c r="L132" s="615"/>
      <c r="M132" s="615"/>
      <c r="N132" s="615"/>
      <c r="O132" s="615">
        <v>3</v>
      </c>
      <c r="P132" s="615"/>
      <c r="Q132" s="617">
        <v>110</v>
      </c>
      <c r="R132" s="640">
        <f t="shared" si="26"/>
        <v>0</v>
      </c>
      <c r="S132" s="617"/>
      <c r="T132" s="618">
        <f t="shared" si="27"/>
        <v>0</v>
      </c>
    </row>
    <row r="133" spans="1:28" s="619" customFormat="1" ht="12">
      <c r="A133" s="615"/>
      <c r="B133" s="615" t="s">
        <v>141</v>
      </c>
      <c r="C133" s="615"/>
      <c r="D133" s="615" t="s">
        <v>447</v>
      </c>
      <c r="E133" s="615" t="s">
        <v>372</v>
      </c>
      <c r="F133" s="616" t="s">
        <v>448</v>
      </c>
      <c r="G133" s="615" t="s">
        <v>318</v>
      </c>
      <c r="H133" s="615">
        <v>415</v>
      </c>
      <c r="I133" s="617" t="s">
        <v>319</v>
      </c>
      <c r="J133" s="615"/>
      <c r="K133" s="615"/>
      <c r="L133" s="615"/>
      <c r="M133" s="615"/>
      <c r="N133" s="615"/>
      <c r="O133" s="615">
        <v>3</v>
      </c>
      <c r="P133" s="615"/>
      <c r="Q133" s="617">
        <v>3</v>
      </c>
      <c r="R133" s="640">
        <f t="shared" si="26"/>
        <v>0</v>
      </c>
      <c r="S133" s="617"/>
      <c r="T133" s="618">
        <f t="shared" si="27"/>
        <v>0</v>
      </c>
    </row>
    <row r="134" spans="1:28" s="619" customFormat="1" ht="12">
      <c r="A134" s="615"/>
      <c r="B134" s="615" t="s">
        <v>141</v>
      </c>
      <c r="C134" s="615"/>
      <c r="D134" s="615" t="s">
        <v>446</v>
      </c>
      <c r="E134" s="615" t="s">
        <v>372</v>
      </c>
      <c r="F134" s="616" t="s">
        <v>340</v>
      </c>
      <c r="G134" s="615" t="s">
        <v>318</v>
      </c>
      <c r="H134" s="615">
        <v>415</v>
      </c>
      <c r="I134" s="617" t="s">
        <v>319</v>
      </c>
      <c r="J134" s="615"/>
      <c r="K134" s="615"/>
      <c r="L134" s="615"/>
      <c r="M134" s="615"/>
      <c r="N134" s="615"/>
      <c r="O134" s="615">
        <v>3</v>
      </c>
      <c r="P134" s="615"/>
      <c r="Q134" s="617">
        <v>6</v>
      </c>
      <c r="R134" s="640">
        <f t="shared" si="26"/>
        <v>0</v>
      </c>
      <c r="S134" s="617"/>
      <c r="T134" s="618">
        <f t="shared" si="27"/>
        <v>0</v>
      </c>
    </row>
    <row r="135" spans="1:28" s="619" customFormat="1" ht="12">
      <c r="A135" s="64"/>
      <c r="B135" s="615" t="s">
        <v>141</v>
      </c>
      <c r="C135" s="615"/>
      <c r="D135" s="615" t="s">
        <v>382</v>
      </c>
      <c r="E135" s="615" t="s">
        <v>372</v>
      </c>
      <c r="F135" s="616" t="s">
        <v>381</v>
      </c>
      <c r="G135" s="615" t="s">
        <v>318</v>
      </c>
      <c r="H135" s="615">
        <v>416</v>
      </c>
      <c r="I135" s="617" t="s">
        <v>319</v>
      </c>
      <c r="J135" s="615"/>
      <c r="K135" s="615"/>
      <c r="L135" s="615"/>
      <c r="M135" s="615"/>
      <c r="N135" s="615"/>
      <c r="O135" s="615">
        <v>3</v>
      </c>
      <c r="P135" s="615"/>
      <c r="Q135" s="617">
        <v>30</v>
      </c>
      <c r="R135" s="640">
        <f t="shared" si="26"/>
        <v>0</v>
      </c>
      <c r="S135" s="617"/>
      <c r="T135" s="618">
        <f t="shared" si="27"/>
        <v>0</v>
      </c>
    </row>
    <row r="136" spans="1:28" s="619" customFormat="1" ht="12">
      <c r="A136" s="615"/>
      <c r="B136" s="615" t="s">
        <v>141</v>
      </c>
      <c r="C136" s="615"/>
      <c r="D136" s="615" t="s">
        <v>451</v>
      </c>
      <c r="E136" s="615" t="s">
        <v>364</v>
      </c>
      <c r="F136" s="616"/>
      <c r="G136" s="615" t="s">
        <v>318</v>
      </c>
      <c r="H136" s="615">
        <v>420</v>
      </c>
      <c r="I136" s="617" t="s">
        <v>319</v>
      </c>
      <c r="J136" s="615"/>
      <c r="K136" s="615"/>
      <c r="L136" s="615"/>
      <c r="M136" s="615"/>
      <c r="N136" s="615"/>
      <c r="O136" s="615">
        <v>3</v>
      </c>
      <c r="P136" s="615"/>
      <c r="Q136" s="617">
        <f>0.1*Q137</f>
        <v>25</v>
      </c>
      <c r="R136" s="640">
        <f t="shared" si="26"/>
        <v>0</v>
      </c>
      <c r="S136" s="617"/>
      <c r="T136" s="618">
        <f t="shared" si="27"/>
        <v>0</v>
      </c>
    </row>
    <row r="137" spans="1:28" s="619" customFormat="1" ht="12">
      <c r="A137" s="882"/>
      <c r="B137" s="615" t="s">
        <v>141</v>
      </c>
      <c r="C137" s="615"/>
      <c r="D137" s="615" t="s">
        <v>330</v>
      </c>
      <c r="E137" s="615" t="s">
        <v>365</v>
      </c>
      <c r="F137" s="616"/>
      <c r="G137" s="615" t="s">
        <v>318</v>
      </c>
      <c r="H137" s="615">
        <v>420</v>
      </c>
      <c r="I137" s="617" t="s">
        <v>319</v>
      </c>
      <c r="J137" s="615"/>
      <c r="K137" s="615"/>
      <c r="L137" s="615"/>
      <c r="M137" s="615"/>
      <c r="N137" s="615"/>
      <c r="O137" s="615">
        <v>3</v>
      </c>
      <c r="P137" s="615"/>
      <c r="Q137" s="617">
        <v>250</v>
      </c>
      <c r="R137" s="640">
        <f t="shared" si="26"/>
        <v>0</v>
      </c>
      <c r="S137" s="617"/>
      <c r="T137" s="618">
        <f t="shared" si="27"/>
        <v>0</v>
      </c>
    </row>
    <row r="138" spans="1:28" s="619" customFormat="1" ht="12">
      <c r="A138" s="882"/>
      <c r="B138" s="615" t="s">
        <v>141</v>
      </c>
      <c r="C138" s="615"/>
      <c r="D138" s="615" t="s">
        <v>491</v>
      </c>
      <c r="E138" s="615" t="s">
        <v>492</v>
      </c>
      <c r="F138" s="616"/>
      <c r="G138" s="615" t="s">
        <v>318</v>
      </c>
      <c r="H138" s="615">
        <v>420</v>
      </c>
      <c r="I138" s="617" t="s">
        <v>319</v>
      </c>
      <c r="J138" s="615"/>
      <c r="K138" s="615"/>
      <c r="L138" s="615"/>
      <c r="M138" s="615"/>
      <c r="N138" s="615"/>
      <c r="O138" s="615">
        <v>3</v>
      </c>
      <c r="P138" s="615"/>
      <c r="Q138" s="617">
        <v>0</v>
      </c>
      <c r="R138" s="640">
        <f t="shared" si="26"/>
        <v>0</v>
      </c>
      <c r="S138" s="617">
        <v>1</v>
      </c>
      <c r="T138" s="618">
        <f t="shared" si="27"/>
        <v>0</v>
      </c>
    </row>
    <row r="139" spans="1:28" s="619" customFormat="1" ht="12">
      <c r="A139" s="615"/>
      <c r="B139" s="615"/>
      <c r="C139" s="615"/>
      <c r="D139" s="615"/>
      <c r="E139" s="615"/>
      <c r="F139" s="616"/>
      <c r="G139" s="615"/>
      <c r="H139" s="615"/>
      <c r="I139" s="617"/>
      <c r="J139" s="615"/>
      <c r="K139" s="615"/>
      <c r="L139" s="615"/>
      <c r="M139" s="615"/>
      <c r="N139" s="615"/>
      <c r="O139" s="615"/>
      <c r="P139" s="615"/>
      <c r="Q139" s="617"/>
      <c r="R139" s="895">
        <f t="shared" si="26"/>
        <v>0</v>
      </c>
      <c r="S139" s="617"/>
      <c r="T139" s="618">
        <f t="shared" si="27"/>
        <v>0</v>
      </c>
    </row>
    <row r="140" spans="1:28" s="619" customFormat="1">
      <c r="A140" s="615"/>
      <c r="B140" s="3"/>
      <c r="C140" s="615" t="s">
        <v>183</v>
      </c>
      <c r="D140" s="3"/>
      <c r="E140" s="615"/>
      <c r="F140" s="616"/>
      <c r="G140" s="615"/>
      <c r="H140" s="615"/>
      <c r="I140" s="617"/>
      <c r="J140" s="615"/>
      <c r="K140" s="615"/>
      <c r="L140" s="615"/>
      <c r="M140" s="615"/>
      <c r="N140" s="615"/>
      <c r="O140" s="615"/>
      <c r="P140" s="615"/>
      <c r="Q140" s="617"/>
      <c r="R140" s="895">
        <f t="shared" si="26"/>
        <v>0</v>
      </c>
      <c r="S140" s="617"/>
      <c r="T140" s="618">
        <f t="shared" si="27"/>
        <v>0</v>
      </c>
    </row>
    <row r="141" spans="1:28" s="619" customFormat="1" ht="12.6" thickBot="1">
      <c r="A141" s="641" t="s">
        <v>145</v>
      </c>
      <c r="B141" s="642">
        <f>(R141+T141)-SUM(R116:R140,T116:T140)</f>
        <v>0</v>
      </c>
      <c r="C141" s="643"/>
      <c r="D141" s="896" t="s">
        <v>184</v>
      </c>
      <c r="E141" s="556">
        <f>IF($B115=0,0,ROUND(ROUND(($R141*$S$2+($T141*$T$2))/$B115, 2)*$C$2,2))</f>
        <v>0</v>
      </c>
      <c r="F141" s="557">
        <f>ROUND($B115*$E141,2)</f>
        <v>0</v>
      </c>
      <c r="G141" s="643"/>
      <c r="H141" s="643"/>
      <c r="I141" s="645"/>
      <c r="J141" s="643"/>
      <c r="K141" s="897" t="s">
        <v>143</v>
      </c>
      <c r="L141" s="646" t="s">
        <v>143</v>
      </c>
      <c r="M141" s="646"/>
      <c r="N141" s="646"/>
      <c r="O141" s="646"/>
      <c r="P141" s="646"/>
      <c r="Q141" s="897"/>
      <c r="R141" s="898">
        <f>SUM(R116:R140)</f>
        <v>0</v>
      </c>
      <c r="S141" s="899"/>
      <c r="T141" s="898">
        <f>SUM(T116:T140)</f>
        <v>0</v>
      </c>
      <c r="U141" s="649"/>
      <c r="V141" s="649"/>
      <c r="W141" s="649"/>
      <c r="X141" s="649"/>
      <c r="Y141" s="649"/>
      <c r="Z141" s="649"/>
      <c r="AA141" s="649"/>
      <c r="AB141" s="649"/>
    </row>
    <row r="142" spans="1:28" s="619" customFormat="1" ht="12" thickTop="1">
      <c r="A142" s="64"/>
      <c r="B142" s="64"/>
      <c r="C142" s="64"/>
      <c r="D142" s="64"/>
      <c r="E142" s="64"/>
      <c r="F142" s="64"/>
      <c r="G142" s="64"/>
      <c r="H142" s="64"/>
      <c r="I142" s="64"/>
      <c r="J142" s="64"/>
      <c r="K142" s="64"/>
      <c r="L142" s="64"/>
      <c r="M142" s="64"/>
      <c r="N142" s="64"/>
      <c r="O142" s="65"/>
      <c r="P142" s="64"/>
      <c r="Q142" s="42" t="s">
        <v>180</v>
      </c>
      <c r="R142" s="64"/>
      <c r="S142" s="13"/>
      <c r="T142" s="64"/>
    </row>
    <row r="143" spans="1:28" s="619" customFormat="1" ht="12.6" thickBot="1">
      <c r="A143" s="886">
        <v>1</v>
      </c>
      <c r="B143" s="887">
        <f>[3]Elec_Est!B139</f>
        <v>55</v>
      </c>
      <c r="C143" s="888"/>
      <c r="D143" s="884" t="s">
        <v>505</v>
      </c>
      <c r="E143" s="889"/>
      <c r="F143" s="889"/>
      <c r="G143" s="628"/>
      <c r="H143" s="628"/>
      <c r="I143" s="890"/>
      <c r="J143" s="628"/>
      <c r="K143" s="888" t="s">
        <v>181</v>
      </c>
      <c r="L143" s="891" t="s">
        <v>181</v>
      </c>
      <c r="M143" s="891"/>
      <c r="N143" s="891"/>
      <c r="O143" s="891"/>
      <c r="P143" s="891"/>
      <c r="Q143" s="892">
        <f>B143/A143</f>
        <v>55</v>
      </c>
      <c r="R143" s="893">
        <f>IF($B143=0,0,IF($S$1="R",ROUND(R169/$B143,2),R169/$B143))</f>
        <v>0</v>
      </c>
      <c r="S143" s="894"/>
      <c r="T143" s="893">
        <f>IF($B143=0,0,IF($S$1="R",ROUND(T169/$B143,2),T169/$B143))</f>
        <v>0</v>
      </c>
    </row>
    <row r="144" spans="1:28" s="619" customFormat="1" ht="13.8" thickTop="1">
      <c r="A144" s="624"/>
      <c r="B144" s="3"/>
      <c r="C144" s="3"/>
      <c r="D144" s="159" t="s">
        <v>182</v>
      </c>
      <c r="E144" s="3"/>
      <c r="F144" s="3"/>
      <c r="G144" s="3"/>
      <c r="H144" s="3"/>
      <c r="I144" s="3"/>
      <c r="J144" s="3"/>
      <c r="K144" s="3"/>
      <c r="L144" s="3"/>
      <c r="M144" s="3"/>
      <c r="N144" s="3"/>
      <c r="O144" s="160"/>
      <c r="P144" s="3"/>
      <c r="Q144" s="3"/>
      <c r="R144" s="3"/>
      <c r="S144" s="3"/>
      <c r="T144" s="3"/>
    </row>
    <row r="145" spans="1:20" s="619" customFormat="1" ht="12">
      <c r="A145" s="64"/>
      <c r="B145" s="615"/>
      <c r="C145" s="615"/>
      <c r="D145" s="615"/>
      <c r="E145" s="615"/>
      <c r="F145" s="616"/>
      <c r="G145" s="615"/>
      <c r="H145" s="615"/>
      <c r="I145" s="617"/>
      <c r="J145" s="615"/>
      <c r="K145" s="615"/>
      <c r="L145" s="615"/>
      <c r="M145" s="615"/>
      <c r="N145" s="615"/>
      <c r="O145" s="615"/>
      <c r="P145" s="615"/>
      <c r="Q145" s="617"/>
      <c r="R145" s="640">
        <f t="shared" ref="R145:R168" si="28">$A145*Q145</f>
        <v>0</v>
      </c>
      <c r="S145" s="617"/>
      <c r="T145" s="618">
        <f t="shared" ref="T145:T168" si="29">$A145*S145*$T$1</f>
        <v>0</v>
      </c>
    </row>
    <row r="146" spans="1:20" s="619" customFormat="1" ht="12">
      <c r="A146" s="882">
        <f>$Q$167 *(1)</f>
        <v>0</v>
      </c>
      <c r="B146" s="615" t="s">
        <v>141</v>
      </c>
      <c r="C146" s="615"/>
      <c r="D146" s="615" t="s">
        <v>461</v>
      </c>
      <c r="E146" s="615" t="s">
        <v>338</v>
      </c>
      <c r="F146" s="616" t="s">
        <v>462</v>
      </c>
      <c r="G146" s="615" t="s">
        <v>318</v>
      </c>
      <c r="H146" s="615">
        <v>415</v>
      </c>
      <c r="I146" s="617" t="s">
        <v>319</v>
      </c>
      <c r="J146" s="615"/>
      <c r="K146" s="615"/>
      <c r="L146" s="615"/>
      <c r="M146" s="615"/>
      <c r="N146" s="615"/>
      <c r="O146" s="615">
        <v>3</v>
      </c>
      <c r="P146" s="615"/>
      <c r="Q146" s="617">
        <v>80.91</v>
      </c>
      <c r="R146" s="640">
        <f t="shared" si="28"/>
        <v>0</v>
      </c>
      <c r="S146" s="617"/>
      <c r="T146" s="618">
        <f t="shared" si="29"/>
        <v>0</v>
      </c>
    </row>
    <row r="147" spans="1:20" s="619" customFormat="1" ht="12">
      <c r="A147" s="882">
        <f>$Q$167 *(1)</f>
        <v>0</v>
      </c>
      <c r="B147" s="615" t="s">
        <v>141</v>
      </c>
      <c r="C147" s="615"/>
      <c r="D147" s="615" t="s">
        <v>339</v>
      </c>
      <c r="E147" s="615" t="s">
        <v>338</v>
      </c>
      <c r="F147" s="616" t="s">
        <v>340</v>
      </c>
      <c r="G147" s="615" t="s">
        <v>318</v>
      </c>
      <c r="H147" s="615">
        <v>415</v>
      </c>
      <c r="I147" s="617" t="s">
        <v>319</v>
      </c>
      <c r="J147" s="615"/>
      <c r="K147" s="615"/>
      <c r="L147" s="615"/>
      <c r="M147" s="615"/>
      <c r="N147" s="615"/>
      <c r="O147" s="615">
        <v>3</v>
      </c>
      <c r="P147" s="615"/>
      <c r="Q147" s="617">
        <v>3.43</v>
      </c>
      <c r="R147" s="640">
        <f t="shared" si="28"/>
        <v>0</v>
      </c>
      <c r="S147" s="617"/>
      <c r="T147" s="618">
        <f t="shared" si="29"/>
        <v>0</v>
      </c>
    </row>
    <row r="148" spans="1:20" s="619" customFormat="1" ht="12">
      <c r="A148" s="882">
        <f>$Q$167 *(1)</f>
        <v>0</v>
      </c>
      <c r="B148" s="615" t="s">
        <v>141</v>
      </c>
      <c r="C148" s="615"/>
      <c r="D148" s="615" t="s">
        <v>341</v>
      </c>
      <c r="E148" s="615" t="s">
        <v>338</v>
      </c>
      <c r="F148" s="616" t="s">
        <v>342</v>
      </c>
      <c r="G148" s="615" t="s">
        <v>318</v>
      </c>
      <c r="H148" s="615">
        <v>415</v>
      </c>
      <c r="I148" s="617" t="s">
        <v>319</v>
      </c>
      <c r="J148" s="615"/>
      <c r="K148" s="615"/>
      <c r="L148" s="615"/>
      <c r="M148" s="615"/>
      <c r="N148" s="615"/>
      <c r="O148" s="615">
        <v>3</v>
      </c>
      <c r="P148" s="615"/>
      <c r="Q148" s="617">
        <v>2.5499999999999998</v>
      </c>
      <c r="R148" s="640">
        <f t="shared" si="28"/>
        <v>0</v>
      </c>
      <c r="S148" s="617"/>
      <c r="T148" s="618">
        <f t="shared" si="29"/>
        <v>0</v>
      </c>
    </row>
    <row r="149" spans="1:20" s="619" customFormat="1" ht="12">
      <c r="A149" s="882">
        <f>$Q$167 *(1)</f>
        <v>0</v>
      </c>
      <c r="B149" s="615" t="s">
        <v>141</v>
      </c>
      <c r="C149" s="615"/>
      <c r="D149" s="615" t="s">
        <v>463</v>
      </c>
      <c r="E149" s="615" t="s">
        <v>338</v>
      </c>
      <c r="F149" s="616" t="s">
        <v>464</v>
      </c>
      <c r="G149" s="615" t="s">
        <v>318</v>
      </c>
      <c r="H149" s="615">
        <v>415</v>
      </c>
      <c r="I149" s="617" t="s">
        <v>319</v>
      </c>
      <c r="J149" s="615"/>
      <c r="K149" s="615"/>
      <c r="L149" s="615"/>
      <c r="M149" s="615"/>
      <c r="N149" s="615"/>
      <c r="O149" s="615">
        <v>3</v>
      </c>
      <c r="P149" s="615"/>
      <c r="Q149" s="617">
        <v>8</v>
      </c>
      <c r="R149" s="640">
        <f t="shared" si="28"/>
        <v>0</v>
      </c>
      <c r="S149" s="617"/>
      <c r="T149" s="618">
        <f t="shared" si="29"/>
        <v>0</v>
      </c>
    </row>
    <row r="150" spans="1:20" s="619" customFormat="1" ht="12">
      <c r="A150" s="882">
        <f>$Q$167 *(1)</f>
        <v>0</v>
      </c>
      <c r="B150" s="615" t="s">
        <v>141</v>
      </c>
      <c r="C150" s="615"/>
      <c r="D150" s="615" t="s">
        <v>343</v>
      </c>
      <c r="E150" s="615" t="s">
        <v>338</v>
      </c>
      <c r="F150" s="616" t="s">
        <v>344</v>
      </c>
      <c r="G150" s="615" t="s">
        <v>318</v>
      </c>
      <c r="H150" s="615">
        <v>415</v>
      </c>
      <c r="I150" s="617" t="s">
        <v>319</v>
      </c>
      <c r="J150" s="615"/>
      <c r="K150" s="615"/>
      <c r="L150" s="615"/>
      <c r="M150" s="615"/>
      <c r="N150" s="615"/>
      <c r="O150" s="615">
        <v>3</v>
      </c>
      <c r="P150" s="615"/>
      <c r="Q150" s="617">
        <v>9.5500000000000007</v>
      </c>
      <c r="R150" s="640">
        <f t="shared" si="28"/>
        <v>0</v>
      </c>
      <c r="S150" s="617"/>
      <c r="T150" s="618">
        <f t="shared" si="29"/>
        <v>0</v>
      </c>
    </row>
    <row r="151" spans="1:20" s="619" customFormat="1" ht="12">
      <c r="A151" s="882">
        <f>$Q$167 *(2)</f>
        <v>0</v>
      </c>
      <c r="B151" s="615" t="s">
        <v>141</v>
      </c>
      <c r="C151" s="615"/>
      <c r="D151" s="615" t="s">
        <v>453</v>
      </c>
      <c r="E151" s="615" t="s">
        <v>338</v>
      </c>
      <c r="F151" s="616" t="s">
        <v>454</v>
      </c>
      <c r="G151" s="615" t="s">
        <v>318</v>
      </c>
      <c r="H151" s="615">
        <v>415</v>
      </c>
      <c r="I151" s="617" t="s">
        <v>319</v>
      </c>
      <c r="J151" s="615"/>
      <c r="K151" s="615"/>
      <c r="L151" s="615"/>
      <c r="M151" s="615"/>
      <c r="N151" s="615"/>
      <c r="O151" s="615">
        <v>3</v>
      </c>
      <c r="P151" s="615"/>
      <c r="Q151" s="617">
        <v>1.25</v>
      </c>
      <c r="R151" s="640">
        <f t="shared" si="28"/>
        <v>0</v>
      </c>
      <c r="S151" s="617"/>
      <c r="T151" s="618">
        <f t="shared" si="29"/>
        <v>0</v>
      </c>
    </row>
    <row r="152" spans="1:20" s="619" customFormat="1" ht="12">
      <c r="A152" s="882">
        <f>$Q$167 *(2)</f>
        <v>0</v>
      </c>
      <c r="B152" s="615" t="s">
        <v>141</v>
      </c>
      <c r="C152" s="615"/>
      <c r="D152" s="615" t="s">
        <v>345</v>
      </c>
      <c r="E152" s="615" t="s">
        <v>338</v>
      </c>
      <c r="F152" s="616" t="s">
        <v>346</v>
      </c>
      <c r="G152" s="615" t="s">
        <v>318</v>
      </c>
      <c r="H152" s="615">
        <v>415</v>
      </c>
      <c r="I152" s="617" t="s">
        <v>319</v>
      </c>
      <c r="J152" s="615"/>
      <c r="K152" s="615"/>
      <c r="L152" s="615"/>
      <c r="M152" s="615"/>
      <c r="N152" s="615"/>
      <c r="O152" s="615">
        <v>3</v>
      </c>
      <c r="P152" s="615"/>
      <c r="Q152" s="617">
        <v>9.4E-2</v>
      </c>
      <c r="R152" s="640">
        <f t="shared" si="28"/>
        <v>0</v>
      </c>
      <c r="S152" s="617"/>
      <c r="T152" s="618">
        <f t="shared" si="29"/>
        <v>0</v>
      </c>
    </row>
    <row r="153" spans="1:20" s="619" customFormat="1" ht="12">
      <c r="A153" s="882">
        <f t="shared" ref="A153:A158" si="30">$Q$167 *(1)</f>
        <v>0</v>
      </c>
      <c r="B153" s="615" t="s">
        <v>141</v>
      </c>
      <c r="C153" s="615"/>
      <c r="D153" s="615" t="s">
        <v>347</v>
      </c>
      <c r="E153" s="615" t="s">
        <v>338</v>
      </c>
      <c r="F153" s="616" t="s">
        <v>348</v>
      </c>
      <c r="G153" s="615" t="s">
        <v>318</v>
      </c>
      <c r="H153" s="615">
        <v>415</v>
      </c>
      <c r="I153" s="617" t="s">
        <v>319</v>
      </c>
      <c r="J153" s="615"/>
      <c r="K153" s="615"/>
      <c r="L153" s="615"/>
      <c r="M153" s="615"/>
      <c r="N153" s="615"/>
      <c r="O153" s="615">
        <v>3</v>
      </c>
      <c r="P153" s="615"/>
      <c r="Q153" s="617">
        <v>16.91</v>
      </c>
      <c r="R153" s="640">
        <f t="shared" si="28"/>
        <v>0</v>
      </c>
      <c r="S153" s="617"/>
      <c r="T153" s="618">
        <f t="shared" si="29"/>
        <v>0</v>
      </c>
    </row>
    <row r="154" spans="1:20" s="619" customFormat="1" ht="12">
      <c r="A154" s="882">
        <f t="shared" si="30"/>
        <v>0</v>
      </c>
      <c r="B154" s="615" t="s">
        <v>141</v>
      </c>
      <c r="C154" s="615"/>
      <c r="D154" s="615" t="s">
        <v>349</v>
      </c>
      <c r="E154" s="615" t="s">
        <v>338</v>
      </c>
      <c r="F154" s="616" t="s">
        <v>350</v>
      </c>
      <c r="G154" s="615" t="s">
        <v>318</v>
      </c>
      <c r="H154" s="615">
        <v>415</v>
      </c>
      <c r="I154" s="617" t="s">
        <v>319</v>
      </c>
      <c r="J154" s="615"/>
      <c r="K154" s="615"/>
      <c r="L154" s="615"/>
      <c r="M154" s="615"/>
      <c r="N154" s="615"/>
      <c r="O154" s="615">
        <v>3</v>
      </c>
      <c r="P154" s="615"/>
      <c r="Q154" s="617">
        <v>5.57</v>
      </c>
      <c r="R154" s="640">
        <f t="shared" si="28"/>
        <v>0</v>
      </c>
      <c r="S154" s="617"/>
      <c r="T154" s="618">
        <f t="shared" si="29"/>
        <v>0</v>
      </c>
    </row>
    <row r="155" spans="1:20" s="619" customFormat="1" ht="12">
      <c r="A155" s="882">
        <f t="shared" si="30"/>
        <v>0</v>
      </c>
      <c r="B155" s="615" t="s">
        <v>141</v>
      </c>
      <c r="C155" s="615"/>
      <c r="D155" s="615" t="s">
        <v>351</v>
      </c>
      <c r="E155" s="615" t="s">
        <v>338</v>
      </c>
      <c r="F155" s="616" t="s">
        <v>352</v>
      </c>
      <c r="G155" s="615" t="s">
        <v>318</v>
      </c>
      <c r="H155" s="615">
        <v>415</v>
      </c>
      <c r="I155" s="617" t="s">
        <v>319</v>
      </c>
      <c r="J155" s="615"/>
      <c r="K155" s="615"/>
      <c r="L155" s="615"/>
      <c r="M155" s="615"/>
      <c r="N155" s="615"/>
      <c r="O155" s="615">
        <v>3</v>
      </c>
      <c r="P155" s="615"/>
      <c r="Q155" s="617">
        <v>5.7</v>
      </c>
      <c r="R155" s="640">
        <f t="shared" si="28"/>
        <v>0</v>
      </c>
      <c r="S155" s="617"/>
      <c r="T155" s="618">
        <f t="shared" si="29"/>
        <v>0</v>
      </c>
    </row>
    <row r="156" spans="1:20" s="619" customFormat="1" ht="12">
      <c r="A156" s="882">
        <f t="shared" si="30"/>
        <v>0</v>
      </c>
      <c r="B156" s="615" t="s">
        <v>141</v>
      </c>
      <c r="C156" s="615"/>
      <c r="D156" s="615" t="s">
        <v>353</v>
      </c>
      <c r="E156" s="615" t="s">
        <v>338</v>
      </c>
      <c r="F156" s="616" t="s">
        <v>354</v>
      </c>
      <c r="G156" s="615" t="s">
        <v>318</v>
      </c>
      <c r="H156" s="615">
        <v>415</v>
      </c>
      <c r="I156" s="617" t="s">
        <v>319</v>
      </c>
      <c r="J156" s="615"/>
      <c r="K156" s="615"/>
      <c r="L156" s="615"/>
      <c r="M156" s="615"/>
      <c r="N156" s="615"/>
      <c r="O156" s="615">
        <v>3</v>
      </c>
      <c r="P156" s="615"/>
      <c r="Q156" s="617">
        <v>7.4</v>
      </c>
      <c r="R156" s="640">
        <f t="shared" si="28"/>
        <v>0</v>
      </c>
      <c r="S156" s="617"/>
      <c r="T156" s="618">
        <f t="shared" si="29"/>
        <v>0</v>
      </c>
    </row>
    <row r="157" spans="1:20" s="619" customFormat="1" ht="12">
      <c r="A157" s="882">
        <f t="shared" si="30"/>
        <v>0</v>
      </c>
      <c r="B157" s="615" t="s">
        <v>141</v>
      </c>
      <c r="C157" s="615"/>
      <c r="D157" s="615" t="s">
        <v>355</v>
      </c>
      <c r="E157" s="615" t="s">
        <v>338</v>
      </c>
      <c r="F157" s="616" t="s">
        <v>356</v>
      </c>
      <c r="G157" s="615" t="s">
        <v>318</v>
      </c>
      <c r="H157" s="615">
        <v>415</v>
      </c>
      <c r="I157" s="617" t="s">
        <v>319</v>
      </c>
      <c r="J157" s="615"/>
      <c r="K157" s="615"/>
      <c r="L157" s="615"/>
      <c r="M157" s="615"/>
      <c r="N157" s="615"/>
      <c r="O157" s="615">
        <v>3</v>
      </c>
      <c r="P157" s="615"/>
      <c r="Q157" s="617">
        <v>0.98</v>
      </c>
      <c r="R157" s="640">
        <f t="shared" si="28"/>
        <v>0</v>
      </c>
      <c r="S157" s="617"/>
      <c r="T157" s="618">
        <f t="shared" si="29"/>
        <v>0</v>
      </c>
    </row>
    <row r="158" spans="1:20" s="619" customFormat="1" ht="12">
      <c r="A158" s="882">
        <f t="shared" si="30"/>
        <v>0</v>
      </c>
      <c r="B158" s="615" t="s">
        <v>141</v>
      </c>
      <c r="C158" s="615"/>
      <c r="D158" s="615" t="s">
        <v>357</v>
      </c>
      <c r="E158" s="615" t="s">
        <v>338</v>
      </c>
      <c r="F158" s="616" t="s">
        <v>358</v>
      </c>
      <c r="G158" s="615" t="s">
        <v>318</v>
      </c>
      <c r="H158" s="615">
        <v>415</v>
      </c>
      <c r="I158" s="617" t="s">
        <v>319</v>
      </c>
      <c r="J158" s="615"/>
      <c r="K158" s="615"/>
      <c r="L158" s="615"/>
      <c r="M158" s="615"/>
      <c r="N158" s="615"/>
      <c r="O158" s="615">
        <v>3</v>
      </c>
      <c r="P158" s="615"/>
      <c r="Q158" s="617">
        <v>0.98</v>
      </c>
      <c r="R158" s="640">
        <f t="shared" si="28"/>
        <v>0</v>
      </c>
      <c r="S158" s="617"/>
      <c r="T158" s="618">
        <f t="shared" si="29"/>
        <v>0</v>
      </c>
    </row>
    <row r="159" spans="1:20" s="619" customFormat="1" ht="12">
      <c r="A159" s="882">
        <f>$Q$167 *(3)</f>
        <v>0</v>
      </c>
      <c r="B159" s="615" t="s">
        <v>141</v>
      </c>
      <c r="C159" s="615"/>
      <c r="D159" s="615" t="s">
        <v>455</v>
      </c>
      <c r="E159" s="615" t="s">
        <v>338</v>
      </c>
      <c r="F159" s="616" t="s">
        <v>456</v>
      </c>
      <c r="G159" s="615" t="s">
        <v>318</v>
      </c>
      <c r="H159" s="615">
        <v>415</v>
      </c>
      <c r="I159" s="617" t="s">
        <v>319</v>
      </c>
      <c r="J159" s="615"/>
      <c r="K159" s="615"/>
      <c r="L159" s="615"/>
      <c r="M159" s="615"/>
      <c r="N159" s="615"/>
      <c r="O159" s="615">
        <v>3</v>
      </c>
      <c r="P159" s="615"/>
      <c r="Q159" s="617">
        <v>0.98</v>
      </c>
      <c r="R159" s="640">
        <f t="shared" si="28"/>
        <v>0</v>
      </c>
      <c r="S159" s="617"/>
      <c r="T159" s="618">
        <f t="shared" si="29"/>
        <v>0</v>
      </c>
    </row>
    <row r="160" spans="1:20" s="619" customFormat="1" ht="12">
      <c r="A160" s="883">
        <v>0</v>
      </c>
      <c r="B160" s="615" t="s">
        <v>141</v>
      </c>
      <c r="C160" s="615"/>
      <c r="D160" s="615" t="s">
        <v>359</v>
      </c>
      <c r="E160" s="615" t="s">
        <v>338</v>
      </c>
      <c r="F160" s="616" t="s">
        <v>360</v>
      </c>
      <c r="G160" s="615" t="s">
        <v>318</v>
      </c>
      <c r="H160" s="615">
        <v>415</v>
      </c>
      <c r="I160" s="617" t="s">
        <v>319</v>
      </c>
      <c r="J160" s="615"/>
      <c r="K160" s="615"/>
      <c r="L160" s="615"/>
      <c r="M160" s="615"/>
      <c r="N160" s="615"/>
      <c r="O160" s="615">
        <v>3</v>
      </c>
      <c r="P160" s="615"/>
      <c r="Q160" s="617">
        <v>24.4</v>
      </c>
      <c r="R160" s="640">
        <f t="shared" si="28"/>
        <v>0</v>
      </c>
      <c r="S160" s="617"/>
      <c r="T160" s="618">
        <f t="shared" si="29"/>
        <v>0</v>
      </c>
    </row>
    <row r="161" spans="1:28" s="619" customFormat="1" ht="12">
      <c r="A161" s="882">
        <f>$Q$167 *(5)</f>
        <v>0</v>
      </c>
      <c r="B161" s="615" t="s">
        <v>141</v>
      </c>
      <c r="C161" s="615"/>
      <c r="D161" s="615" t="s">
        <v>361</v>
      </c>
      <c r="E161" s="615" t="s">
        <v>338</v>
      </c>
      <c r="F161" s="616" t="s">
        <v>362</v>
      </c>
      <c r="G161" s="615" t="s">
        <v>318</v>
      </c>
      <c r="H161" s="615">
        <v>415</v>
      </c>
      <c r="I161" s="617" t="s">
        <v>319</v>
      </c>
      <c r="J161" s="615"/>
      <c r="K161" s="615"/>
      <c r="L161" s="615"/>
      <c r="M161" s="615"/>
      <c r="N161" s="615"/>
      <c r="O161" s="615">
        <v>3</v>
      </c>
      <c r="P161" s="615"/>
      <c r="Q161" s="617">
        <v>2.42</v>
      </c>
      <c r="R161" s="640">
        <f t="shared" si="28"/>
        <v>0</v>
      </c>
      <c r="S161" s="617"/>
      <c r="T161" s="618">
        <f t="shared" si="29"/>
        <v>0</v>
      </c>
    </row>
    <row r="162" spans="1:28" s="619" customFormat="1" ht="12">
      <c r="A162" s="882">
        <f>$Q$167 *(1)</f>
        <v>0</v>
      </c>
      <c r="B162" s="615" t="s">
        <v>141</v>
      </c>
      <c r="C162" s="615"/>
      <c r="D162" s="615" t="s">
        <v>382</v>
      </c>
      <c r="E162" s="615" t="s">
        <v>338</v>
      </c>
      <c r="F162" s="616" t="s">
        <v>457</v>
      </c>
      <c r="G162" s="615" t="s">
        <v>318</v>
      </c>
      <c r="H162" s="615">
        <v>415</v>
      </c>
      <c r="I162" s="617" t="s">
        <v>319</v>
      </c>
      <c r="J162" s="615"/>
      <c r="K162" s="615"/>
      <c r="L162" s="615"/>
      <c r="M162" s="615"/>
      <c r="N162" s="615"/>
      <c r="O162" s="615">
        <v>3</v>
      </c>
      <c r="P162" s="615"/>
      <c r="Q162" s="617">
        <v>30</v>
      </c>
      <c r="R162" s="640">
        <f t="shared" si="28"/>
        <v>0</v>
      </c>
      <c r="S162" s="617"/>
      <c r="T162" s="618">
        <f t="shared" si="29"/>
        <v>0</v>
      </c>
    </row>
    <row r="163" spans="1:28" s="619" customFormat="1" ht="12">
      <c r="A163" s="882">
        <f>$Q$167 *(1)</f>
        <v>0</v>
      </c>
      <c r="B163" s="615" t="s">
        <v>141</v>
      </c>
      <c r="C163" s="615"/>
      <c r="D163" s="615"/>
      <c r="E163" s="615" t="s">
        <v>467</v>
      </c>
      <c r="F163" s="616"/>
      <c r="G163" s="615" t="s">
        <v>318</v>
      </c>
      <c r="H163" s="615">
        <v>415</v>
      </c>
      <c r="I163" s="617" t="s">
        <v>319</v>
      </c>
      <c r="J163" s="615"/>
      <c r="K163" s="615"/>
      <c r="L163" s="615"/>
      <c r="M163" s="615"/>
      <c r="N163" s="615"/>
      <c r="O163" s="615">
        <v>3</v>
      </c>
      <c r="P163" s="615"/>
      <c r="Q163" s="617"/>
      <c r="R163" s="640">
        <f t="shared" si="28"/>
        <v>0</v>
      </c>
      <c r="S163" s="617">
        <v>2</v>
      </c>
      <c r="T163" s="618">
        <f t="shared" si="29"/>
        <v>0</v>
      </c>
    </row>
    <row r="164" spans="1:28" s="619" customFormat="1" ht="12">
      <c r="A164" s="882">
        <f>$Q$167 *(1)</f>
        <v>0</v>
      </c>
      <c r="B164" s="615" t="s">
        <v>141</v>
      </c>
      <c r="C164" s="615"/>
      <c r="D164" s="615" t="s">
        <v>363</v>
      </c>
      <c r="E164" s="615" t="s">
        <v>364</v>
      </c>
      <c r="F164" s="616"/>
      <c r="G164" s="615" t="s">
        <v>318</v>
      </c>
      <c r="H164" s="615">
        <v>415</v>
      </c>
      <c r="I164" s="617" t="s">
        <v>319</v>
      </c>
      <c r="J164" s="615"/>
      <c r="K164" s="615"/>
      <c r="L164" s="615"/>
      <c r="M164" s="615"/>
      <c r="N164" s="615"/>
      <c r="O164" s="615">
        <v>3</v>
      </c>
      <c r="P164" s="615"/>
      <c r="Q164" s="617">
        <v>50</v>
      </c>
      <c r="R164" s="640">
        <f t="shared" si="28"/>
        <v>0</v>
      </c>
      <c r="S164" s="617"/>
      <c r="T164" s="618">
        <f t="shared" si="29"/>
        <v>0</v>
      </c>
    </row>
    <row r="165" spans="1:28" s="619" customFormat="1" ht="12">
      <c r="A165" s="882">
        <f>$Q$167 *(1)</f>
        <v>0</v>
      </c>
      <c r="B165" s="615" t="s">
        <v>141</v>
      </c>
      <c r="C165" s="615"/>
      <c r="D165" s="615" t="s">
        <v>330</v>
      </c>
      <c r="E165" s="615" t="s">
        <v>365</v>
      </c>
      <c r="F165" s="616"/>
      <c r="G165" s="615" t="s">
        <v>318</v>
      </c>
      <c r="H165" s="615">
        <v>420</v>
      </c>
      <c r="I165" s="617" t="s">
        <v>319</v>
      </c>
      <c r="J165" s="615"/>
      <c r="K165" s="615"/>
      <c r="L165" s="615"/>
      <c r="M165" s="615"/>
      <c r="N165" s="615"/>
      <c r="O165" s="615">
        <v>3</v>
      </c>
      <c r="P165" s="615"/>
      <c r="Q165" s="617">
        <v>250</v>
      </c>
      <c r="R165" s="640">
        <f t="shared" si="28"/>
        <v>0</v>
      </c>
      <c r="S165" s="617"/>
      <c r="T165" s="618">
        <f t="shared" si="29"/>
        <v>0</v>
      </c>
    </row>
    <row r="166" spans="1:28" s="619" customFormat="1" ht="12">
      <c r="A166" s="882">
        <f>$Q$167 *(1)</f>
        <v>0</v>
      </c>
      <c r="B166" s="615" t="s">
        <v>141</v>
      </c>
      <c r="C166" s="615"/>
      <c r="D166" s="615" t="s">
        <v>491</v>
      </c>
      <c r="E166" s="615" t="s">
        <v>492</v>
      </c>
      <c r="F166" s="616"/>
      <c r="G166" s="615" t="s">
        <v>318</v>
      </c>
      <c r="H166" s="615">
        <v>420</v>
      </c>
      <c r="I166" s="617" t="s">
        <v>319</v>
      </c>
      <c r="J166" s="615"/>
      <c r="K166" s="615"/>
      <c r="L166" s="615"/>
      <c r="M166" s="615"/>
      <c r="N166" s="615"/>
      <c r="O166" s="615">
        <v>3</v>
      </c>
      <c r="P166" s="615"/>
      <c r="Q166" s="617">
        <v>0</v>
      </c>
      <c r="R166" s="640">
        <f t="shared" si="28"/>
        <v>0</v>
      </c>
      <c r="S166" s="617">
        <v>1</v>
      </c>
      <c r="T166" s="618">
        <f t="shared" si="29"/>
        <v>0</v>
      </c>
    </row>
    <row r="167" spans="1:28" s="619" customFormat="1" ht="12">
      <c r="A167" s="615"/>
      <c r="B167" s="615"/>
      <c r="C167" s="615"/>
      <c r="D167" s="615"/>
      <c r="E167" s="615"/>
      <c r="F167" s="616"/>
      <c r="G167" s="615"/>
      <c r="H167" s="615"/>
      <c r="I167" s="617"/>
      <c r="J167" s="615"/>
      <c r="K167" s="615"/>
      <c r="L167" s="615"/>
      <c r="M167" s="615"/>
      <c r="N167" s="615"/>
      <c r="O167" s="615"/>
      <c r="P167" s="615"/>
      <c r="Q167" s="617"/>
      <c r="R167" s="895">
        <f t="shared" si="28"/>
        <v>0</v>
      </c>
      <c r="S167" s="617"/>
      <c r="T167" s="618">
        <f t="shared" si="29"/>
        <v>0</v>
      </c>
    </row>
    <row r="168" spans="1:28" s="619" customFormat="1">
      <c r="A168" s="615"/>
      <c r="B168" s="3"/>
      <c r="C168" s="615" t="s">
        <v>183</v>
      </c>
      <c r="D168" s="3"/>
      <c r="E168" s="615"/>
      <c r="F168" s="616"/>
      <c r="G168" s="615"/>
      <c r="H168" s="615"/>
      <c r="I168" s="617"/>
      <c r="J168" s="615"/>
      <c r="K168" s="615"/>
      <c r="L168" s="615"/>
      <c r="M168" s="615"/>
      <c r="N168" s="615"/>
      <c r="O168" s="615"/>
      <c r="P168" s="615"/>
      <c r="Q168" s="617"/>
      <c r="R168" s="895">
        <f t="shared" si="28"/>
        <v>0</v>
      </c>
      <c r="S168" s="617"/>
      <c r="T168" s="618">
        <f t="shared" si="29"/>
        <v>0</v>
      </c>
    </row>
    <row r="169" spans="1:28" s="619" customFormat="1" ht="12.6" thickBot="1">
      <c r="A169" s="641" t="s">
        <v>145</v>
      </c>
      <c r="B169" s="642">
        <f>(R169+T169)-SUM(R144:R168,T144:T168)</f>
        <v>0</v>
      </c>
      <c r="C169" s="643"/>
      <c r="D169" s="896" t="s">
        <v>184</v>
      </c>
      <c r="E169" s="556">
        <f>IF($B143=0,0,ROUND(ROUND(($R169*$S$2+($T169*$T$2))/$B143, 2)*$C$2,2))</f>
        <v>0</v>
      </c>
      <c r="F169" s="557">
        <f>ROUND($B143*$E169,2)</f>
        <v>0</v>
      </c>
      <c r="G169" s="643"/>
      <c r="H169" s="643"/>
      <c r="I169" s="645"/>
      <c r="J169" s="643"/>
      <c r="K169" s="897" t="s">
        <v>143</v>
      </c>
      <c r="L169" s="646" t="s">
        <v>143</v>
      </c>
      <c r="M169" s="646"/>
      <c r="N169" s="646"/>
      <c r="O169" s="646"/>
      <c r="P169" s="646"/>
      <c r="Q169" s="897"/>
      <c r="R169" s="898">
        <f>SUM(R144:R168)</f>
        <v>0</v>
      </c>
      <c r="S169" s="899"/>
      <c r="T169" s="898">
        <f>SUM(T144:T168)</f>
        <v>0</v>
      </c>
      <c r="U169" s="649"/>
      <c r="V169" s="649"/>
      <c r="W169" s="649"/>
      <c r="X169" s="649"/>
      <c r="Y169" s="649"/>
      <c r="Z169" s="649"/>
      <c r="AA169" s="649"/>
      <c r="AB169" s="649"/>
    </row>
    <row r="170" spans="1:28" s="1" customFormat="1" ht="15.75" customHeight="1" thickTop="1">
      <c r="A170" s="33"/>
      <c r="B170" s="33"/>
      <c r="C170" s="33"/>
      <c r="D170" s="33"/>
      <c r="E170" s="33"/>
      <c r="F170" s="33"/>
      <c r="G170" s="33"/>
      <c r="H170" s="33"/>
      <c r="I170" s="33"/>
      <c r="J170" s="33"/>
      <c r="K170" s="33"/>
      <c r="L170" s="33"/>
      <c r="M170" s="33"/>
      <c r="N170" s="33"/>
      <c r="O170" s="35"/>
      <c r="P170" s="33"/>
      <c r="Q170" s="42" t="s">
        <v>180</v>
      </c>
      <c r="R170" s="33"/>
      <c r="S170" s="13"/>
      <c r="T170" s="33"/>
    </row>
    <row r="171" spans="1:28" s="1" customFormat="1" ht="12.6" thickBot="1">
      <c r="A171" s="147">
        <v>1</v>
      </c>
      <c r="B171" s="148">
        <f>Elec_Est!B174</f>
        <v>0</v>
      </c>
      <c r="C171" s="149"/>
      <c r="D171" s="150" t="s">
        <v>269</v>
      </c>
      <c r="E171" s="151"/>
      <c r="F171" s="151"/>
      <c r="G171" s="152"/>
      <c r="H171" s="152"/>
      <c r="I171" s="153"/>
      <c r="J171" s="152"/>
      <c r="K171" s="154" t="s">
        <v>181</v>
      </c>
      <c r="L171" s="155" t="s">
        <v>181</v>
      </c>
      <c r="M171" s="155"/>
      <c r="N171" s="155"/>
      <c r="O171" s="155"/>
      <c r="P171" s="155"/>
      <c r="Q171" s="156">
        <f>B171/A171</f>
        <v>0</v>
      </c>
      <c r="R171" s="157">
        <f>IF($B171=0,0,IF($S$1="R",ROUND(R179/$B171,2),R179/$B171))</f>
        <v>0</v>
      </c>
      <c r="S171" s="158"/>
      <c r="T171" s="157">
        <f>IF($B171=0,0,IF($S$1="R",ROUND(T179/$B171,2),T179/$B171))</f>
        <v>0</v>
      </c>
    </row>
    <row r="172" spans="1:28" s="1" customFormat="1" ht="13.8" thickTop="1">
      <c r="A172" s="44"/>
      <c r="B172" s="3"/>
      <c r="C172" s="3"/>
      <c r="D172" s="159" t="s">
        <v>182</v>
      </c>
      <c r="E172" s="3"/>
      <c r="F172" s="3"/>
      <c r="G172" s="3"/>
      <c r="H172" s="3"/>
      <c r="I172" s="3"/>
      <c r="J172" s="3"/>
      <c r="K172" s="3"/>
      <c r="L172" s="3"/>
      <c r="M172" s="3"/>
      <c r="N172" s="3"/>
      <c r="O172" s="160"/>
      <c r="P172" s="3"/>
      <c r="Q172" s="3"/>
      <c r="R172" s="3"/>
      <c r="S172" s="3"/>
      <c r="T172" s="3"/>
    </row>
    <row r="173" spans="1:28" s="1" customFormat="1" ht="12">
      <c r="A173" s="4"/>
      <c r="B173" s="4"/>
      <c r="C173" s="4"/>
      <c r="D173" s="4"/>
      <c r="E173" s="4"/>
      <c r="F173" s="2"/>
      <c r="G173" s="4"/>
      <c r="H173" s="4"/>
      <c r="I173" s="5"/>
      <c r="J173" s="4"/>
      <c r="K173" s="4"/>
      <c r="L173" s="4"/>
      <c r="M173" s="4"/>
      <c r="N173" s="4"/>
      <c r="O173" s="4"/>
      <c r="P173" s="4"/>
      <c r="Q173" s="5"/>
      <c r="R173" s="161">
        <f t="shared" ref="R173:R178" si="31">$A173*Q173</f>
        <v>0</v>
      </c>
      <c r="S173" s="5"/>
      <c r="T173" s="162">
        <f t="shared" ref="T173:T178" si="32">$A173*S173*$T$1</f>
        <v>0</v>
      </c>
    </row>
    <row r="174" spans="1:28" s="1" customFormat="1" ht="12">
      <c r="A174" s="4"/>
      <c r="B174" s="4"/>
      <c r="C174" s="4"/>
      <c r="D174" s="4"/>
      <c r="E174" s="4"/>
      <c r="F174" s="2"/>
      <c r="G174" s="4"/>
      <c r="H174" s="4"/>
      <c r="I174" s="5"/>
      <c r="J174" s="4"/>
      <c r="K174" s="4"/>
      <c r="L174" s="4"/>
      <c r="M174" s="4"/>
      <c r="N174" s="4"/>
      <c r="O174" s="4"/>
      <c r="P174" s="4"/>
      <c r="Q174" s="5"/>
      <c r="R174" s="161">
        <f t="shared" si="31"/>
        <v>0</v>
      </c>
      <c r="S174" s="5"/>
      <c r="T174" s="162">
        <f t="shared" si="32"/>
        <v>0</v>
      </c>
    </row>
    <row r="175" spans="1:28" s="1" customFormat="1" ht="12">
      <c r="A175" s="4"/>
      <c r="B175" s="4"/>
      <c r="C175" s="4"/>
      <c r="D175" s="4"/>
      <c r="E175" s="4"/>
      <c r="F175" s="2"/>
      <c r="G175" s="4"/>
      <c r="H175" s="4"/>
      <c r="I175" s="5"/>
      <c r="J175" s="4"/>
      <c r="K175" s="4"/>
      <c r="L175" s="4"/>
      <c r="M175" s="4"/>
      <c r="N175" s="4"/>
      <c r="O175" s="4"/>
      <c r="P175" s="4"/>
      <c r="Q175" s="5"/>
      <c r="R175" s="161">
        <f t="shared" si="31"/>
        <v>0</v>
      </c>
      <c r="S175" s="5"/>
      <c r="T175" s="162">
        <f t="shared" si="32"/>
        <v>0</v>
      </c>
    </row>
    <row r="176" spans="1:28" s="1" customFormat="1" ht="12">
      <c r="A176" s="4"/>
      <c r="B176" s="4"/>
      <c r="C176" s="4"/>
      <c r="D176" s="4"/>
      <c r="E176" s="4"/>
      <c r="F176" s="2"/>
      <c r="G176" s="4"/>
      <c r="H176" s="4"/>
      <c r="I176" s="5"/>
      <c r="J176" s="4"/>
      <c r="K176" s="4"/>
      <c r="L176" s="4"/>
      <c r="M176" s="4"/>
      <c r="N176" s="4"/>
      <c r="O176" s="4"/>
      <c r="P176" s="4"/>
      <c r="Q176" s="5"/>
      <c r="R176" s="161">
        <f t="shared" si="31"/>
        <v>0</v>
      </c>
      <c r="S176" s="5"/>
      <c r="T176" s="162">
        <f t="shared" si="32"/>
        <v>0</v>
      </c>
    </row>
    <row r="177" spans="1:28" s="1" customFormat="1" ht="12">
      <c r="A177" s="4"/>
      <c r="B177" s="4"/>
      <c r="C177" s="4"/>
      <c r="D177" s="4"/>
      <c r="E177" s="4"/>
      <c r="F177" s="2"/>
      <c r="G177" s="4"/>
      <c r="H177" s="4"/>
      <c r="I177" s="5"/>
      <c r="J177" s="4"/>
      <c r="K177" s="4"/>
      <c r="L177" s="4"/>
      <c r="M177" s="4"/>
      <c r="N177" s="4"/>
      <c r="O177" s="4"/>
      <c r="P177" s="4"/>
      <c r="Q177" s="5"/>
      <c r="R177" s="161">
        <f t="shared" si="31"/>
        <v>0</v>
      </c>
      <c r="S177" s="5"/>
      <c r="T177" s="162">
        <f t="shared" si="32"/>
        <v>0</v>
      </c>
    </row>
    <row r="178" spans="1:28" s="1" customFormat="1">
      <c r="A178" s="4"/>
      <c r="B178" s="3"/>
      <c r="C178" s="4" t="s">
        <v>183</v>
      </c>
      <c r="D178" s="3"/>
      <c r="E178" s="4"/>
      <c r="F178" s="2"/>
      <c r="G178" s="4"/>
      <c r="H178" s="4"/>
      <c r="I178" s="5"/>
      <c r="J178" s="4"/>
      <c r="K178" s="4"/>
      <c r="L178" s="4"/>
      <c r="M178" s="4"/>
      <c r="N178" s="4"/>
      <c r="O178" s="4"/>
      <c r="P178" s="4"/>
      <c r="Q178" s="5"/>
      <c r="R178" s="161">
        <f t="shared" si="31"/>
        <v>0</v>
      </c>
      <c r="S178" s="5"/>
      <c r="T178" s="162">
        <f t="shared" si="32"/>
        <v>0</v>
      </c>
    </row>
    <row r="179" spans="1:28" s="1" customFormat="1" ht="12.6" thickBot="1">
      <c r="A179" s="46" t="s">
        <v>145</v>
      </c>
      <c r="B179" s="47">
        <f>(R179+T179)-SUM(R172:R178,T172:T178)</f>
        <v>0</v>
      </c>
      <c r="C179" s="48"/>
      <c r="D179" s="163" t="s">
        <v>184</v>
      </c>
      <c r="E179" s="556">
        <f>IF($B171=0,0,ROUND(ROUND(($R179*$S$2+($T179*$T$2))/$B171, 2)*$C$2,2))</f>
        <v>0</v>
      </c>
      <c r="F179" s="557">
        <f>ROUND($B171*$E179,2)</f>
        <v>0</v>
      </c>
      <c r="G179" s="48"/>
      <c r="H179" s="48"/>
      <c r="I179" s="49"/>
      <c r="J179" s="48"/>
      <c r="K179" s="164" t="s">
        <v>143</v>
      </c>
      <c r="L179" s="165" t="s">
        <v>143</v>
      </c>
      <c r="M179" s="165"/>
      <c r="N179" s="165"/>
      <c r="O179" s="165"/>
      <c r="P179" s="165"/>
      <c r="Q179" s="166"/>
      <c r="R179" s="167">
        <f>SUM(R172:R178)</f>
        <v>0</v>
      </c>
      <c r="S179" s="168"/>
      <c r="T179" s="167">
        <f>SUM(T172:T178)</f>
        <v>0</v>
      </c>
      <c r="U179" s="496"/>
      <c r="V179" s="496"/>
      <c r="W179" s="496"/>
      <c r="X179" s="496"/>
      <c r="Y179" s="496"/>
      <c r="Z179" s="496"/>
      <c r="AA179" s="496"/>
      <c r="AB179" s="496"/>
    </row>
    <row r="180" spans="1:28" ht="13.8" thickTop="1">
      <c r="A180" s="51" t="s">
        <v>157</v>
      </c>
      <c r="B180"/>
      <c r="C180"/>
      <c r="D180"/>
      <c r="E180"/>
      <c r="F180"/>
      <c r="G180"/>
      <c r="H180"/>
      <c r="I180"/>
      <c r="J180"/>
      <c r="K180"/>
      <c r="L180"/>
      <c r="M180"/>
      <c r="N180"/>
      <c r="O180" s="169"/>
      <c r="P180"/>
      <c r="Q180"/>
      <c r="R180"/>
      <c r="S180"/>
      <c r="T180"/>
    </row>
    <row r="181" spans="1:28" ht="14.4" thickBot="1">
      <c r="A181" s="51" t="s">
        <v>157</v>
      </c>
      <c r="B181" s="1"/>
      <c r="C181" s="33"/>
      <c r="D181" s="170" t="s">
        <v>185</v>
      </c>
      <c r="E181" s="1"/>
      <c r="F181" s="3"/>
      <c r="G181" s="3"/>
      <c r="H181" s="3"/>
      <c r="I181" s="3"/>
      <c r="J181" s="3"/>
      <c r="K181" s="3"/>
      <c r="L181" s="3"/>
      <c r="M181" s="3"/>
      <c r="N181" s="3"/>
      <c r="O181" s="160"/>
      <c r="P181" s="3"/>
      <c r="Q181" s="3"/>
      <c r="R181" s="171" t="s">
        <v>34</v>
      </c>
      <c r="S181" s="172"/>
      <c r="T181" s="171" t="s">
        <v>35</v>
      </c>
    </row>
    <row r="182" spans="1:28" ht="13.8" thickTop="1">
      <c r="A182" s="51" t="s">
        <v>157</v>
      </c>
      <c r="B182" s="3"/>
      <c r="C182" s="33"/>
      <c r="D182" s="1"/>
      <c r="E182" s="1"/>
      <c r="F182" s="33"/>
      <c r="G182" s="1"/>
      <c r="H182" s="1"/>
      <c r="I182" s="1"/>
      <c r="J182" s="1"/>
      <c r="K182" s="3"/>
      <c r="L182" s="1"/>
      <c r="M182" s="1"/>
      <c r="N182" s="1"/>
      <c r="O182" s="173"/>
      <c r="P182" s="1"/>
      <c r="Q182" s="1"/>
      <c r="R182" s="1"/>
      <c r="S182" s="1"/>
      <c r="T182" s="1"/>
    </row>
    <row r="183" spans="1:28" ht="13.8" thickBot="1">
      <c r="A183" s="51" t="s">
        <v>157</v>
      </c>
      <c r="B183" s="3"/>
      <c r="C183" s="33"/>
      <c r="D183" s="90" t="s">
        <v>186</v>
      </c>
      <c r="E183" s="1"/>
      <c r="F183" s="1"/>
      <c r="G183" s="33"/>
      <c r="H183" s="33"/>
      <c r="I183" s="33"/>
      <c r="J183" s="33"/>
      <c r="K183" s="3"/>
      <c r="L183" s="174" t="s">
        <v>187</v>
      </c>
      <c r="M183" s="174"/>
      <c r="N183" s="174"/>
      <c r="O183" s="175"/>
      <c r="P183" s="174"/>
      <c r="Q183" s="33"/>
      <c r="R183" s="176">
        <f>SUMIF($L$12:$L181,"",R$12:R181)</f>
        <v>0</v>
      </c>
      <c r="S183" s="177"/>
      <c r="T183" s="176">
        <f>SUMIF($L$12:$L181,"",T$12:T181)</f>
        <v>0</v>
      </c>
    </row>
    <row r="184" spans="1:28" ht="13.8" thickBot="1">
      <c r="A184" s="51" t="s">
        <v>157</v>
      </c>
      <c r="B184" s="3"/>
      <c r="C184" s="33"/>
      <c r="D184" s="90" t="s">
        <v>188</v>
      </c>
      <c r="E184" s="1"/>
      <c r="F184" s="3"/>
      <c r="G184" s="3"/>
      <c r="H184" s="3"/>
      <c r="I184" s="3"/>
      <c r="J184" s="3"/>
      <c r="K184" s="3"/>
      <c r="L184" s="174" t="s">
        <v>189</v>
      </c>
      <c r="M184" s="174"/>
      <c r="N184" s="174"/>
      <c r="O184" s="175"/>
      <c r="P184" s="174"/>
      <c r="Q184" s="3"/>
      <c r="R184" s="178">
        <f>SUMIF($L$12:$L181,"ITEM",R$12:R181)</f>
        <v>0</v>
      </c>
      <c r="S184" s="179"/>
      <c r="T184" s="178">
        <f>SUMIF($L$12:$L181,"ITEM",T$12:T181)</f>
        <v>0</v>
      </c>
    </row>
    <row r="185" spans="1:28" ht="13.8" thickBot="1">
      <c r="A185" s="104" t="s">
        <v>147</v>
      </c>
      <c r="B185" s="9"/>
      <c r="C185" s="58"/>
      <c r="D185" s="9"/>
      <c r="E185" s="9"/>
      <c r="F185" s="9"/>
      <c r="G185" s="9"/>
      <c r="H185" s="9"/>
      <c r="I185" s="9"/>
      <c r="J185" s="9"/>
      <c r="K185" s="9"/>
      <c r="L185" s="9"/>
      <c r="M185" s="9"/>
      <c r="N185" s="9"/>
      <c r="O185" s="180"/>
      <c r="P185" s="9"/>
      <c r="Q185" s="9"/>
      <c r="R185" s="9"/>
      <c r="S185" s="9"/>
      <c r="T185" s="9"/>
      <c r="U185" s="124"/>
      <c r="V185" s="124"/>
      <c r="W185" s="124"/>
      <c r="X185" s="124"/>
      <c r="Y185" s="124"/>
      <c r="Z185" s="124"/>
      <c r="AA185" s="124"/>
      <c r="AB185" s="124"/>
    </row>
    <row r="186" spans="1:28" ht="13.8" thickTop="1">
      <c r="A186" s="106"/>
      <c r="B186" s="537" t="s">
        <v>71</v>
      </c>
      <c r="C186" s="6"/>
      <c r="D186" s="107"/>
      <c r="E186" s="108" t="s">
        <v>158</v>
      </c>
      <c r="F186" s="109"/>
      <c r="G186" s="109"/>
      <c r="H186" s="109"/>
      <c r="I186" s="109"/>
      <c r="J186" s="109"/>
      <c r="K186" s="109"/>
      <c r="L186" s="109"/>
      <c r="M186" s="109"/>
      <c r="N186" s="109"/>
      <c r="O186" s="110"/>
      <c r="P186" s="109"/>
      <c r="Q186" s="111"/>
      <c r="R186" s="112">
        <f>SUM(R187:R254)</f>
        <v>0</v>
      </c>
      <c r="S186" s="113"/>
      <c r="T186" s="112">
        <f>SUM(T187:T254)</f>
        <v>0</v>
      </c>
    </row>
    <row r="187" spans="1:28">
      <c r="A187" s="114"/>
      <c r="B187" s="559">
        <v>1</v>
      </c>
      <c r="C187" s="6" t="s">
        <v>73</v>
      </c>
      <c r="D187" s="36" t="s">
        <v>74</v>
      </c>
      <c r="F187" s="115">
        <v>501</v>
      </c>
      <c r="O187" s="116"/>
      <c r="P187" s="36">
        <v>1</v>
      </c>
      <c r="R187" s="117">
        <f t="shared" ref="R187:R218" si="33">SUMIF($H$12:$H$180,$F187,R$12:R$180)</f>
        <v>0</v>
      </c>
      <c r="S187" s="118"/>
      <c r="T187" s="117">
        <f t="shared" ref="T187:T218" si="34">SUMIF($H$12:$H$180,$F187,T$12:T$180)</f>
        <v>0</v>
      </c>
    </row>
    <row r="188" spans="1:28">
      <c r="A188" s="114"/>
      <c r="B188" s="559">
        <v>2</v>
      </c>
      <c r="C188" s="6" t="s">
        <v>73</v>
      </c>
      <c r="D188" s="36" t="s">
        <v>75</v>
      </c>
      <c r="F188" s="115">
        <v>505</v>
      </c>
      <c r="O188" s="116"/>
      <c r="P188" s="36">
        <v>1</v>
      </c>
      <c r="R188" s="117">
        <f t="shared" si="33"/>
        <v>0</v>
      </c>
      <c r="S188" s="118"/>
      <c r="T188" s="117">
        <f t="shared" si="34"/>
        <v>0</v>
      </c>
    </row>
    <row r="189" spans="1:28">
      <c r="A189" s="114"/>
      <c r="B189" s="559">
        <v>3</v>
      </c>
      <c r="C189" s="6" t="s">
        <v>73</v>
      </c>
      <c r="D189" s="36" t="s">
        <v>76</v>
      </c>
      <c r="F189" s="115">
        <v>510</v>
      </c>
      <c r="O189" s="116"/>
      <c r="P189" s="36">
        <v>2</v>
      </c>
      <c r="R189" s="117">
        <f t="shared" si="33"/>
        <v>0</v>
      </c>
      <c r="S189" s="118"/>
      <c r="T189" s="117">
        <f t="shared" si="34"/>
        <v>0</v>
      </c>
    </row>
    <row r="190" spans="1:28">
      <c r="A190" s="114"/>
      <c r="B190" s="559">
        <v>4</v>
      </c>
      <c r="C190" s="6" t="s">
        <v>73</v>
      </c>
      <c r="D190" s="36" t="s">
        <v>77</v>
      </c>
      <c r="F190" s="115">
        <v>511</v>
      </c>
      <c r="O190" s="116"/>
      <c r="P190" s="36">
        <v>2</v>
      </c>
      <c r="R190" s="117">
        <f t="shared" si="33"/>
        <v>0</v>
      </c>
      <c r="S190" s="118"/>
      <c r="T190" s="117">
        <f t="shared" si="34"/>
        <v>0</v>
      </c>
    </row>
    <row r="191" spans="1:28">
      <c r="A191" s="114"/>
      <c r="B191" s="559">
        <v>5</v>
      </c>
      <c r="C191" s="6" t="s">
        <v>73</v>
      </c>
      <c r="D191" s="36" t="s">
        <v>78</v>
      </c>
      <c r="F191" s="115">
        <v>512</v>
      </c>
      <c r="O191" s="116"/>
      <c r="P191" s="36">
        <v>2</v>
      </c>
      <c r="R191" s="117">
        <f t="shared" si="33"/>
        <v>0</v>
      </c>
      <c r="S191" s="118"/>
      <c r="T191" s="117">
        <f t="shared" si="34"/>
        <v>0</v>
      </c>
    </row>
    <row r="192" spans="1:28">
      <c r="A192" s="114"/>
      <c r="B192" s="559">
        <v>6</v>
      </c>
      <c r="C192" s="6" t="s">
        <v>73</v>
      </c>
      <c r="D192" s="36" t="s">
        <v>79</v>
      </c>
      <c r="F192" s="115">
        <v>520</v>
      </c>
      <c r="O192" s="116"/>
      <c r="P192" s="36">
        <v>1</v>
      </c>
      <c r="R192" s="117">
        <f t="shared" si="33"/>
        <v>0</v>
      </c>
      <c r="S192" s="118"/>
      <c r="T192" s="117">
        <f t="shared" si="34"/>
        <v>0</v>
      </c>
    </row>
    <row r="193" spans="1:20">
      <c r="A193" s="114"/>
      <c r="B193" s="559">
        <v>7</v>
      </c>
      <c r="C193" s="6" t="s">
        <v>73</v>
      </c>
      <c r="D193" s="36" t="s">
        <v>80</v>
      </c>
      <c r="F193" s="115">
        <v>530</v>
      </c>
      <c r="O193" s="116"/>
      <c r="P193" s="36">
        <v>2</v>
      </c>
      <c r="R193" s="117">
        <f t="shared" si="33"/>
        <v>0</v>
      </c>
      <c r="S193" s="118"/>
      <c r="T193" s="117">
        <f t="shared" si="34"/>
        <v>0</v>
      </c>
    </row>
    <row r="194" spans="1:20">
      <c r="A194" s="114"/>
      <c r="B194" s="559">
        <v>8</v>
      </c>
      <c r="C194" s="6" t="s">
        <v>73</v>
      </c>
      <c r="D194" s="36" t="s">
        <v>81</v>
      </c>
      <c r="F194" s="115">
        <v>550</v>
      </c>
      <c r="O194" s="116"/>
      <c r="P194" s="36">
        <v>2</v>
      </c>
      <c r="R194" s="117">
        <f t="shared" si="33"/>
        <v>0</v>
      </c>
      <c r="S194" s="118"/>
      <c r="T194" s="117">
        <f t="shared" si="34"/>
        <v>0</v>
      </c>
    </row>
    <row r="195" spans="1:20">
      <c r="A195" s="114"/>
      <c r="B195" s="559">
        <v>9</v>
      </c>
      <c r="C195" s="6" t="s">
        <v>73</v>
      </c>
      <c r="D195" s="36" t="s">
        <v>82</v>
      </c>
      <c r="F195" s="115">
        <v>570</v>
      </c>
      <c r="O195" s="116"/>
      <c r="P195" s="36">
        <v>2</v>
      </c>
      <c r="R195" s="117">
        <f t="shared" si="33"/>
        <v>0</v>
      </c>
      <c r="S195" s="118"/>
      <c r="T195" s="117">
        <f t="shared" si="34"/>
        <v>0</v>
      </c>
    </row>
    <row r="196" spans="1:20">
      <c r="A196" s="114"/>
      <c r="B196" s="559">
        <v>10</v>
      </c>
      <c r="C196" s="6" t="s">
        <v>73</v>
      </c>
      <c r="D196" s="36" t="s">
        <v>83</v>
      </c>
      <c r="F196" s="115">
        <v>615</v>
      </c>
      <c r="O196" s="116"/>
      <c r="P196" s="36">
        <v>2</v>
      </c>
      <c r="R196" s="117">
        <f t="shared" si="33"/>
        <v>0</v>
      </c>
      <c r="S196" s="118"/>
      <c r="T196" s="117">
        <f t="shared" si="34"/>
        <v>0</v>
      </c>
    </row>
    <row r="197" spans="1:20">
      <c r="A197" s="114"/>
      <c r="B197" s="559">
        <v>11</v>
      </c>
      <c r="C197" s="6" t="s">
        <v>73</v>
      </c>
      <c r="D197" s="36" t="s">
        <v>85</v>
      </c>
      <c r="F197" s="115">
        <v>616</v>
      </c>
      <c r="O197" s="116"/>
      <c r="P197" s="36">
        <v>2</v>
      </c>
      <c r="R197" s="117">
        <f t="shared" si="33"/>
        <v>0</v>
      </c>
      <c r="S197" s="118"/>
      <c r="T197" s="117">
        <f t="shared" si="34"/>
        <v>0</v>
      </c>
    </row>
    <row r="198" spans="1:20">
      <c r="A198" s="114"/>
      <c r="B198" s="559">
        <v>12</v>
      </c>
      <c r="C198" s="6" t="s">
        <v>73</v>
      </c>
      <c r="D198" s="36" t="s">
        <v>86</v>
      </c>
      <c r="F198" s="115">
        <v>617</v>
      </c>
      <c r="O198" s="116"/>
      <c r="P198" s="36">
        <v>2</v>
      </c>
      <c r="R198" s="117">
        <f t="shared" si="33"/>
        <v>0</v>
      </c>
      <c r="S198" s="118"/>
      <c r="T198" s="117">
        <f t="shared" si="34"/>
        <v>0</v>
      </c>
    </row>
    <row r="199" spans="1:20">
      <c r="A199" s="114"/>
      <c r="B199" s="559">
        <v>13</v>
      </c>
      <c r="C199" s="6" t="s">
        <v>73</v>
      </c>
      <c r="D199" s="36" t="s">
        <v>159</v>
      </c>
      <c r="F199" s="115">
        <v>620</v>
      </c>
      <c r="O199" s="116"/>
      <c r="P199" s="36">
        <v>2</v>
      </c>
      <c r="R199" s="117">
        <f t="shared" si="33"/>
        <v>0</v>
      </c>
      <c r="S199" s="118"/>
      <c r="T199" s="117">
        <f t="shared" si="34"/>
        <v>0</v>
      </c>
    </row>
    <row r="200" spans="1:20">
      <c r="A200" s="114"/>
      <c r="B200" s="559">
        <v>14</v>
      </c>
      <c r="C200" s="6" t="s">
        <v>73</v>
      </c>
      <c r="D200" s="36" t="s">
        <v>88</v>
      </c>
      <c r="F200" s="115">
        <v>650</v>
      </c>
      <c r="O200" s="116"/>
      <c r="P200" s="36">
        <v>1</v>
      </c>
      <c r="R200" s="117">
        <f t="shared" si="33"/>
        <v>0</v>
      </c>
      <c r="S200" s="118"/>
      <c r="T200" s="117">
        <f t="shared" si="34"/>
        <v>0</v>
      </c>
    </row>
    <row r="201" spans="1:20">
      <c r="A201" s="114"/>
      <c r="B201" s="559">
        <v>15</v>
      </c>
      <c r="C201" s="6" t="s">
        <v>73</v>
      </c>
      <c r="D201" s="36" t="s">
        <v>89</v>
      </c>
      <c r="F201" s="115">
        <v>651</v>
      </c>
      <c r="O201" s="116"/>
      <c r="P201" s="36">
        <v>1</v>
      </c>
      <c r="R201" s="117">
        <f t="shared" si="33"/>
        <v>0</v>
      </c>
      <c r="S201" s="118"/>
      <c r="T201" s="117">
        <f t="shared" si="34"/>
        <v>0</v>
      </c>
    </row>
    <row r="202" spans="1:20">
      <c r="A202" s="114"/>
      <c r="B202" s="559">
        <v>16</v>
      </c>
      <c r="C202" s="6" t="s">
        <v>73</v>
      </c>
      <c r="D202" s="36" t="s">
        <v>90</v>
      </c>
      <c r="F202" s="115">
        <v>652</v>
      </c>
      <c r="O202" s="116"/>
      <c r="P202" s="36">
        <v>1</v>
      </c>
      <c r="R202" s="117">
        <f t="shared" si="33"/>
        <v>0</v>
      </c>
      <c r="S202" s="118"/>
      <c r="T202" s="117">
        <f t="shared" si="34"/>
        <v>0</v>
      </c>
    </row>
    <row r="203" spans="1:20">
      <c r="A203" s="114"/>
      <c r="B203" s="559">
        <v>17</v>
      </c>
      <c r="C203" s="6" t="s">
        <v>73</v>
      </c>
      <c r="D203" s="36" t="s">
        <v>91</v>
      </c>
      <c r="F203" s="115">
        <v>654</v>
      </c>
      <c r="O203" s="116"/>
      <c r="P203" s="36">
        <v>1</v>
      </c>
      <c r="R203" s="117">
        <f t="shared" si="33"/>
        <v>0</v>
      </c>
      <c r="S203" s="118"/>
      <c r="T203" s="117">
        <f t="shared" si="34"/>
        <v>0</v>
      </c>
    </row>
    <row r="204" spans="1:20">
      <c r="A204" s="114"/>
      <c r="B204" s="559">
        <v>18</v>
      </c>
      <c r="C204" s="6" t="s">
        <v>73</v>
      </c>
      <c r="D204" s="36" t="s">
        <v>92</v>
      </c>
      <c r="F204" s="115">
        <v>675</v>
      </c>
      <c r="O204" s="116"/>
      <c r="P204" s="36">
        <v>1</v>
      </c>
      <c r="R204" s="117">
        <f t="shared" si="33"/>
        <v>0</v>
      </c>
      <c r="S204" s="118"/>
      <c r="T204" s="117">
        <f t="shared" si="34"/>
        <v>0</v>
      </c>
    </row>
    <row r="205" spans="1:20">
      <c r="A205" s="114"/>
      <c r="B205" s="559">
        <v>19</v>
      </c>
      <c r="C205" s="6" t="s">
        <v>73</v>
      </c>
      <c r="D205" s="36" t="s">
        <v>93</v>
      </c>
      <c r="F205" s="115">
        <v>676</v>
      </c>
      <c r="O205" s="116"/>
      <c r="P205" s="36">
        <v>1</v>
      </c>
      <c r="R205" s="117">
        <f t="shared" si="33"/>
        <v>0</v>
      </c>
      <c r="S205" s="118"/>
      <c r="T205" s="117">
        <f t="shared" si="34"/>
        <v>0</v>
      </c>
    </row>
    <row r="206" spans="1:20">
      <c r="A206" s="114"/>
      <c r="B206" s="559">
        <v>20</v>
      </c>
      <c r="C206" s="6" t="s">
        <v>73</v>
      </c>
      <c r="D206" s="36" t="s">
        <v>94</v>
      </c>
      <c r="F206" s="115">
        <v>680</v>
      </c>
      <c r="O206" s="116"/>
      <c r="P206" s="36">
        <v>1</v>
      </c>
      <c r="R206" s="117">
        <f t="shared" si="33"/>
        <v>0</v>
      </c>
      <c r="S206" s="118"/>
      <c r="T206" s="117">
        <f t="shared" si="34"/>
        <v>0</v>
      </c>
    </row>
    <row r="207" spans="1:20">
      <c r="A207" s="114"/>
      <c r="B207" s="559">
        <v>21</v>
      </c>
      <c r="C207" s="6" t="s">
        <v>73</v>
      </c>
      <c r="D207" s="36" t="s">
        <v>96</v>
      </c>
      <c r="F207" s="115">
        <v>681</v>
      </c>
      <c r="O207" s="116"/>
      <c r="P207" s="36">
        <v>1</v>
      </c>
      <c r="R207" s="117">
        <f t="shared" si="33"/>
        <v>0</v>
      </c>
      <c r="S207" s="118"/>
      <c r="T207" s="117">
        <f t="shared" si="34"/>
        <v>0</v>
      </c>
    </row>
    <row r="208" spans="1:20">
      <c r="A208" s="114"/>
      <c r="B208" s="559">
        <v>22</v>
      </c>
      <c r="C208" s="6" t="s">
        <v>73</v>
      </c>
      <c r="D208" s="36" t="s">
        <v>97</v>
      </c>
      <c r="F208" s="115">
        <v>690</v>
      </c>
      <c r="O208" s="116"/>
      <c r="P208" s="36">
        <v>1</v>
      </c>
      <c r="R208" s="117">
        <f t="shared" si="33"/>
        <v>0</v>
      </c>
      <c r="S208" s="118"/>
      <c r="T208" s="117">
        <f t="shared" si="34"/>
        <v>0</v>
      </c>
    </row>
    <row r="209" spans="1:20">
      <c r="A209" s="114"/>
      <c r="B209" s="559">
        <v>23</v>
      </c>
      <c r="C209" s="6" t="s">
        <v>73</v>
      </c>
      <c r="D209" s="36" t="s">
        <v>98</v>
      </c>
      <c r="F209" s="115">
        <v>700</v>
      </c>
      <c r="O209" s="116"/>
      <c r="P209" s="36">
        <v>1</v>
      </c>
      <c r="R209" s="117">
        <f t="shared" si="33"/>
        <v>0</v>
      </c>
      <c r="S209" s="118"/>
      <c r="T209" s="117">
        <f t="shared" si="34"/>
        <v>0</v>
      </c>
    </row>
    <row r="210" spans="1:20">
      <c r="A210" s="114"/>
      <c r="B210" s="559">
        <v>24</v>
      </c>
      <c r="C210" s="6" t="s">
        <v>73</v>
      </c>
      <c r="D210" s="36" t="s">
        <v>99</v>
      </c>
      <c r="F210" s="115">
        <v>705</v>
      </c>
      <c r="O210" s="116"/>
      <c r="P210" s="36">
        <v>3</v>
      </c>
      <c r="R210" s="117">
        <f t="shared" si="33"/>
        <v>0</v>
      </c>
      <c r="S210" s="118"/>
      <c r="T210" s="117">
        <f t="shared" si="34"/>
        <v>0</v>
      </c>
    </row>
    <row r="211" spans="1:20">
      <c r="A211" s="114"/>
      <c r="B211" s="559">
        <v>25</v>
      </c>
      <c r="C211" s="6" t="s">
        <v>73</v>
      </c>
      <c r="D211" s="36" t="s">
        <v>100</v>
      </c>
      <c r="F211" s="115">
        <v>706</v>
      </c>
      <c r="O211" s="116"/>
      <c r="P211" s="36">
        <v>3</v>
      </c>
      <c r="R211" s="117">
        <f t="shared" si="33"/>
        <v>0</v>
      </c>
      <c r="S211" s="118"/>
      <c r="T211" s="117">
        <f t="shared" si="34"/>
        <v>0</v>
      </c>
    </row>
    <row r="212" spans="1:20">
      <c r="A212" s="114"/>
      <c r="B212" s="559">
        <v>26</v>
      </c>
      <c r="C212" s="6" t="s">
        <v>73</v>
      </c>
      <c r="D212" s="36" t="s">
        <v>101</v>
      </c>
      <c r="F212" s="115">
        <v>725</v>
      </c>
      <c r="O212" s="116"/>
      <c r="P212" s="36">
        <v>3</v>
      </c>
      <c r="R212" s="117">
        <f t="shared" si="33"/>
        <v>0</v>
      </c>
      <c r="S212" s="118"/>
      <c r="T212" s="117">
        <f t="shared" si="34"/>
        <v>0</v>
      </c>
    </row>
    <row r="213" spans="1:20">
      <c r="A213" s="114"/>
      <c r="B213" s="559">
        <v>27</v>
      </c>
      <c r="C213" s="6" t="s">
        <v>73</v>
      </c>
      <c r="D213" s="36" t="s">
        <v>102</v>
      </c>
      <c r="F213" s="115">
        <v>726</v>
      </c>
      <c r="O213" s="116"/>
      <c r="P213" s="36">
        <v>3</v>
      </c>
      <c r="R213" s="117">
        <f t="shared" si="33"/>
        <v>0</v>
      </c>
      <c r="S213" s="118"/>
      <c r="T213" s="117">
        <f t="shared" si="34"/>
        <v>0</v>
      </c>
    </row>
    <row r="214" spans="1:20">
      <c r="A214" s="114"/>
      <c r="B214" s="559">
        <v>28</v>
      </c>
      <c r="C214" s="6" t="s">
        <v>73</v>
      </c>
      <c r="D214" s="36" t="s">
        <v>103</v>
      </c>
      <c r="F214" s="115">
        <v>750</v>
      </c>
      <c r="O214" s="116"/>
      <c r="P214" s="36">
        <v>3</v>
      </c>
      <c r="R214" s="117">
        <f t="shared" si="33"/>
        <v>0</v>
      </c>
      <c r="S214" s="118"/>
      <c r="T214" s="117">
        <f t="shared" si="34"/>
        <v>0</v>
      </c>
    </row>
    <row r="215" spans="1:20">
      <c r="A215" s="114"/>
      <c r="B215" s="559">
        <v>29</v>
      </c>
      <c r="C215" s="6" t="s">
        <v>73</v>
      </c>
      <c r="D215" s="36" t="s">
        <v>104</v>
      </c>
      <c r="F215" s="115">
        <v>751</v>
      </c>
      <c r="O215" s="116"/>
      <c r="P215" s="36">
        <v>3</v>
      </c>
      <c r="R215" s="117">
        <f t="shared" si="33"/>
        <v>0</v>
      </c>
      <c r="S215" s="118"/>
      <c r="T215" s="117">
        <f t="shared" si="34"/>
        <v>0</v>
      </c>
    </row>
    <row r="216" spans="1:20">
      <c r="A216" s="114"/>
      <c r="B216" s="559">
        <v>30</v>
      </c>
      <c r="C216" s="6" t="s">
        <v>73</v>
      </c>
      <c r="D216" s="36" t="s">
        <v>105</v>
      </c>
      <c r="F216" s="115">
        <v>752</v>
      </c>
      <c r="O216" s="116"/>
      <c r="P216" s="36">
        <v>3</v>
      </c>
      <c r="R216" s="117">
        <f t="shared" si="33"/>
        <v>0</v>
      </c>
      <c r="S216" s="118"/>
      <c r="T216" s="117">
        <f t="shared" si="34"/>
        <v>0</v>
      </c>
    </row>
    <row r="217" spans="1:20">
      <c r="A217" s="114"/>
      <c r="B217" s="559">
        <v>31</v>
      </c>
      <c r="C217" s="6" t="s">
        <v>73</v>
      </c>
      <c r="D217" s="720" t="s">
        <v>307</v>
      </c>
      <c r="F217" s="115">
        <v>753</v>
      </c>
      <c r="O217" s="116"/>
      <c r="P217" s="36">
        <v>3</v>
      </c>
      <c r="R217" s="117">
        <f t="shared" si="33"/>
        <v>0</v>
      </c>
      <c r="S217" s="118"/>
      <c r="T217" s="117">
        <f t="shared" si="34"/>
        <v>0</v>
      </c>
    </row>
    <row r="218" spans="1:20">
      <c r="A218" s="114"/>
      <c r="B218" s="559">
        <v>32</v>
      </c>
      <c r="C218" s="6" t="s">
        <v>73</v>
      </c>
      <c r="D218" s="36" t="s">
        <v>107</v>
      </c>
      <c r="F218" s="115">
        <v>770</v>
      </c>
      <c r="O218" s="116"/>
      <c r="P218" s="36">
        <v>3</v>
      </c>
      <c r="R218" s="117">
        <f t="shared" si="33"/>
        <v>0</v>
      </c>
      <c r="S218" s="118"/>
      <c r="T218" s="117">
        <f t="shared" si="34"/>
        <v>0</v>
      </c>
    </row>
    <row r="219" spans="1:20">
      <c r="A219" s="114"/>
      <c r="B219" s="559">
        <v>33</v>
      </c>
      <c r="C219" s="6" t="s">
        <v>73</v>
      </c>
      <c r="D219" s="36" t="s">
        <v>108</v>
      </c>
      <c r="F219" s="115">
        <v>790</v>
      </c>
      <c r="O219" s="116"/>
      <c r="P219" s="36">
        <v>3</v>
      </c>
      <c r="R219" s="117">
        <f t="shared" ref="R219:R254" si="35">SUMIF($H$12:$H$180,$F219,R$12:R$180)</f>
        <v>0</v>
      </c>
      <c r="S219" s="118"/>
      <c r="T219" s="117">
        <f t="shared" ref="T219:T254" si="36">SUMIF($H$12:$H$180,$F219,T$12:T$180)</f>
        <v>0</v>
      </c>
    </row>
    <row r="220" spans="1:20">
      <c r="A220" s="114"/>
      <c r="B220" s="559">
        <v>34</v>
      </c>
      <c r="C220" s="6" t="s">
        <v>73</v>
      </c>
      <c r="D220" s="36" t="s">
        <v>109</v>
      </c>
      <c r="F220" s="115">
        <v>791</v>
      </c>
      <c r="O220" s="116"/>
      <c r="P220" s="36">
        <v>3</v>
      </c>
      <c r="R220" s="117">
        <f t="shared" si="35"/>
        <v>0</v>
      </c>
      <c r="S220" s="118"/>
      <c r="T220" s="117">
        <f t="shared" si="36"/>
        <v>0</v>
      </c>
    </row>
    <row r="221" spans="1:20">
      <c r="A221" s="114"/>
      <c r="B221" s="559">
        <v>35</v>
      </c>
      <c r="C221" s="6" t="s">
        <v>73</v>
      </c>
      <c r="D221" s="36" t="s">
        <v>110</v>
      </c>
      <c r="F221" s="115">
        <v>810</v>
      </c>
      <c r="O221" s="116"/>
      <c r="P221" s="36">
        <v>3</v>
      </c>
      <c r="R221" s="117">
        <f t="shared" si="35"/>
        <v>0</v>
      </c>
      <c r="S221" s="118"/>
      <c r="T221" s="117">
        <f t="shared" si="36"/>
        <v>0</v>
      </c>
    </row>
    <row r="222" spans="1:20">
      <c r="A222" s="114"/>
      <c r="B222" s="559">
        <v>36</v>
      </c>
      <c r="C222" s="6" t="s">
        <v>73</v>
      </c>
      <c r="D222" s="36" t="s">
        <v>111</v>
      </c>
      <c r="F222" s="115">
        <v>815</v>
      </c>
      <c r="O222" s="116"/>
      <c r="P222" s="36">
        <v>3</v>
      </c>
      <c r="R222" s="117">
        <f t="shared" si="35"/>
        <v>0</v>
      </c>
      <c r="S222" s="118"/>
      <c r="T222" s="117">
        <f t="shared" si="36"/>
        <v>0</v>
      </c>
    </row>
    <row r="223" spans="1:20">
      <c r="A223" s="114"/>
      <c r="B223" s="559">
        <v>37</v>
      </c>
      <c r="C223" s="6" t="s">
        <v>73</v>
      </c>
      <c r="D223" s="36" t="s">
        <v>112</v>
      </c>
      <c r="F223" s="115">
        <v>820</v>
      </c>
      <c r="O223" s="116"/>
      <c r="P223" s="36">
        <v>2</v>
      </c>
      <c r="R223" s="117">
        <f t="shared" si="35"/>
        <v>0</v>
      </c>
      <c r="S223" s="118"/>
      <c r="T223" s="117">
        <f t="shared" si="36"/>
        <v>0</v>
      </c>
    </row>
    <row r="224" spans="1:20">
      <c r="A224" s="114"/>
      <c r="B224" s="559">
        <v>38</v>
      </c>
      <c r="C224" s="6" t="s">
        <v>73</v>
      </c>
      <c r="D224" s="36" t="s">
        <v>113</v>
      </c>
      <c r="F224" s="115">
        <v>821</v>
      </c>
      <c r="O224" s="116"/>
      <c r="P224" s="36">
        <v>3</v>
      </c>
      <c r="R224" s="117">
        <f t="shared" si="35"/>
        <v>0</v>
      </c>
      <c r="S224" s="118"/>
      <c r="T224" s="117">
        <f t="shared" si="36"/>
        <v>0</v>
      </c>
    </row>
    <row r="225" spans="1:20">
      <c r="A225" s="114"/>
      <c r="B225" s="559">
        <v>39</v>
      </c>
      <c r="C225" s="6" t="s">
        <v>73</v>
      </c>
      <c r="D225" s="36" t="s">
        <v>114</v>
      </c>
      <c r="F225" s="115">
        <v>835</v>
      </c>
      <c r="O225" s="116"/>
      <c r="P225" s="36">
        <v>3</v>
      </c>
      <c r="R225" s="117">
        <f t="shared" si="35"/>
        <v>0</v>
      </c>
      <c r="S225" s="118"/>
      <c r="T225" s="117">
        <f t="shared" si="36"/>
        <v>0</v>
      </c>
    </row>
    <row r="226" spans="1:20">
      <c r="A226" s="114"/>
      <c r="B226" s="559">
        <v>40</v>
      </c>
      <c r="C226" s="6" t="s">
        <v>73</v>
      </c>
      <c r="D226" s="36" t="s">
        <v>115</v>
      </c>
      <c r="F226" s="115">
        <v>845</v>
      </c>
      <c r="O226" s="116"/>
      <c r="P226" s="36">
        <v>2</v>
      </c>
      <c r="R226" s="117">
        <f t="shared" si="35"/>
        <v>0</v>
      </c>
      <c r="S226" s="118"/>
      <c r="T226" s="117">
        <f t="shared" si="36"/>
        <v>0</v>
      </c>
    </row>
    <row r="227" spans="1:20">
      <c r="A227" s="114"/>
      <c r="B227" s="559">
        <v>41</v>
      </c>
      <c r="C227" s="6" t="s">
        <v>73</v>
      </c>
      <c r="D227" s="36" t="s">
        <v>117</v>
      </c>
      <c r="F227" s="115">
        <v>855</v>
      </c>
      <c r="O227" s="116"/>
      <c r="P227" s="36">
        <v>3</v>
      </c>
      <c r="R227" s="117">
        <f t="shared" si="35"/>
        <v>0</v>
      </c>
      <c r="S227" s="118"/>
      <c r="T227" s="117">
        <f t="shared" si="36"/>
        <v>0</v>
      </c>
    </row>
    <row r="228" spans="1:20">
      <c r="A228" s="114"/>
      <c r="B228" s="559">
        <v>42</v>
      </c>
      <c r="C228" s="6" t="s">
        <v>73</v>
      </c>
      <c r="D228" s="36" t="s">
        <v>118</v>
      </c>
      <c r="F228" s="115">
        <v>856</v>
      </c>
      <c r="O228" s="116"/>
      <c r="P228" s="36">
        <v>3</v>
      </c>
      <c r="R228" s="117">
        <f t="shared" si="35"/>
        <v>0</v>
      </c>
      <c r="S228" s="118"/>
      <c r="T228" s="117">
        <f t="shared" si="36"/>
        <v>0</v>
      </c>
    </row>
    <row r="229" spans="1:20">
      <c r="A229" s="114"/>
      <c r="B229" s="559">
        <v>43</v>
      </c>
      <c r="C229" s="6" t="s">
        <v>73</v>
      </c>
      <c r="D229" s="36" t="s">
        <v>281</v>
      </c>
      <c r="F229" s="115">
        <v>857</v>
      </c>
      <c r="O229" s="116"/>
      <c r="P229" s="36">
        <v>3</v>
      </c>
      <c r="R229" s="117">
        <f t="shared" si="35"/>
        <v>0</v>
      </c>
      <c r="S229" s="118"/>
      <c r="T229" s="117">
        <f t="shared" si="36"/>
        <v>0</v>
      </c>
    </row>
    <row r="230" spans="1:20">
      <c r="A230" s="114"/>
      <c r="B230" s="559">
        <v>44</v>
      </c>
      <c r="C230" s="6" t="s">
        <v>73</v>
      </c>
      <c r="D230" s="36" t="s">
        <v>119</v>
      </c>
      <c r="F230" s="115">
        <v>858</v>
      </c>
      <c r="O230" s="116"/>
      <c r="P230" s="36">
        <v>3</v>
      </c>
      <c r="R230" s="117">
        <f t="shared" si="35"/>
        <v>0</v>
      </c>
      <c r="S230" s="118"/>
      <c r="T230" s="117">
        <f t="shared" si="36"/>
        <v>0</v>
      </c>
    </row>
    <row r="231" spans="1:20">
      <c r="A231" s="114"/>
      <c r="B231" s="559">
        <v>45</v>
      </c>
      <c r="C231" s="6" t="s">
        <v>73</v>
      </c>
      <c r="D231" s="36" t="s">
        <v>120</v>
      </c>
      <c r="F231" s="115">
        <v>865</v>
      </c>
      <c r="O231" s="116"/>
      <c r="P231" s="36">
        <v>3</v>
      </c>
      <c r="R231" s="117">
        <f t="shared" si="35"/>
        <v>0</v>
      </c>
      <c r="S231" s="118"/>
      <c r="T231" s="117">
        <f t="shared" si="36"/>
        <v>0</v>
      </c>
    </row>
    <row r="232" spans="1:20">
      <c r="A232" s="114"/>
      <c r="B232" s="559">
        <v>46</v>
      </c>
      <c r="C232" s="6" t="s">
        <v>73</v>
      </c>
      <c r="D232" s="36" t="s">
        <v>121</v>
      </c>
      <c r="F232" s="115">
        <v>870</v>
      </c>
      <c r="O232" s="116"/>
      <c r="P232" s="36">
        <v>4</v>
      </c>
      <c r="R232" s="117">
        <f t="shared" si="35"/>
        <v>0</v>
      </c>
      <c r="S232" s="118"/>
      <c r="T232" s="117">
        <f t="shared" si="36"/>
        <v>0</v>
      </c>
    </row>
    <row r="233" spans="1:20">
      <c r="A233" s="114"/>
      <c r="B233" s="559">
        <v>47</v>
      </c>
      <c r="C233" s="6" t="s">
        <v>73</v>
      </c>
      <c r="D233" s="36" t="s">
        <v>122</v>
      </c>
      <c r="F233" s="115">
        <v>875</v>
      </c>
      <c r="O233" s="116"/>
      <c r="P233" s="36">
        <v>1</v>
      </c>
      <c r="R233" s="117">
        <f t="shared" si="35"/>
        <v>0</v>
      </c>
      <c r="S233" s="118"/>
      <c r="T233" s="117">
        <f t="shared" si="36"/>
        <v>0</v>
      </c>
    </row>
    <row r="234" spans="1:20">
      <c r="A234" s="114"/>
      <c r="B234" s="559">
        <v>48</v>
      </c>
      <c r="C234" s="6" t="s">
        <v>73</v>
      </c>
      <c r="D234" s="36" t="s">
        <v>123</v>
      </c>
      <c r="F234" s="115">
        <v>880</v>
      </c>
      <c r="O234" s="116"/>
      <c r="P234" s="36">
        <v>3</v>
      </c>
      <c r="R234" s="117">
        <f t="shared" si="35"/>
        <v>0</v>
      </c>
      <c r="S234" s="118"/>
      <c r="T234" s="117">
        <f t="shared" si="36"/>
        <v>0</v>
      </c>
    </row>
    <row r="235" spans="1:20">
      <c r="A235" s="114"/>
      <c r="B235" s="559">
        <v>49</v>
      </c>
      <c r="C235" s="6" t="s">
        <v>73</v>
      </c>
      <c r="D235" s="36" t="s">
        <v>124</v>
      </c>
      <c r="F235" s="115">
        <v>885</v>
      </c>
      <c r="O235" s="116"/>
      <c r="P235" s="36">
        <v>4</v>
      </c>
      <c r="R235" s="117">
        <f t="shared" si="35"/>
        <v>0</v>
      </c>
      <c r="S235" s="118"/>
      <c r="T235" s="117">
        <f t="shared" si="36"/>
        <v>0</v>
      </c>
    </row>
    <row r="236" spans="1:20">
      <c r="A236" s="114"/>
      <c r="B236" s="559">
        <v>50</v>
      </c>
      <c r="C236" s="6" t="s">
        <v>73</v>
      </c>
      <c r="D236" s="36" t="s">
        <v>68</v>
      </c>
      <c r="F236" s="115">
        <v>900</v>
      </c>
      <c r="O236" s="116"/>
      <c r="P236" s="36">
        <v>3</v>
      </c>
      <c r="R236" s="117">
        <f t="shared" si="35"/>
        <v>0</v>
      </c>
      <c r="S236" s="118"/>
      <c r="T236" s="117">
        <f t="shared" si="36"/>
        <v>0</v>
      </c>
    </row>
    <row r="237" spans="1:20">
      <c r="A237" s="114"/>
      <c r="B237" s="559">
        <v>51</v>
      </c>
      <c r="C237" s="6" t="s">
        <v>73</v>
      </c>
      <c r="D237" s="36" t="s">
        <v>126</v>
      </c>
      <c r="F237" s="115">
        <v>901</v>
      </c>
      <c r="O237" s="116"/>
      <c r="P237" s="36">
        <v>1</v>
      </c>
      <c r="R237" s="117">
        <f t="shared" si="35"/>
        <v>0</v>
      </c>
      <c r="S237" s="118"/>
      <c r="T237" s="117">
        <f t="shared" si="36"/>
        <v>0</v>
      </c>
    </row>
    <row r="238" spans="1:20">
      <c r="A238" s="114"/>
      <c r="B238" s="559">
        <v>52</v>
      </c>
      <c r="C238" s="6" t="s">
        <v>73</v>
      </c>
      <c r="D238" s="36" t="s">
        <v>127</v>
      </c>
      <c r="F238" s="115">
        <v>902</v>
      </c>
      <c r="O238" s="116"/>
      <c r="P238" s="36">
        <v>3</v>
      </c>
      <c r="R238" s="117">
        <f t="shared" si="35"/>
        <v>0</v>
      </c>
      <c r="S238" s="118"/>
      <c r="T238" s="117">
        <f t="shared" si="36"/>
        <v>0</v>
      </c>
    </row>
    <row r="239" spans="1:20">
      <c r="A239" s="114"/>
      <c r="B239" s="559">
        <v>53</v>
      </c>
      <c r="C239" s="6" t="s">
        <v>73</v>
      </c>
      <c r="D239" s="119" t="s">
        <v>128</v>
      </c>
      <c r="F239" s="115">
        <v>960</v>
      </c>
      <c r="O239" s="116"/>
      <c r="P239" s="36">
        <v>4</v>
      </c>
      <c r="R239" s="117">
        <f t="shared" si="35"/>
        <v>0</v>
      </c>
      <c r="S239" s="118"/>
      <c r="T239" s="117">
        <f t="shared" si="36"/>
        <v>0</v>
      </c>
    </row>
    <row r="240" spans="1:20">
      <c r="A240" s="114"/>
      <c r="B240" s="559">
        <v>54</v>
      </c>
      <c r="C240" s="6" t="s">
        <v>73</v>
      </c>
      <c r="D240" s="119" t="s">
        <v>129</v>
      </c>
      <c r="F240" s="115">
        <v>961</v>
      </c>
      <c r="O240" s="116"/>
      <c r="P240" s="36">
        <v>3</v>
      </c>
      <c r="R240" s="117">
        <f t="shared" si="35"/>
        <v>0</v>
      </c>
      <c r="S240" s="118"/>
      <c r="T240" s="117">
        <f t="shared" si="36"/>
        <v>0</v>
      </c>
    </row>
    <row r="241" spans="1:28">
      <c r="A241" s="114"/>
      <c r="B241" s="559">
        <v>55</v>
      </c>
      <c r="C241" s="6" t="s">
        <v>73</v>
      </c>
      <c r="D241" s="119" t="s">
        <v>130</v>
      </c>
      <c r="F241" s="115">
        <v>962</v>
      </c>
      <c r="O241" s="116"/>
      <c r="P241" s="36">
        <v>1</v>
      </c>
      <c r="R241" s="117">
        <f t="shared" si="35"/>
        <v>0</v>
      </c>
      <c r="S241" s="118"/>
      <c r="T241" s="117">
        <f t="shared" si="36"/>
        <v>0</v>
      </c>
    </row>
    <row r="242" spans="1:28">
      <c r="A242" s="114"/>
      <c r="B242" s="559">
        <v>57</v>
      </c>
      <c r="C242" s="6" t="s">
        <v>73</v>
      </c>
      <c r="D242" s="119" t="s">
        <v>320</v>
      </c>
      <c r="F242" s="115">
        <v>410</v>
      </c>
      <c r="O242" s="116"/>
      <c r="P242" s="36">
        <v>4</v>
      </c>
      <c r="R242" s="117">
        <f t="shared" si="35"/>
        <v>0</v>
      </c>
      <c r="S242" s="118"/>
      <c r="T242" s="117">
        <f t="shared" si="36"/>
        <v>0</v>
      </c>
    </row>
    <row r="243" spans="1:28">
      <c r="A243" s="114"/>
      <c r="B243" s="559">
        <v>58</v>
      </c>
      <c r="C243" s="6" t="s">
        <v>73</v>
      </c>
      <c r="D243" s="119" t="s">
        <v>321</v>
      </c>
      <c r="F243" s="115">
        <v>411</v>
      </c>
      <c r="O243" s="116"/>
      <c r="P243" s="36">
        <v>4</v>
      </c>
      <c r="R243" s="117">
        <f t="shared" si="35"/>
        <v>0</v>
      </c>
      <c r="S243" s="118"/>
      <c r="T243" s="117">
        <f t="shared" si="36"/>
        <v>0</v>
      </c>
    </row>
    <row r="244" spans="1:28">
      <c r="A244" s="114"/>
      <c r="B244" s="559">
        <v>59</v>
      </c>
      <c r="C244" s="6" t="s">
        <v>73</v>
      </c>
      <c r="D244" s="119" t="s">
        <v>322</v>
      </c>
      <c r="F244" s="115">
        <v>412</v>
      </c>
      <c r="O244" s="116"/>
      <c r="P244" s="36">
        <v>4</v>
      </c>
      <c r="R244" s="117">
        <f t="shared" si="35"/>
        <v>0</v>
      </c>
      <c r="S244" s="118"/>
      <c r="T244" s="117">
        <f t="shared" si="36"/>
        <v>0</v>
      </c>
    </row>
    <row r="245" spans="1:28">
      <c r="A245" s="114"/>
      <c r="B245" s="559">
        <v>60</v>
      </c>
      <c r="C245" s="6" t="s">
        <v>73</v>
      </c>
      <c r="D245" s="119" t="s">
        <v>323</v>
      </c>
      <c r="F245" s="115">
        <v>413</v>
      </c>
      <c r="O245" s="116"/>
      <c r="P245" s="36">
        <v>4</v>
      </c>
      <c r="R245" s="117">
        <f t="shared" si="35"/>
        <v>0</v>
      </c>
      <c r="S245" s="118"/>
      <c r="T245" s="117">
        <f t="shared" si="36"/>
        <v>0</v>
      </c>
    </row>
    <row r="246" spans="1:28">
      <c r="A246" s="114"/>
      <c r="B246" s="559">
        <v>61</v>
      </c>
      <c r="C246" s="6" t="s">
        <v>73</v>
      </c>
      <c r="D246" s="119" t="s">
        <v>324</v>
      </c>
      <c r="F246" s="115">
        <v>414</v>
      </c>
      <c r="O246" s="116"/>
      <c r="P246" s="36">
        <v>4</v>
      </c>
      <c r="R246" s="117">
        <f t="shared" si="35"/>
        <v>0</v>
      </c>
      <c r="S246" s="118"/>
      <c r="T246" s="117">
        <f t="shared" si="36"/>
        <v>0</v>
      </c>
    </row>
    <row r="247" spans="1:28">
      <c r="A247" s="114"/>
      <c r="B247" s="559">
        <v>62</v>
      </c>
      <c r="C247" s="6" t="s">
        <v>73</v>
      </c>
      <c r="D247" s="119" t="s">
        <v>325</v>
      </c>
      <c r="F247" s="115">
        <v>415</v>
      </c>
      <c r="O247" s="116"/>
      <c r="P247" s="36">
        <v>4</v>
      </c>
      <c r="R247" s="117">
        <f t="shared" si="35"/>
        <v>0</v>
      </c>
      <c r="S247" s="118"/>
      <c r="T247" s="117">
        <f t="shared" si="36"/>
        <v>0</v>
      </c>
    </row>
    <row r="248" spans="1:28">
      <c r="A248" s="114"/>
      <c r="B248" s="559">
        <v>63</v>
      </c>
      <c r="C248" s="6" t="s">
        <v>73</v>
      </c>
      <c r="D248" s="119" t="s">
        <v>326</v>
      </c>
      <c r="F248" s="115">
        <v>416</v>
      </c>
      <c r="O248" s="116"/>
      <c r="P248" s="36">
        <v>4</v>
      </c>
      <c r="R248" s="117">
        <f t="shared" si="35"/>
        <v>0</v>
      </c>
      <c r="S248" s="118"/>
      <c r="T248" s="117">
        <f t="shared" si="36"/>
        <v>0</v>
      </c>
    </row>
    <row r="249" spans="1:28">
      <c r="A249" s="114"/>
      <c r="B249" s="559">
        <v>64</v>
      </c>
      <c r="C249" s="6" t="s">
        <v>73</v>
      </c>
      <c r="D249" s="119" t="s">
        <v>327</v>
      </c>
      <c r="F249" s="115">
        <v>417</v>
      </c>
      <c r="O249" s="116"/>
      <c r="P249" s="36">
        <v>4</v>
      </c>
      <c r="R249" s="117">
        <f t="shared" si="35"/>
        <v>0</v>
      </c>
      <c r="S249" s="118"/>
      <c r="T249" s="117">
        <f t="shared" si="36"/>
        <v>0</v>
      </c>
    </row>
    <row r="250" spans="1:28">
      <c r="A250" s="114"/>
      <c r="B250" s="559">
        <v>65</v>
      </c>
      <c r="C250" s="6" t="s">
        <v>73</v>
      </c>
      <c r="D250" s="119" t="s">
        <v>328</v>
      </c>
      <c r="F250" s="115">
        <v>418</v>
      </c>
      <c r="O250" s="116"/>
      <c r="P250" s="36">
        <v>4</v>
      </c>
      <c r="R250" s="117">
        <f t="shared" si="35"/>
        <v>0</v>
      </c>
      <c r="S250" s="118"/>
      <c r="T250" s="117">
        <f t="shared" si="36"/>
        <v>0</v>
      </c>
    </row>
    <row r="251" spans="1:28">
      <c r="A251" s="114"/>
      <c r="B251" s="559">
        <v>66</v>
      </c>
      <c r="C251" s="6" t="s">
        <v>73</v>
      </c>
      <c r="D251" s="119" t="s">
        <v>329</v>
      </c>
      <c r="F251" s="115">
        <v>419</v>
      </c>
      <c r="O251" s="116"/>
      <c r="P251" s="36">
        <v>4</v>
      </c>
      <c r="R251" s="117">
        <f t="shared" si="35"/>
        <v>0</v>
      </c>
      <c r="S251" s="118"/>
      <c r="T251" s="117">
        <f t="shared" si="36"/>
        <v>0</v>
      </c>
    </row>
    <row r="252" spans="1:28">
      <c r="A252" s="114"/>
      <c r="B252" s="559">
        <v>67</v>
      </c>
      <c r="C252" s="6" t="s">
        <v>73</v>
      </c>
      <c r="D252" s="119" t="s">
        <v>330</v>
      </c>
      <c r="F252" s="115">
        <v>420</v>
      </c>
      <c r="O252" s="116"/>
      <c r="P252" s="36">
        <v>4</v>
      </c>
      <c r="R252" s="117">
        <f t="shared" si="35"/>
        <v>0</v>
      </c>
      <c r="S252" s="118"/>
      <c r="T252" s="117">
        <f t="shared" si="36"/>
        <v>0</v>
      </c>
    </row>
    <row r="253" spans="1:28">
      <c r="A253" s="114"/>
      <c r="B253" s="559">
        <v>68</v>
      </c>
      <c r="C253" s="6" t="s">
        <v>73</v>
      </c>
      <c r="D253" s="119" t="s">
        <v>333</v>
      </c>
      <c r="F253" s="115">
        <v>421</v>
      </c>
      <c r="O253" s="116"/>
      <c r="P253" s="36">
        <v>4</v>
      </c>
      <c r="R253" s="117">
        <f t="shared" si="35"/>
        <v>0</v>
      </c>
      <c r="S253" s="118"/>
      <c r="T253" s="117">
        <f t="shared" si="36"/>
        <v>0</v>
      </c>
    </row>
    <row r="254" spans="1:28">
      <c r="A254" s="114"/>
      <c r="B254" s="559">
        <v>56</v>
      </c>
      <c r="C254" s="6" t="s">
        <v>73</v>
      </c>
      <c r="D254" s="119" t="s">
        <v>131</v>
      </c>
      <c r="F254" s="115">
        <v>970</v>
      </c>
      <c r="O254" s="116"/>
      <c r="P254" s="36">
        <v>4</v>
      </c>
      <c r="R254" s="117">
        <f t="shared" si="35"/>
        <v>0</v>
      </c>
      <c r="S254" s="118"/>
      <c r="T254" s="117">
        <f t="shared" si="36"/>
        <v>0</v>
      </c>
    </row>
    <row r="255" spans="1:28" ht="13.8" thickBot="1">
      <c r="A255" s="120"/>
      <c r="B255" s="121"/>
      <c r="C255" s="122"/>
      <c r="D255" s="123"/>
      <c r="E255" s="124"/>
      <c r="F255" s="125"/>
      <c r="G255" s="124"/>
      <c r="H255" s="124"/>
      <c r="I255" s="124"/>
      <c r="J255" s="124"/>
      <c r="K255" s="124"/>
      <c r="L255" s="124"/>
      <c r="M255" s="124"/>
      <c r="N255" s="124"/>
      <c r="O255" s="126"/>
      <c r="P255" s="124"/>
      <c r="Q255" s="124"/>
      <c r="R255" s="127"/>
      <c r="S255" s="128"/>
      <c r="T255" s="127"/>
      <c r="U255" s="124"/>
      <c r="V255" s="124"/>
      <c r="W255" s="124"/>
      <c r="X255" s="124"/>
      <c r="Y255" s="124"/>
      <c r="Z255" s="124"/>
      <c r="AA255" s="124"/>
      <c r="AB255" s="124"/>
    </row>
    <row r="256" spans="1:28" ht="13.8" thickTop="1">
      <c r="A256" s="114"/>
      <c r="B256" s="129"/>
      <c r="C256" s="6" t="s">
        <v>73</v>
      </c>
      <c r="D256" s="130"/>
      <c r="F256" s="131" t="s">
        <v>160</v>
      </c>
      <c r="G256" s="132"/>
      <c r="H256" s="36">
        <v>1</v>
      </c>
      <c r="O256" s="116"/>
      <c r="R256" s="117">
        <f>SUMIF($P187:$P254,1,R187:R254)</f>
        <v>0</v>
      </c>
      <c r="T256" s="117">
        <f>SUMIF($P187:$P254,1,T187:T254)</f>
        <v>0</v>
      </c>
    </row>
    <row r="257" spans="1:28">
      <c r="A257" s="114"/>
      <c r="B257" s="129"/>
      <c r="C257" s="6" t="s">
        <v>73</v>
      </c>
      <c r="D257" s="130"/>
      <c r="F257" s="131" t="s">
        <v>161</v>
      </c>
      <c r="G257" s="132"/>
      <c r="H257" s="36">
        <v>2</v>
      </c>
      <c r="O257" s="116"/>
      <c r="R257" s="117">
        <f>SUMIF($P187:$P254,2,R187:R254)</f>
        <v>0</v>
      </c>
      <c r="T257" s="117">
        <f>SUMIF($P187:$P254,2,T187:T254)</f>
        <v>0</v>
      </c>
    </row>
    <row r="258" spans="1:28">
      <c r="A258" s="114"/>
      <c r="B258" s="129"/>
      <c r="C258" s="6" t="s">
        <v>73</v>
      </c>
      <c r="D258" s="130"/>
      <c r="F258" s="131" t="s">
        <v>162</v>
      </c>
      <c r="G258" s="132"/>
      <c r="H258" s="36">
        <v>2</v>
      </c>
      <c r="O258" s="116"/>
      <c r="R258" s="117">
        <f>SUMIF($P187:$P254,3,R187:R254)</f>
        <v>0</v>
      </c>
      <c r="T258" s="117">
        <f>SUMIF($P187:$P254,3,T187:T254)</f>
        <v>0</v>
      </c>
    </row>
    <row r="259" spans="1:28">
      <c r="A259" s="114"/>
      <c r="B259" s="129"/>
      <c r="C259" s="6" t="s">
        <v>73</v>
      </c>
      <c r="D259" s="130"/>
      <c r="F259" s="131" t="s">
        <v>163</v>
      </c>
      <c r="G259" s="132"/>
      <c r="H259" s="36">
        <v>3</v>
      </c>
      <c r="O259" s="116"/>
      <c r="R259" s="117">
        <f>SUMIF($P187:$P254,4,R187:R254)</f>
        <v>0</v>
      </c>
      <c r="T259" s="117">
        <f>SUMIF($P187:$P254,4,T187:T254)</f>
        <v>0</v>
      </c>
    </row>
    <row r="260" spans="1:28" ht="13.8" thickBot="1">
      <c r="A260" s="120"/>
      <c r="B260" s="133"/>
      <c r="C260" s="122" t="s">
        <v>73</v>
      </c>
      <c r="D260" s="134"/>
      <c r="E260" s="124"/>
      <c r="F260" s="135" t="s">
        <v>164</v>
      </c>
      <c r="G260" s="136"/>
      <c r="H260" s="137"/>
      <c r="I260" s="137"/>
      <c r="J260" s="137"/>
      <c r="K260" s="137"/>
      <c r="L260" s="137"/>
      <c r="M260" s="137"/>
      <c r="N260" s="137"/>
      <c r="O260" s="138"/>
      <c r="P260" s="137"/>
      <c r="Q260" s="137"/>
      <c r="R260" s="139">
        <f>SUM(R256:R259)</f>
        <v>0</v>
      </c>
      <c r="S260" s="140"/>
      <c r="T260" s="139">
        <f>SUM(T256:T259)</f>
        <v>0</v>
      </c>
      <c r="U260" s="124"/>
      <c r="V260" s="124"/>
      <c r="W260" s="124"/>
      <c r="X260" s="124"/>
      <c r="Y260" s="124"/>
      <c r="Z260" s="124"/>
      <c r="AA260" s="124"/>
      <c r="AB260" s="124"/>
    </row>
    <row r="261"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99"/>
  <sheetViews>
    <sheetView topLeftCell="E1" workbookViewId="0">
      <selection activeCell="T3" sqref="T3"/>
    </sheetView>
  </sheetViews>
  <sheetFormatPr defaultColWidth="9.109375" defaultRowHeight="13.8"/>
  <cols>
    <col min="1" max="1" width="6.6640625" style="36" customWidth="1"/>
    <col min="2" max="2" width="5.6640625" style="36" customWidth="1"/>
    <col min="3" max="3" width="3.8867187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6"/>
      <c r="B1" s="563" t="s">
        <v>0</v>
      </c>
      <c r="C1" s="564">
        <f>ML_Sum!$C1</f>
        <v>1</v>
      </c>
      <c r="D1" s="565" t="str">
        <f>ML_Sum!$D1</f>
        <v>UMUT - Electrical Team</v>
      </c>
      <c r="E1" s="566"/>
      <c r="F1" s="567">
        <f>ML_Sum!$F1</f>
        <v>0</v>
      </c>
      <c r="G1" s="608"/>
      <c r="H1"/>
      <c r="I1" s="327">
        <v>1</v>
      </c>
      <c r="J1" s="328">
        <f>ML_Sum!$J1</f>
        <v>1</v>
      </c>
      <c r="K1" s="328">
        <f>ML_Sum!$K1</f>
        <v>1</v>
      </c>
      <c r="L1" s="328">
        <f>ML_Sum!$L1</f>
        <v>1</v>
      </c>
      <c r="M1" s="328">
        <f>ML_Sum!$M1</f>
        <v>1</v>
      </c>
      <c r="N1" s="328">
        <f>ML_Sum!$N1</f>
        <v>1</v>
      </c>
      <c r="O1" s="328">
        <f>ML_Sum!$O1</f>
        <v>1</v>
      </c>
      <c r="P1"/>
      <c r="Q1" s="398" t="str">
        <f>ML_Sum!$Q1</f>
        <v>€</v>
      </c>
      <c r="R1" s="331" t="s">
        <v>1</v>
      </c>
      <c r="S1" s="397" t="str">
        <f>ML_Sum!$S1</f>
        <v>R</v>
      </c>
      <c r="T1" s="506">
        <f>ML_Sum!$T1</f>
        <v>1.1000000000000001</v>
      </c>
      <c r="U1" s="507" t="str">
        <f>ML_Sum!W1</f>
        <v>BOQ</v>
      </c>
      <c r="V1" s="508" t="s">
        <v>207</v>
      </c>
      <c r="W1" s="587" t="s">
        <v>197</v>
      </c>
      <c r="X1" s="509" t="s">
        <v>198</v>
      </c>
      <c r="Y1" s="588" t="s">
        <v>199</v>
      </c>
      <c r="Z1" s="510" t="s">
        <v>195</v>
      </c>
      <c r="AA1" s="510" t="s">
        <v>200</v>
      </c>
      <c r="AB1" s="587" t="s">
        <v>201</v>
      </c>
      <c r="AG1" s="605"/>
      <c r="AH1" s="605"/>
      <c r="AI1" s="605"/>
      <c r="AJ1" s="605"/>
      <c r="AK1" s="606"/>
    </row>
    <row r="2" spans="1:42" s="32" customFormat="1">
      <c r="A2" s="562"/>
      <c r="B2" s="563" t="s">
        <v>2</v>
      </c>
      <c r="C2" s="564">
        <f>ML_Sum!$C2</f>
        <v>1</v>
      </c>
      <c r="D2" s="565" t="str">
        <f>ML_Sum!$D2</f>
        <v>Portomaso L4 Dampers</v>
      </c>
      <c r="E2" s="569"/>
      <c r="F2" s="567" t="str">
        <f>ML_Sum!$F2</f>
        <v>Electrical Site Pair</v>
      </c>
      <c r="G2" s="568"/>
      <c r="H2"/>
      <c r="I2" s="327">
        <v>2</v>
      </c>
      <c r="J2" s="328">
        <f>ML_Sum!$J2</f>
        <v>1</v>
      </c>
      <c r="K2" s="328">
        <f>ML_Sum!$K2</f>
        <v>1</v>
      </c>
      <c r="L2" s="328">
        <f>ML_Sum!$L2</f>
        <v>1</v>
      </c>
      <c r="M2" s="328">
        <f>ML_Sum!$M2</f>
        <v>1</v>
      </c>
      <c r="N2" s="328">
        <f>ML_Sum!$N2</f>
        <v>1</v>
      </c>
      <c r="O2" s="328">
        <f>ML_Sum!$O2</f>
        <v>1</v>
      </c>
      <c r="P2"/>
      <c r="Q2" s="404">
        <f>ML_Sum!$Q2</f>
        <v>0</v>
      </c>
      <c r="R2" s="18" t="s">
        <v>3</v>
      </c>
      <c r="S2" s="405">
        <f>ML_Sum!$S2</f>
        <v>1</v>
      </c>
      <c r="T2" s="406">
        <f>ML_Sum!$T2</f>
        <v>28.53</v>
      </c>
      <c r="V2" s="380"/>
      <c r="W2" s="380"/>
      <c r="X2" s="380"/>
      <c r="Y2" s="380"/>
      <c r="Z2" s="380"/>
      <c r="AA2" s="380"/>
      <c r="AB2" s="380"/>
    </row>
    <row r="3" spans="1:42" s="32" customFormat="1">
      <c r="A3" s="570"/>
      <c r="B3" s="571" t="s">
        <v>4</v>
      </c>
      <c r="C3" s="564">
        <f>ML_Sum!$C3</f>
        <v>1</v>
      </c>
      <c r="D3" s="565" t="str">
        <f>ML_Sum!$D3</f>
        <v>Damper for VAV boxes</v>
      </c>
      <c r="E3" s="570"/>
      <c r="F3" s="567" t="str">
        <f>ML_Sum!$F3</f>
        <v>ECA/BMS Pair</v>
      </c>
      <c r="G3" s="572"/>
      <c r="H3"/>
      <c r="I3" s="327">
        <v>3</v>
      </c>
      <c r="J3" s="328">
        <f>ML_Sum!$J3</f>
        <v>1</v>
      </c>
      <c r="K3" s="328">
        <f>ML_Sum!$K3</f>
        <v>1</v>
      </c>
      <c r="L3" s="328">
        <f>ML_Sum!$L3</f>
        <v>1</v>
      </c>
      <c r="M3" s="328">
        <f>ML_Sum!$M3</f>
        <v>1</v>
      </c>
      <c r="N3" s="328">
        <f>ML_Sum!$N3</f>
        <v>1</v>
      </c>
      <c r="O3" s="328">
        <f>ML_Sum!$O3</f>
        <v>1</v>
      </c>
      <c r="P3"/>
      <c r="Q3" s="404">
        <f>ML_Sum!$Q3</f>
        <v>0</v>
      </c>
      <c r="R3" s="19" t="s">
        <v>5</v>
      </c>
      <c r="S3" s="405">
        <f>ML_Sum!$S3</f>
        <v>1</v>
      </c>
      <c r="T3" s="406">
        <f>ML_Sum!$T3</f>
        <v>33.72</v>
      </c>
      <c r="V3" s="380"/>
      <c r="W3" s="380"/>
      <c r="X3" s="380"/>
      <c r="Y3" s="380"/>
      <c r="Z3" s="380"/>
      <c r="AA3" s="380"/>
      <c r="AB3" s="380"/>
    </row>
    <row r="4" spans="1:42" s="32" customFormat="1">
      <c r="A4" s="573"/>
      <c r="B4" s="563" t="s">
        <v>6</v>
      </c>
      <c r="C4" s="564">
        <f>ML_Sum!$C4</f>
        <v>1</v>
      </c>
      <c r="D4" s="565" t="str">
        <f>ML_Sum!$D4</f>
        <v>EL</v>
      </c>
      <c r="E4" s="570"/>
      <c r="F4" s="567" t="str">
        <f>ML_Sum!$F4</f>
        <v>ECA/BMS Engineer</v>
      </c>
      <c r="G4" s="572"/>
      <c r="H4"/>
      <c r="I4" s="327">
        <v>4</v>
      </c>
      <c r="J4" s="328">
        <f>ML_Sum!$J4</f>
        <v>1</v>
      </c>
      <c r="K4" s="328">
        <f>ML_Sum!$K4</f>
        <v>1</v>
      </c>
      <c r="L4" s="328">
        <f>ML_Sum!$L4</f>
        <v>1</v>
      </c>
      <c r="M4" s="328">
        <f>ML_Sum!$M4</f>
        <v>1</v>
      </c>
      <c r="N4" s="328">
        <f>ML_Sum!$N4</f>
        <v>1</v>
      </c>
      <c r="O4" s="328">
        <f>ML_Sum!$O4</f>
        <v>1</v>
      </c>
      <c r="P4"/>
      <c r="Q4" s="404">
        <f>ML_Sum!$Q4</f>
        <v>0</v>
      </c>
      <c r="R4" s="20" t="s">
        <v>8</v>
      </c>
      <c r="S4" s="405">
        <f>ML_Sum!$S4</f>
        <v>1</v>
      </c>
      <c r="T4" s="406">
        <f>ML_Sum!$T4</f>
        <v>31</v>
      </c>
      <c r="V4" s="380"/>
      <c r="W4" s="380"/>
      <c r="X4" s="380"/>
      <c r="Y4" s="380"/>
      <c r="Z4" s="380"/>
      <c r="AA4" s="380"/>
      <c r="AB4" s="380"/>
    </row>
    <row r="5" spans="1:42" s="32" customFormat="1">
      <c r="A5" s="573"/>
      <c r="B5" s="563" t="s">
        <v>209</v>
      </c>
      <c r="C5" s="564">
        <f>ML_Sum!$C5</f>
        <v>1</v>
      </c>
      <c r="D5" s="565">
        <f>ML_Sum!$D5</f>
        <v>0</v>
      </c>
      <c r="E5" s="570"/>
      <c r="F5" s="567" t="str">
        <f>ML_Sum!$F5</f>
        <v>BMS - Tech - Single</v>
      </c>
      <c r="G5" s="574"/>
      <c r="H5"/>
      <c r="I5" s="327">
        <v>5</v>
      </c>
      <c r="J5" s="328">
        <f>ML_Sum!$J5</f>
        <v>1</v>
      </c>
      <c r="K5" s="328">
        <f>ML_Sum!$K5</f>
        <v>1</v>
      </c>
      <c r="L5" s="328">
        <f>ML_Sum!$L5</f>
        <v>1</v>
      </c>
      <c r="M5" s="328">
        <f>ML_Sum!$M5</f>
        <v>1</v>
      </c>
      <c r="N5" s="328">
        <f>ML_Sum!$N5</f>
        <v>1</v>
      </c>
      <c r="O5" s="328">
        <f>ML_Sum!$O5</f>
        <v>1</v>
      </c>
      <c r="P5"/>
      <c r="Q5" s="404">
        <f>ML_Sum!$Q5</f>
        <v>0</v>
      </c>
      <c r="R5" s="21" t="s">
        <v>10</v>
      </c>
      <c r="S5" s="405">
        <f>ML_Sum!$S5</f>
        <v>1</v>
      </c>
      <c r="T5" s="406">
        <f>ML_Sum!$T5</f>
        <v>21.44</v>
      </c>
      <c r="V5" s="380"/>
      <c r="W5" s="380"/>
      <c r="X5" s="380"/>
      <c r="Y5" s="380"/>
      <c r="Z5" s="380"/>
      <c r="AA5" s="380"/>
      <c r="AB5" s="380"/>
    </row>
    <row r="6" spans="1:42" s="32" customFormat="1">
      <c r="A6"/>
      <c r="B6" s="571" t="s">
        <v>9</v>
      </c>
      <c r="C6" s="564">
        <f>ML_Sum!$C6</f>
        <v>1</v>
      </c>
      <c r="D6" s="565" t="str">
        <f>ML_Sum!$D6</f>
        <v>VAT EXCL.</v>
      </c>
      <c r="E6"/>
      <c r="F6" s="567" t="str">
        <f>ML_Sum!$F6</f>
        <v>Edward/Mark + AGV</v>
      </c>
      <c r="G6" s="574"/>
      <c r="H6"/>
      <c r="I6" s="327">
        <v>6</v>
      </c>
      <c r="J6" s="328">
        <f>ML_Sum!$J6</f>
        <v>1</v>
      </c>
      <c r="K6" s="328">
        <f>ML_Sum!$K6</f>
        <v>1</v>
      </c>
      <c r="L6" s="328">
        <f>ML_Sum!$L6</f>
        <v>1</v>
      </c>
      <c r="M6" s="328">
        <f>ML_Sum!$M6</f>
        <v>1</v>
      </c>
      <c r="N6" s="328">
        <f>ML_Sum!$N6</f>
        <v>1</v>
      </c>
      <c r="O6" s="328">
        <f>ML_Sum!$O6</f>
        <v>1</v>
      </c>
      <c r="P6"/>
      <c r="Q6" s="404">
        <f>ML_Sum!$Q6</f>
        <v>0</v>
      </c>
      <c r="R6" s="22" t="s">
        <v>11</v>
      </c>
      <c r="S6" s="405">
        <f>ML_Sum!$S6</f>
        <v>1</v>
      </c>
      <c r="T6" s="406">
        <f>ML_Sum!$T6</f>
        <v>33.72</v>
      </c>
      <c r="V6" s="380"/>
      <c r="W6" s="380"/>
      <c r="X6" s="380"/>
      <c r="Y6" s="380"/>
      <c r="Z6" s="380"/>
      <c r="AA6" s="380"/>
      <c r="AB6" s="380"/>
    </row>
    <row r="7" spans="1:42" s="32" customFormat="1">
      <c r="A7" s="562"/>
      <c r="B7" s="571" t="s">
        <v>12</v>
      </c>
      <c r="C7" s="564">
        <f>ML_Sum!$C7</f>
        <v>1</v>
      </c>
      <c r="D7" s="575">
        <v>39364</v>
      </c>
      <c r="E7" s="576"/>
      <c r="F7" s="567">
        <f>ML_Sum!$F7</f>
        <v>0</v>
      </c>
      <c r="G7" s="577"/>
      <c r="H7"/>
      <c r="I7" s="327">
        <v>7</v>
      </c>
      <c r="J7" s="328">
        <f>ML_Sum!$J7</f>
        <v>1</v>
      </c>
      <c r="K7" s="328">
        <f>ML_Sum!$K7</f>
        <v>1</v>
      </c>
      <c r="L7" s="328">
        <f>ML_Sum!$L7</f>
        <v>1</v>
      </c>
      <c r="M7" s="328">
        <f>ML_Sum!$M7</f>
        <v>1</v>
      </c>
      <c r="N7" s="328">
        <f>ML_Sum!$N7</f>
        <v>1</v>
      </c>
      <c r="O7" s="328">
        <f>ML_Sum!$O7</f>
        <v>0</v>
      </c>
      <c r="P7"/>
      <c r="Q7" s="404">
        <f>ML_Sum!$Q7</f>
        <v>0</v>
      </c>
      <c r="R7" s="23" t="s">
        <v>13</v>
      </c>
      <c r="S7" s="405">
        <f>ML_Sum!$S7</f>
        <v>0</v>
      </c>
      <c r="T7" s="406">
        <f>ML_Sum!$T7</f>
        <v>0</v>
      </c>
      <c r="V7" s="380"/>
      <c r="W7" s="380"/>
      <c r="X7" s="380"/>
      <c r="Y7" s="380"/>
      <c r="Z7" s="380"/>
      <c r="AA7" s="380"/>
      <c r="AB7" s="380"/>
    </row>
    <row r="8" spans="1:42" s="32" customFormat="1">
      <c r="A8" s="573"/>
      <c r="B8" s="571" t="s">
        <v>14</v>
      </c>
      <c r="C8" s="564">
        <f>ML_Sum!$C8</f>
        <v>1</v>
      </c>
      <c r="D8" s="565" t="str">
        <f>ML_Sum!$D8</f>
        <v>G. Baranyay</v>
      </c>
      <c r="E8" s="570"/>
      <c r="F8" s="567">
        <f>ML_Sum!$F8</f>
        <v>0</v>
      </c>
      <c r="G8" s="578"/>
      <c r="H8"/>
      <c r="I8" s="327">
        <v>8</v>
      </c>
      <c r="J8" s="328">
        <f>ML_Sum!$J8</f>
        <v>1</v>
      </c>
      <c r="K8" s="328">
        <f>ML_Sum!$K8</f>
        <v>1</v>
      </c>
      <c r="L8" s="328">
        <f>ML_Sum!$L8</f>
        <v>1</v>
      </c>
      <c r="M8" s="328">
        <f>ML_Sum!$M8</f>
        <v>1</v>
      </c>
      <c r="N8" s="328">
        <f>ML_Sum!$N8</f>
        <v>1</v>
      </c>
      <c r="O8" s="328">
        <f>ML_Sum!$O8</f>
        <v>0</v>
      </c>
      <c r="P8"/>
      <c r="Q8" s="404">
        <f>ML_Sum!$Q8</f>
        <v>0</v>
      </c>
      <c r="R8" s="24" t="s">
        <v>15</v>
      </c>
      <c r="S8" s="405">
        <f>ML_Sum!$S8</f>
        <v>0</v>
      </c>
      <c r="T8" s="406">
        <f>ML_Sum!$T8</f>
        <v>0</v>
      </c>
      <c r="V8" s="380"/>
      <c r="W8" s="380"/>
      <c r="X8" s="380"/>
      <c r="Y8" s="380"/>
      <c r="Z8" s="380"/>
      <c r="AA8" s="380"/>
      <c r="AB8" s="380"/>
    </row>
    <row r="9" spans="1:42" s="32" customFormat="1">
      <c r="A9" s="573"/>
      <c r="B9" s="571" t="s">
        <v>301</v>
      </c>
      <c r="C9" s="564">
        <f>ML_Sum!$C9</f>
        <v>1</v>
      </c>
      <c r="D9" s="565">
        <f>ML_Sum!$D9</f>
        <v>28.53</v>
      </c>
      <c r="E9" s="570"/>
      <c r="F9" s="567">
        <f>ML_Sum!$F9</f>
        <v>0</v>
      </c>
      <c r="G9" s="578"/>
      <c r="H9"/>
      <c r="I9" s="327">
        <v>9</v>
      </c>
      <c r="J9" s="328">
        <f>ML_Sum!$J9</f>
        <v>1</v>
      </c>
      <c r="K9" s="328">
        <f>ML_Sum!$K9</f>
        <v>1</v>
      </c>
      <c r="L9" s="328">
        <f>ML_Sum!$L9</f>
        <v>1</v>
      </c>
      <c r="M9" s="328">
        <f>ML_Sum!$M9</f>
        <v>1</v>
      </c>
      <c r="N9" s="328">
        <f>ML_Sum!$N9</f>
        <v>1</v>
      </c>
      <c r="O9" s="328">
        <f>ML_Sum!$O9</f>
        <v>0</v>
      </c>
      <c r="P9"/>
      <c r="Q9" s="404">
        <f>ML_Sum!$Q9</f>
        <v>0</v>
      </c>
      <c r="R9" s="25" t="s">
        <v>16</v>
      </c>
      <c r="S9" s="405">
        <f>ML_Sum!$S9</f>
        <v>0</v>
      </c>
      <c r="T9" s="406">
        <f>ML_Sum!$T9</f>
        <v>0</v>
      </c>
      <c r="V9" s="380"/>
      <c r="W9" s="380"/>
      <c r="X9" s="380"/>
      <c r="Y9" s="380"/>
      <c r="Z9" s="380"/>
      <c r="AA9" s="380"/>
      <c r="AB9" s="380"/>
    </row>
    <row r="10" spans="1:42" s="32" customFormat="1">
      <c r="A10" s="573"/>
      <c r="B10" s="562"/>
      <c r="C10" s="564">
        <f>ML_Sum!$C10</f>
        <v>1</v>
      </c>
      <c r="D10" s="562"/>
      <c r="E10" s="570"/>
      <c r="F10" s="567">
        <f>ML_Sum!$F10</f>
        <v>0</v>
      </c>
      <c r="G10" s="578"/>
      <c r="H10"/>
      <c r="I10" s="327">
        <v>10</v>
      </c>
      <c r="J10" s="328">
        <f>ML_Sum!$J10</f>
        <v>1</v>
      </c>
      <c r="K10" s="328">
        <f>ML_Sum!$K10</f>
        <v>1</v>
      </c>
      <c r="L10" s="328">
        <f>ML_Sum!$L10</f>
        <v>1</v>
      </c>
      <c r="M10" s="328">
        <f>ML_Sum!$M10</f>
        <v>1</v>
      </c>
      <c r="N10" s="328">
        <f>ML_Sum!$N10</f>
        <v>1</v>
      </c>
      <c r="O10" s="328">
        <f>ML_Sum!$O10</f>
        <v>1</v>
      </c>
      <c r="P10"/>
      <c r="Q10" s="404">
        <f>ML_Sum!$Q10</f>
        <v>0</v>
      </c>
      <c r="R10" s="26" t="s">
        <v>17</v>
      </c>
      <c r="S10" s="405">
        <f>ML_Sum!$S10</f>
        <v>0</v>
      </c>
      <c r="T10" s="406">
        <f>ML_Sum!$T10</f>
        <v>0</v>
      </c>
      <c r="V10" s="380"/>
      <c r="W10" s="380"/>
      <c r="X10" s="380"/>
      <c r="Y10" s="380"/>
      <c r="Z10" s="380"/>
      <c r="AA10" s="380"/>
      <c r="AB10" s="380"/>
    </row>
    <row r="11" spans="1:42" s="32" customFormat="1">
      <c r="A11" s="573"/>
      <c r="B11" s="562"/>
      <c r="C11" s="564">
        <f>ML_Sum!$C11</f>
        <v>1</v>
      </c>
      <c r="D11" s="562"/>
      <c r="E11" s="570"/>
      <c r="F11" s="567">
        <f>ML_Sum!$F11</f>
        <v>0</v>
      </c>
      <c r="G11" s="578"/>
      <c r="H11" s="578"/>
      <c r="I11" s="562"/>
      <c r="J11" s="562"/>
      <c r="K11" s="562"/>
      <c r="L11" s="562"/>
      <c r="M11" s="562"/>
      <c r="N11" s="562"/>
      <c r="O11" s="562"/>
      <c r="P11" s="578"/>
      <c r="Q11" s="404">
        <f>ML_Sum!$Q11</f>
        <v>0</v>
      </c>
      <c r="R11" s="27" t="s">
        <v>18</v>
      </c>
      <c r="S11" s="405">
        <f>ML_Sum!$S11</f>
        <v>0</v>
      </c>
      <c r="T11" s="406">
        <f>ML_Sum!$T11</f>
        <v>0</v>
      </c>
      <c r="V11" s="380"/>
      <c r="W11" s="380"/>
      <c r="X11" s="380"/>
      <c r="Y11" s="380"/>
      <c r="Z11" s="380"/>
      <c r="AA11" s="380"/>
      <c r="AB11" s="380"/>
    </row>
    <row r="12" spans="1:42" s="32" customFormat="1" ht="14.4" thickBot="1">
      <c r="A12" s="573"/>
      <c r="B12" s="562"/>
      <c r="C12" s="564">
        <f>ML_Sum!$C12</f>
        <v>1</v>
      </c>
      <c r="D12" s="562"/>
      <c r="E12" s="570"/>
      <c r="F12" s="567">
        <f>ML_Sum!$F12</f>
        <v>0</v>
      </c>
      <c r="G12" s="578"/>
      <c r="H12" s="578"/>
      <c r="I12" s="562"/>
      <c r="J12" s="562"/>
      <c r="K12" s="562"/>
      <c r="L12" s="562"/>
      <c r="M12" s="562"/>
      <c r="N12" s="562"/>
      <c r="O12" s="562"/>
      <c r="P12" s="578"/>
      <c r="Q12" s="404">
        <f>ML_Sum!$Q12</f>
        <v>0</v>
      </c>
      <c r="R12" s="454" t="s">
        <v>231</v>
      </c>
      <c r="S12" s="405" t="str">
        <f>ML_Sum!$S12</f>
        <v>MAT MU</v>
      </c>
      <c r="T12" s="406" t="str">
        <f>ML_Sum!$T12</f>
        <v>LAB RATE</v>
      </c>
      <c r="V12" s="380"/>
      <c r="W12" s="380"/>
      <c r="X12" s="380"/>
      <c r="Y12" s="380"/>
      <c r="Z12" s="380"/>
      <c r="AA12" s="380"/>
      <c r="AB12" s="380"/>
    </row>
    <row r="13" spans="1:42" s="32" customFormat="1" ht="14.4" thickBot="1">
      <c r="A13" s="579"/>
      <c r="B13" s="580"/>
      <c r="C13" s="581"/>
      <c r="D13" s="582"/>
      <c r="E13" s="583"/>
      <c r="F13" s="584"/>
      <c r="G13" s="585" t="s">
        <v>142</v>
      </c>
      <c r="H13" s="585" t="s">
        <v>20</v>
      </c>
      <c r="I13" s="585" t="s">
        <v>21</v>
      </c>
      <c r="J13" s="585" t="s">
        <v>22</v>
      </c>
      <c r="K13" s="585" t="s">
        <v>23</v>
      </c>
      <c r="L13" s="585" t="s">
        <v>24</v>
      </c>
      <c r="M13" s="585" t="s">
        <v>25</v>
      </c>
      <c r="N13" s="585" t="s">
        <v>26</v>
      </c>
      <c r="O13" s="585" t="s">
        <v>27</v>
      </c>
      <c r="P13" s="585" t="s">
        <v>28</v>
      </c>
      <c r="Q13" s="28" t="s">
        <v>226</v>
      </c>
      <c r="R13" s="29" t="s">
        <v>30</v>
      </c>
      <c r="S13" s="30" t="s">
        <v>31</v>
      </c>
      <c r="T13" s="31" t="s">
        <v>32</v>
      </c>
      <c r="V13" s="380"/>
      <c r="W13" s="380"/>
      <c r="X13" s="380"/>
      <c r="Y13" s="380"/>
      <c r="Z13" s="380"/>
      <c r="AA13" s="380"/>
      <c r="AB13" s="380"/>
      <c r="AG13"/>
      <c r="AH13"/>
      <c r="AI13"/>
      <c r="AJ13"/>
      <c r="AK13"/>
      <c r="AM13" s="609" t="s">
        <v>297</v>
      </c>
      <c r="AN13" s="613" t="s">
        <v>312</v>
      </c>
      <c r="AO13" s="613" t="s">
        <v>298</v>
      </c>
      <c r="AP13" s="610" t="s">
        <v>295</v>
      </c>
    </row>
    <row r="14" spans="1:42" s="33" customFormat="1" ht="13.2">
      <c r="C14" s="34"/>
      <c r="D14" s="34"/>
      <c r="K14" s="33" t="s">
        <v>134</v>
      </c>
      <c r="O14" s="35"/>
    </row>
    <row r="15" spans="1:42" s="33" customFormat="1" ht="12">
      <c r="C15" s="33" t="s">
        <v>135</v>
      </c>
      <c r="D15" s="37" t="s">
        <v>136</v>
      </c>
      <c r="O15" s="35"/>
    </row>
    <row r="16" spans="1:42" s="33" customFormat="1" ht="12">
      <c r="D16" s="37" t="s">
        <v>302</v>
      </c>
      <c r="O16" s="35"/>
      <c r="S16" s="38"/>
      <c r="T16" s="38"/>
    </row>
    <row r="17" spans="1:42" s="34" customFormat="1" thickBot="1">
      <c r="A17" s="39"/>
      <c r="O17" s="40"/>
    </row>
    <row r="18" spans="1:42" s="619"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0" t="s">
        <v>286</v>
      </c>
      <c r="AH18" s="620" t="s">
        <v>287</v>
      </c>
      <c r="AI18" s="620" t="s">
        <v>288</v>
      </c>
      <c r="AJ18" s="620" t="s">
        <v>289</v>
      </c>
      <c r="AK18" s="620" t="s">
        <v>290</v>
      </c>
      <c r="AM18" s="611" t="s">
        <v>299</v>
      </c>
      <c r="AN18" s="612" t="s">
        <v>313</v>
      </c>
      <c r="AO18" s="612" t="s">
        <v>300</v>
      </c>
      <c r="AP18" s="621" t="s">
        <v>296</v>
      </c>
    </row>
    <row r="19" spans="1:42" s="619" customFormat="1" ht="12" customHeight="1">
      <c r="A19" s="622">
        <v>1</v>
      </c>
      <c r="B19" s="623" t="s">
        <v>141</v>
      </c>
      <c r="C19" s="624"/>
      <c r="D19" s="625" t="s">
        <v>531</v>
      </c>
      <c r="E19" s="923">
        <f>IF(AND($A19=0,$A$1="DIF"),0, ROUND(ROUND(($R27*$S$3+($T27*$T$3))/$A19,2)*$C$3,2))</f>
        <v>262.73</v>
      </c>
      <c r="F19" s="924">
        <f>ROUND($A19*$E19,2)</f>
        <v>262.73</v>
      </c>
      <c r="G19" s="628" t="s">
        <v>142</v>
      </c>
      <c r="H19" s="616"/>
      <c r="I19" s="629"/>
      <c r="J19" s="616"/>
      <c r="K19" s="616" t="s">
        <v>5</v>
      </c>
      <c r="L19" s="630" t="s">
        <v>143</v>
      </c>
      <c r="M19" s="630"/>
      <c r="N19" s="630"/>
      <c r="O19" s="630"/>
      <c r="P19" s="630"/>
      <c r="Q19" s="64"/>
      <c r="T19" s="928" t="str">
        <f>IF(AND($R27=0,$T27=0),"0.00","mu: "&amp; ROUND(F19/$C$3/($R27+$T27*$D$9),2))</f>
        <v>mu: 1.06</v>
      </c>
      <c r="W19" s="632"/>
      <c r="AG19" s="925">
        <f>IF($E19=0,0,ROUND($R27*$S$3*$C$3/$A19,2))</f>
        <v>170</v>
      </c>
      <c r="AH19" s="925">
        <f>$AG19*$A19</f>
        <v>170</v>
      </c>
      <c r="AI19" s="926">
        <f>$E19-$AG19</f>
        <v>92.730000000000018</v>
      </c>
      <c r="AJ19" s="926">
        <f>$A19*$AI19</f>
        <v>92.730000000000018</v>
      </c>
      <c r="AK19" s="927">
        <f>ROUND(($AG19+$AI19)*$A19,2)</f>
        <v>262.73</v>
      </c>
      <c r="AM19" s="635">
        <f>ROUND(R27,2)</f>
        <v>170</v>
      </c>
      <c r="AN19" s="636">
        <f>IF(A19=0,0,AO19/A19)</f>
        <v>2.75</v>
      </c>
      <c r="AO19" s="636">
        <f>ROUND(T27,2)</f>
        <v>2.75</v>
      </c>
      <c r="AP19" s="637">
        <f>ROUND(AM19+AO19,2)*A19</f>
        <v>172.75</v>
      </c>
    </row>
    <row r="20" spans="1:42" s="619" customFormat="1" ht="13.2">
      <c r="A20" s="624"/>
      <c r="B20"/>
      <c r="C20" s="624"/>
      <c r="D20" s="625" t="s">
        <v>532</v>
      </c>
      <c r="F20" s="616"/>
      <c r="G20" s="3"/>
      <c r="H20" s="616"/>
      <c r="I20" s="629"/>
      <c r="J20" s="616"/>
      <c r="K20" s="616" t="s">
        <v>144</v>
      </c>
      <c r="L20" s="616"/>
      <c r="M20" s="616"/>
      <c r="N20" s="616"/>
      <c r="O20" s="616"/>
      <c r="P20" s="616"/>
      <c r="Q20" s="64"/>
      <c r="R20" s="638"/>
      <c r="S20" s="639"/>
      <c r="T20" s="616"/>
    </row>
    <row r="21" spans="1:42" s="619" customFormat="1" ht="12">
      <c r="A21" s="64"/>
      <c r="B21" s="615"/>
      <c r="C21" s="615"/>
      <c r="D21" s="615"/>
      <c r="E21" s="615"/>
      <c r="F21" s="616"/>
      <c r="G21" s="615"/>
      <c r="H21" s="615"/>
      <c r="I21" s="617"/>
      <c r="J21" s="615"/>
      <c r="K21" s="615"/>
      <c r="L21" s="615"/>
      <c r="M21" s="615"/>
      <c r="N21" s="615"/>
      <c r="O21" s="615"/>
      <c r="P21" s="615"/>
      <c r="Q21" s="617"/>
      <c r="R21" s="640">
        <f t="shared" ref="R21:R26" si="0">$A21*Q21</f>
        <v>0</v>
      </c>
      <c r="S21" s="617"/>
      <c r="T21" s="618">
        <f t="shared" ref="T21:T26" si="1">$A21*S21*$T$1</f>
        <v>0</v>
      </c>
    </row>
    <row r="22" spans="1:42" s="755" customFormat="1" ht="13.2">
      <c r="A22">
        <v>1</v>
      </c>
      <c r="B22" s="755" t="s">
        <v>141</v>
      </c>
      <c r="D22" s="755" t="s">
        <v>519</v>
      </c>
      <c r="E22" s="755" t="s">
        <v>521</v>
      </c>
      <c r="F22" s="755" t="s">
        <v>520</v>
      </c>
      <c r="G22" s="756" t="s">
        <v>318</v>
      </c>
      <c r="H22" s="757">
        <v>416</v>
      </c>
      <c r="I22" s="755" t="s">
        <v>319</v>
      </c>
      <c r="O22" s="758">
        <v>3</v>
      </c>
      <c r="P22" s="759"/>
      <c r="Q22" s="760">
        <f>135+20</f>
        <v>155</v>
      </c>
      <c r="R22" s="761">
        <f>$A22*Q22</f>
        <v>155</v>
      </c>
      <c r="S22" s="760"/>
      <c r="T22" s="762">
        <f>$A22*S22*$T$1</f>
        <v>0</v>
      </c>
    </row>
    <row r="23" spans="1:42" s="619" customFormat="1" ht="12">
      <c r="A23" s="64"/>
      <c r="B23" s="615"/>
      <c r="C23" s="615"/>
      <c r="D23" s="755" t="s">
        <v>522</v>
      </c>
      <c r="E23" s="615"/>
      <c r="F23" s="616"/>
      <c r="G23" s="615"/>
      <c r="H23" s="615"/>
      <c r="I23" s="617"/>
      <c r="J23" s="615"/>
      <c r="K23" s="615"/>
      <c r="L23" s="615"/>
      <c r="M23" s="615"/>
      <c r="N23" s="615"/>
      <c r="O23" s="615"/>
      <c r="P23" s="615"/>
      <c r="Q23" s="617"/>
      <c r="R23" s="640">
        <f t="shared" si="0"/>
        <v>0</v>
      </c>
      <c r="S23" s="617"/>
      <c r="T23" s="618">
        <f t="shared" si="1"/>
        <v>0</v>
      </c>
    </row>
    <row r="24" spans="1:42" s="755" customFormat="1" ht="13.2">
      <c r="A24">
        <v>1</v>
      </c>
      <c r="B24" s="755" t="s">
        <v>141</v>
      </c>
      <c r="D24" s="755" t="s">
        <v>527</v>
      </c>
      <c r="G24" s="756" t="s">
        <v>318</v>
      </c>
      <c r="H24" s="757">
        <v>421</v>
      </c>
      <c r="I24" s="755" t="s">
        <v>319</v>
      </c>
      <c r="O24" s="758">
        <v>3</v>
      </c>
      <c r="P24" s="759"/>
      <c r="Q24" s="760">
        <v>15</v>
      </c>
      <c r="R24" s="761">
        <f>$A24*Q24</f>
        <v>15</v>
      </c>
      <c r="S24" s="760">
        <v>2.5</v>
      </c>
      <c r="T24" s="762">
        <f>$A24*S24*$T$1</f>
        <v>2.75</v>
      </c>
    </row>
    <row r="25" spans="1:42" s="619" customFormat="1" ht="12">
      <c r="A25" s="64"/>
      <c r="B25" s="615"/>
      <c r="C25" s="615"/>
      <c r="D25" s="615"/>
      <c r="E25" s="615"/>
      <c r="F25" s="616"/>
      <c r="G25" s="615"/>
      <c r="H25" s="615"/>
      <c r="I25" s="617"/>
      <c r="J25" s="615"/>
      <c r="K25" s="615"/>
      <c r="L25" s="615"/>
      <c r="M25" s="615"/>
      <c r="N25" s="615"/>
      <c r="O25" s="615"/>
      <c r="P25" s="615"/>
      <c r="Q25" s="617"/>
      <c r="R25" s="640">
        <f t="shared" si="0"/>
        <v>0</v>
      </c>
      <c r="S25" s="617"/>
      <c r="T25" s="618">
        <f t="shared" si="1"/>
        <v>0</v>
      </c>
    </row>
    <row r="26" spans="1:42" s="619" customFormat="1" ht="12">
      <c r="A26" s="615"/>
      <c r="B26" s="615"/>
      <c r="C26" s="615"/>
      <c r="D26" s="615"/>
      <c r="E26" s="615"/>
      <c r="F26" s="616"/>
      <c r="G26" s="615"/>
      <c r="H26" s="615"/>
      <c r="I26" s="617"/>
      <c r="J26" s="615"/>
      <c r="K26" s="615"/>
      <c r="L26" s="615"/>
      <c r="M26" s="615"/>
      <c r="N26" s="615"/>
      <c r="O26" s="615"/>
      <c r="P26" s="615"/>
      <c r="Q26" s="617"/>
      <c r="R26" s="640">
        <f t="shared" si="0"/>
        <v>0</v>
      </c>
      <c r="S26" s="617"/>
      <c r="T26" s="618">
        <f t="shared" si="1"/>
        <v>0</v>
      </c>
    </row>
    <row r="27" spans="1:42" s="619" customFormat="1" ht="12.6" thickBot="1">
      <c r="A27" s="641" t="s">
        <v>145</v>
      </c>
      <c r="B27" s="642">
        <f>(R26+T26)</f>
        <v>0</v>
      </c>
      <c r="C27" s="643"/>
      <c r="D27" s="643"/>
      <c r="E27" s="643"/>
      <c r="F27" s="644"/>
      <c r="G27" s="643" t="s">
        <v>146</v>
      </c>
      <c r="H27" s="643"/>
      <c r="I27" s="645"/>
      <c r="J27" s="643"/>
      <c r="K27" s="643" t="s">
        <v>5</v>
      </c>
      <c r="L27" s="646" t="s">
        <v>143</v>
      </c>
      <c r="M27" s="646"/>
      <c r="N27" s="646"/>
      <c r="O27" s="646"/>
      <c r="P27" s="646"/>
      <c r="Q27" s="647"/>
      <c r="R27" s="648">
        <f>SUM(R20:R26)</f>
        <v>170</v>
      </c>
      <c r="S27" s="643"/>
      <c r="T27" s="648">
        <f>SUM(T20:T26)</f>
        <v>2.75</v>
      </c>
      <c r="U27" s="649"/>
      <c r="V27" s="649"/>
      <c r="W27" s="649"/>
      <c r="X27" s="649"/>
      <c r="Y27" s="649"/>
      <c r="Z27" s="649"/>
      <c r="AA27" s="649"/>
      <c r="AB27" s="649"/>
      <c r="AC27" s="649"/>
      <c r="AD27" s="649"/>
      <c r="AE27" s="649"/>
      <c r="AF27" s="649"/>
      <c r="AG27" s="649"/>
      <c r="AH27" s="649"/>
      <c r="AI27" s="649"/>
      <c r="AJ27" s="649"/>
      <c r="AK27" s="649"/>
      <c r="AL27" s="649"/>
      <c r="AM27" s="649"/>
      <c r="AN27" s="649"/>
      <c r="AO27" s="649"/>
      <c r="AP27" s="649"/>
    </row>
    <row r="28" spans="1:42" s="619" customFormat="1" ht="12" thickTop="1">
      <c r="A28" s="64"/>
      <c r="B28" s="41"/>
      <c r="C28" s="64"/>
      <c r="E28" s="42" t="s">
        <v>138</v>
      </c>
      <c r="F28" s="42" t="s">
        <v>139</v>
      </c>
      <c r="G28" s="64"/>
      <c r="H28" s="64"/>
      <c r="I28" s="64"/>
      <c r="J28" s="64"/>
      <c r="K28" s="64" t="s">
        <v>140</v>
      </c>
      <c r="L28" s="64"/>
      <c r="M28" s="64"/>
      <c r="N28" s="64"/>
      <c r="O28" s="65"/>
      <c r="P28" s="64"/>
      <c r="Q28" s="64"/>
      <c r="R28" s="64"/>
      <c r="S28" s="64"/>
      <c r="T28" s="41"/>
      <c r="AG28" s="620" t="s">
        <v>286</v>
      </c>
      <c r="AH28" s="620" t="s">
        <v>287</v>
      </c>
      <c r="AI28" s="620" t="s">
        <v>288</v>
      </c>
      <c r="AJ28" s="620" t="s">
        <v>289</v>
      </c>
      <c r="AK28" s="620" t="s">
        <v>290</v>
      </c>
      <c r="AM28" s="611" t="s">
        <v>299</v>
      </c>
      <c r="AN28" s="612" t="s">
        <v>313</v>
      </c>
      <c r="AO28" s="612" t="s">
        <v>300</v>
      </c>
      <c r="AP28" s="621" t="s">
        <v>296</v>
      </c>
    </row>
    <row r="29" spans="1:42" s="619" customFormat="1" ht="12" customHeight="1">
      <c r="A29" s="622">
        <v>1</v>
      </c>
      <c r="B29" s="623" t="s">
        <v>141</v>
      </c>
      <c r="C29" s="624"/>
      <c r="D29" s="625" t="s">
        <v>534</v>
      </c>
      <c r="E29" s="923">
        <f>IF(AND($A29=0,$A$1="DIF"),0, ROUND(ROUND(($R37*$S$3+($T37*$T$3))/$A29,2)*$C$3,2))</f>
        <v>262.73</v>
      </c>
      <c r="F29" s="924">
        <f>ROUND($A29*$E29,2)</f>
        <v>262.73</v>
      </c>
      <c r="G29" s="628" t="s">
        <v>142</v>
      </c>
      <c r="H29" s="616"/>
      <c r="I29" s="629"/>
      <c r="J29" s="616"/>
      <c r="K29" s="616" t="s">
        <v>5</v>
      </c>
      <c r="L29" s="630" t="s">
        <v>143</v>
      </c>
      <c r="M29" s="630"/>
      <c r="N29" s="630"/>
      <c r="O29" s="630"/>
      <c r="P29" s="630"/>
      <c r="Q29" s="64"/>
      <c r="T29" s="928" t="str">
        <f>IF(AND($R37=0,$T37=0),"0.00","mu: "&amp; ROUND(F29/$C$3/($R37+$T37*$D$9),2))</f>
        <v>mu: 1.06</v>
      </c>
      <c r="W29" s="632"/>
      <c r="AG29" s="925">
        <f>IF($E29=0,0,ROUND($R37*$S$3*$C$3/$A29,2))</f>
        <v>170</v>
      </c>
      <c r="AH29" s="925">
        <f>$AG29*$A29</f>
        <v>170</v>
      </c>
      <c r="AI29" s="926">
        <f>$E29-$AG29</f>
        <v>92.730000000000018</v>
      </c>
      <c r="AJ29" s="926">
        <f>$A29*$AI29</f>
        <v>92.730000000000018</v>
      </c>
      <c r="AK29" s="927">
        <f>ROUND(($AG29+$AI29)*$A29,2)</f>
        <v>262.73</v>
      </c>
      <c r="AM29" s="635">
        <f>ROUND(R37,2)</f>
        <v>170</v>
      </c>
      <c r="AN29" s="636">
        <f>IF(A29=0,0,AO29/A29)</f>
        <v>2.75</v>
      </c>
      <c r="AO29" s="636">
        <f>ROUND(T37,2)</f>
        <v>2.75</v>
      </c>
      <c r="AP29" s="637">
        <f>ROUND(AM29+AO29,2)*A29</f>
        <v>172.75</v>
      </c>
    </row>
    <row r="30" spans="1:42" s="619" customFormat="1" ht="13.2">
      <c r="A30" s="624"/>
      <c r="B30"/>
      <c r="C30" s="624"/>
      <c r="D30" s="625" t="s">
        <v>532</v>
      </c>
      <c r="F30" s="616"/>
      <c r="G30" s="3"/>
      <c r="H30" s="616"/>
      <c r="I30" s="629"/>
      <c r="J30" s="616"/>
      <c r="K30" s="616" t="s">
        <v>144</v>
      </c>
      <c r="L30" s="616"/>
      <c r="M30" s="616"/>
      <c r="N30" s="616"/>
      <c r="O30" s="616"/>
      <c r="P30" s="616"/>
      <c r="Q30" s="64"/>
      <c r="R30" s="638"/>
      <c r="S30" s="639"/>
      <c r="T30" s="616"/>
    </row>
    <row r="31" spans="1:42" s="619" customFormat="1" ht="12">
      <c r="A31" s="64"/>
      <c r="B31" s="615"/>
      <c r="C31" s="615"/>
      <c r="D31" s="615"/>
      <c r="E31" s="615"/>
      <c r="F31" s="616"/>
      <c r="G31" s="615"/>
      <c r="H31" s="615"/>
      <c r="I31" s="617"/>
      <c r="J31" s="615"/>
      <c r="K31" s="615"/>
      <c r="L31" s="615"/>
      <c r="M31" s="615"/>
      <c r="N31" s="615"/>
      <c r="O31" s="615"/>
      <c r="P31" s="615"/>
      <c r="Q31" s="617"/>
      <c r="R31" s="640">
        <f t="shared" ref="R31:R36" si="2">$A31*Q31</f>
        <v>0</v>
      </c>
      <c r="S31" s="617"/>
      <c r="T31" s="618">
        <f t="shared" ref="T31:T36" si="3">$A31*S31*$T$1</f>
        <v>0</v>
      </c>
    </row>
    <row r="32" spans="1:42" s="755" customFormat="1" ht="13.2">
      <c r="A32">
        <v>1</v>
      </c>
      <c r="B32" s="755" t="s">
        <v>141</v>
      </c>
      <c r="D32" s="755" t="s">
        <v>519</v>
      </c>
      <c r="E32" s="755" t="s">
        <v>521</v>
      </c>
      <c r="F32" s="755" t="s">
        <v>520</v>
      </c>
      <c r="G32" s="756" t="s">
        <v>318</v>
      </c>
      <c r="H32" s="757">
        <v>416</v>
      </c>
      <c r="I32" s="755" t="s">
        <v>319</v>
      </c>
      <c r="O32" s="758">
        <v>3</v>
      </c>
      <c r="P32" s="759"/>
      <c r="Q32" s="760">
        <f>135+20</f>
        <v>155</v>
      </c>
      <c r="R32" s="761">
        <f>$A32*Q32</f>
        <v>155</v>
      </c>
      <c r="S32" s="760"/>
      <c r="T32" s="762">
        <f>$A32*S32*$T$1</f>
        <v>0</v>
      </c>
    </row>
    <row r="33" spans="1:42" s="619" customFormat="1" ht="12">
      <c r="A33" s="64"/>
      <c r="B33" s="615"/>
      <c r="C33" s="615"/>
      <c r="D33" s="755" t="s">
        <v>522</v>
      </c>
      <c r="E33" s="615"/>
      <c r="F33" s="616"/>
      <c r="G33" s="615"/>
      <c r="H33" s="615"/>
      <c r="I33" s="617"/>
      <c r="J33" s="615"/>
      <c r="K33" s="615"/>
      <c r="L33" s="615"/>
      <c r="M33" s="615"/>
      <c r="N33" s="615"/>
      <c r="O33" s="615"/>
      <c r="P33" s="615"/>
      <c r="Q33" s="617"/>
      <c r="R33" s="640">
        <f t="shared" ref="R33:R37" si="4">$A33*Q33</f>
        <v>0</v>
      </c>
      <c r="S33" s="617"/>
      <c r="T33" s="618">
        <f t="shared" ref="T33:T37" si="5">$A33*S33*$T$1</f>
        <v>0</v>
      </c>
    </row>
    <row r="34" spans="1:42" s="755" customFormat="1" ht="13.2">
      <c r="A34">
        <v>1</v>
      </c>
      <c r="B34" s="755" t="s">
        <v>141</v>
      </c>
      <c r="D34" s="755" t="s">
        <v>527</v>
      </c>
      <c r="G34" s="756" t="s">
        <v>318</v>
      </c>
      <c r="H34" s="757">
        <v>421</v>
      </c>
      <c r="I34" s="755" t="s">
        <v>319</v>
      </c>
      <c r="O34" s="758">
        <v>3</v>
      </c>
      <c r="P34" s="759"/>
      <c r="Q34" s="760">
        <v>15</v>
      </c>
      <c r="R34" s="761">
        <f>$A34*Q34</f>
        <v>15</v>
      </c>
      <c r="S34" s="760">
        <v>2.5</v>
      </c>
      <c r="T34" s="762">
        <f>$A34*S34*$T$1</f>
        <v>2.75</v>
      </c>
    </row>
    <row r="35" spans="1:42" s="619" customFormat="1" ht="12">
      <c r="A35" s="64"/>
      <c r="B35" s="615"/>
      <c r="C35" s="615"/>
      <c r="D35" s="615"/>
      <c r="E35" s="615"/>
      <c r="F35" s="616"/>
      <c r="G35" s="615"/>
      <c r="H35" s="615"/>
      <c r="I35" s="617"/>
      <c r="J35" s="615"/>
      <c r="K35" s="615"/>
      <c r="L35" s="615"/>
      <c r="M35" s="615"/>
      <c r="N35" s="615"/>
      <c r="O35" s="615"/>
      <c r="P35" s="615"/>
      <c r="Q35" s="617"/>
      <c r="R35" s="640">
        <f t="shared" ref="R35:R37" si="6">$A35*Q35</f>
        <v>0</v>
      </c>
      <c r="S35" s="617"/>
      <c r="T35" s="618">
        <f t="shared" ref="T35:T37" si="7">$A35*S35*$T$1</f>
        <v>0</v>
      </c>
    </row>
    <row r="36" spans="1:42" s="619" customFormat="1" ht="12">
      <c r="A36" s="615"/>
      <c r="B36" s="615"/>
      <c r="C36" s="615"/>
      <c r="D36" s="615"/>
      <c r="E36" s="615"/>
      <c r="F36" s="616"/>
      <c r="G36" s="615"/>
      <c r="H36" s="615"/>
      <c r="I36" s="617"/>
      <c r="J36" s="615"/>
      <c r="K36" s="615"/>
      <c r="L36" s="615"/>
      <c r="M36" s="615"/>
      <c r="N36" s="615"/>
      <c r="O36" s="615"/>
      <c r="P36" s="615"/>
      <c r="Q36" s="617"/>
      <c r="R36" s="640">
        <f t="shared" si="6"/>
        <v>0</v>
      </c>
      <c r="S36" s="617"/>
      <c r="T36" s="618">
        <f t="shared" si="7"/>
        <v>0</v>
      </c>
    </row>
    <row r="37" spans="1:42" s="619" customFormat="1" ht="12.6" thickBot="1">
      <c r="A37" s="641" t="s">
        <v>145</v>
      </c>
      <c r="B37" s="642">
        <f>(R36+T36)</f>
        <v>0</v>
      </c>
      <c r="C37" s="643"/>
      <c r="D37" s="643"/>
      <c r="E37" s="643"/>
      <c r="F37" s="644"/>
      <c r="G37" s="643" t="s">
        <v>146</v>
      </c>
      <c r="H37" s="643"/>
      <c r="I37" s="645"/>
      <c r="J37" s="643"/>
      <c r="K37" s="643" t="s">
        <v>5</v>
      </c>
      <c r="L37" s="646" t="s">
        <v>143</v>
      </c>
      <c r="M37" s="646"/>
      <c r="N37" s="646"/>
      <c r="O37" s="646"/>
      <c r="P37" s="646"/>
      <c r="Q37" s="647"/>
      <c r="R37" s="648">
        <f>SUM(R30:R36)</f>
        <v>170</v>
      </c>
      <c r="S37" s="643"/>
      <c r="T37" s="648">
        <f>SUM(T30:T36)</f>
        <v>2.75</v>
      </c>
      <c r="U37" s="649"/>
      <c r="V37" s="649"/>
      <c r="W37" s="649"/>
      <c r="X37" s="649"/>
      <c r="Y37" s="649"/>
      <c r="Z37" s="649"/>
      <c r="AA37" s="649"/>
      <c r="AB37" s="649"/>
      <c r="AC37" s="649"/>
      <c r="AD37" s="649"/>
      <c r="AE37" s="649"/>
      <c r="AF37" s="649"/>
      <c r="AG37" s="649"/>
      <c r="AH37" s="649"/>
      <c r="AI37" s="649"/>
      <c r="AJ37" s="649"/>
      <c r="AK37" s="649"/>
      <c r="AL37" s="649"/>
      <c r="AM37" s="649"/>
      <c r="AN37" s="649"/>
      <c r="AO37" s="649"/>
      <c r="AP37" s="649"/>
    </row>
    <row r="38" spans="1:42" s="619" customFormat="1" ht="12" thickTop="1">
      <c r="A38" s="64"/>
      <c r="B38" s="41"/>
      <c r="C38" s="64"/>
      <c r="E38" s="42" t="s">
        <v>138</v>
      </c>
      <c r="F38" s="42" t="s">
        <v>139</v>
      </c>
      <c r="G38" s="64"/>
      <c r="H38" s="64"/>
      <c r="I38" s="64"/>
      <c r="J38" s="64"/>
      <c r="K38" s="64" t="s">
        <v>140</v>
      </c>
      <c r="L38" s="64"/>
      <c r="M38" s="64"/>
      <c r="N38" s="64"/>
      <c r="O38" s="65"/>
      <c r="P38" s="64"/>
      <c r="Q38" s="64"/>
      <c r="R38" s="64"/>
      <c r="S38" s="64"/>
      <c r="T38" s="41"/>
      <c r="AG38" s="620" t="s">
        <v>286</v>
      </c>
      <c r="AH38" s="620" t="s">
        <v>287</v>
      </c>
      <c r="AI38" s="620" t="s">
        <v>288</v>
      </c>
      <c r="AJ38" s="620" t="s">
        <v>289</v>
      </c>
      <c r="AK38" s="620" t="s">
        <v>290</v>
      </c>
      <c r="AM38" s="611" t="s">
        <v>299</v>
      </c>
      <c r="AN38" s="612" t="s">
        <v>313</v>
      </c>
      <c r="AO38" s="612" t="s">
        <v>300</v>
      </c>
      <c r="AP38" s="621" t="s">
        <v>296</v>
      </c>
    </row>
    <row r="39" spans="1:42" s="619" customFormat="1" ht="12" customHeight="1">
      <c r="A39" s="622">
        <v>1</v>
      </c>
      <c r="B39" s="623" t="s">
        <v>141</v>
      </c>
      <c r="C39" s="624"/>
      <c r="D39" s="625" t="s">
        <v>535</v>
      </c>
      <c r="E39" s="923">
        <f>IF(AND($A39=0,$A$1="DIF"),0, ROUND(ROUND(($R47*$S$3+($T47*$T$3))/$A39,2)*$C$3,2))</f>
        <v>262.73</v>
      </c>
      <c r="F39" s="924">
        <f>ROUND($A39*$E39,2)</f>
        <v>262.73</v>
      </c>
      <c r="G39" s="628" t="s">
        <v>142</v>
      </c>
      <c r="H39" s="616"/>
      <c r="I39" s="629"/>
      <c r="J39" s="616"/>
      <c r="K39" s="616" t="s">
        <v>5</v>
      </c>
      <c r="L39" s="630" t="s">
        <v>143</v>
      </c>
      <c r="M39" s="630"/>
      <c r="N39" s="630"/>
      <c r="O39" s="630"/>
      <c r="P39" s="630"/>
      <c r="Q39" s="64"/>
      <c r="T39" s="928" t="str">
        <f>IF(AND($R47=0,$T47=0),"0.00","mu: "&amp; ROUND(F39/$C$3/($R47+$T47*$D$9),2))</f>
        <v>mu: 1.06</v>
      </c>
      <c r="W39" s="632"/>
      <c r="AG39" s="925">
        <f>IF($E39=0,0,ROUND($R47*$S$3*$C$3/$A39,2))</f>
        <v>170</v>
      </c>
      <c r="AH39" s="925">
        <f>$AG39*$A39</f>
        <v>170</v>
      </c>
      <c r="AI39" s="926">
        <f>$E39-$AG39</f>
        <v>92.730000000000018</v>
      </c>
      <c r="AJ39" s="926">
        <f>$A39*$AI39</f>
        <v>92.730000000000018</v>
      </c>
      <c r="AK39" s="927">
        <f>ROUND(($AG39+$AI39)*$A39,2)</f>
        <v>262.73</v>
      </c>
      <c r="AM39" s="635">
        <f>ROUND(R47,2)</f>
        <v>170</v>
      </c>
      <c r="AN39" s="636">
        <f>IF(A39=0,0,AO39/A39)</f>
        <v>2.75</v>
      </c>
      <c r="AO39" s="636">
        <f>ROUND(T47,2)</f>
        <v>2.75</v>
      </c>
      <c r="AP39" s="637">
        <f>ROUND(AM39+AO39,2)*A39</f>
        <v>172.75</v>
      </c>
    </row>
    <row r="40" spans="1:42" s="619" customFormat="1" ht="13.2">
      <c r="A40" s="624"/>
      <c r="B40"/>
      <c r="C40" s="624"/>
      <c r="D40" s="625" t="s">
        <v>533</v>
      </c>
      <c r="F40" s="616"/>
      <c r="G40" s="3"/>
      <c r="H40" s="616"/>
      <c r="I40" s="629"/>
      <c r="J40" s="616"/>
      <c r="K40" s="616" t="s">
        <v>144</v>
      </c>
      <c r="L40" s="616"/>
      <c r="M40" s="616"/>
      <c r="N40" s="616"/>
      <c r="O40" s="616"/>
      <c r="P40" s="616"/>
      <c r="Q40" s="64"/>
      <c r="R40" s="638"/>
      <c r="S40" s="639"/>
      <c r="T40" s="616"/>
    </row>
    <row r="41" spans="1:42" s="619" customFormat="1" ht="12">
      <c r="A41" s="64"/>
      <c r="B41" s="615"/>
      <c r="C41" s="615"/>
      <c r="D41" s="615"/>
      <c r="E41" s="615"/>
      <c r="F41" s="616"/>
      <c r="G41" s="615"/>
      <c r="H41" s="615"/>
      <c r="I41" s="617"/>
      <c r="J41" s="615"/>
      <c r="K41" s="615"/>
      <c r="L41" s="615"/>
      <c r="M41" s="615"/>
      <c r="N41" s="615"/>
      <c r="O41" s="615"/>
      <c r="P41" s="615"/>
      <c r="Q41" s="617"/>
      <c r="R41" s="640">
        <f t="shared" ref="R41:R46" si="8">$A41*Q41</f>
        <v>0</v>
      </c>
      <c r="S41" s="617"/>
      <c r="T41" s="618">
        <f t="shared" ref="T41:T46" si="9">$A41*S41*$T$1</f>
        <v>0</v>
      </c>
    </row>
    <row r="42" spans="1:42" s="755" customFormat="1" ht="13.2">
      <c r="A42">
        <v>1</v>
      </c>
      <c r="B42" s="755" t="s">
        <v>141</v>
      </c>
      <c r="D42" s="755" t="s">
        <v>519</v>
      </c>
      <c r="E42" s="755" t="s">
        <v>521</v>
      </c>
      <c r="F42" s="755" t="s">
        <v>520</v>
      </c>
      <c r="G42" s="756" t="s">
        <v>318</v>
      </c>
      <c r="H42" s="757">
        <v>416</v>
      </c>
      <c r="I42" s="755" t="s">
        <v>319</v>
      </c>
      <c r="O42" s="758">
        <v>3</v>
      </c>
      <c r="P42" s="759"/>
      <c r="Q42" s="760">
        <f>135+20</f>
        <v>155</v>
      </c>
      <c r="R42" s="761">
        <f>$A42*Q42</f>
        <v>155</v>
      </c>
      <c r="S42" s="760"/>
      <c r="T42" s="762">
        <f>$A42*S42*$T$1</f>
        <v>0</v>
      </c>
    </row>
    <row r="43" spans="1:42" s="619" customFormat="1" ht="12">
      <c r="A43" s="64"/>
      <c r="B43" s="615"/>
      <c r="C43" s="615"/>
      <c r="D43" s="755" t="s">
        <v>522</v>
      </c>
      <c r="E43" s="615"/>
      <c r="F43" s="616"/>
      <c r="G43" s="615"/>
      <c r="H43" s="615"/>
      <c r="I43" s="617"/>
      <c r="J43" s="615"/>
      <c r="K43" s="615"/>
      <c r="L43" s="615"/>
      <c r="M43" s="615"/>
      <c r="N43" s="615"/>
      <c r="O43" s="615"/>
      <c r="P43" s="615"/>
      <c r="Q43" s="617"/>
      <c r="R43" s="640">
        <f t="shared" ref="R43:R47" si="10">$A43*Q43</f>
        <v>0</v>
      </c>
      <c r="S43" s="617"/>
      <c r="T43" s="618">
        <f t="shared" ref="T43:T47" si="11">$A43*S43*$T$1</f>
        <v>0</v>
      </c>
    </row>
    <row r="44" spans="1:42" s="755" customFormat="1" ht="13.2">
      <c r="A44">
        <v>1</v>
      </c>
      <c r="B44" s="755" t="s">
        <v>141</v>
      </c>
      <c r="D44" s="755" t="s">
        <v>527</v>
      </c>
      <c r="G44" s="756" t="s">
        <v>318</v>
      </c>
      <c r="H44" s="757">
        <v>421</v>
      </c>
      <c r="I44" s="755" t="s">
        <v>319</v>
      </c>
      <c r="O44" s="758">
        <v>3</v>
      </c>
      <c r="P44" s="759"/>
      <c r="Q44" s="760">
        <v>15</v>
      </c>
      <c r="R44" s="761">
        <f>$A44*Q44</f>
        <v>15</v>
      </c>
      <c r="S44" s="760">
        <v>2.5</v>
      </c>
      <c r="T44" s="762">
        <f>$A44*S44*$T$1</f>
        <v>2.75</v>
      </c>
    </row>
    <row r="45" spans="1:42" s="619" customFormat="1" ht="12">
      <c r="A45" s="64"/>
      <c r="B45" s="615"/>
      <c r="C45" s="615"/>
      <c r="D45" s="615"/>
      <c r="E45" s="615"/>
      <c r="F45" s="616"/>
      <c r="G45" s="615"/>
      <c r="H45" s="615"/>
      <c r="I45" s="617"/>
      <c r="J45" s="615"/>
      <c r="K45" s="615"/>
      <c r="L45" s="615"/>
      <c r="M45" s="615"/>
      <c r="N45" s="615"/>
      <c r="O45" s="615"/>
      <c r="P45" s="615"/>
      <c r="Q45" s="617"/>
      <c r="R45" s="640">
        <f t="shared" ref="R45:R47" si="12">$A45*Q45</f>
        <v>0</v>
      </c>
      <c r="S45" s="617"/>
      <c r="T45" s="618">
        <f t="shared" ref="T45:T47" si="13">$A45*S45*$T$1</f>
        <v>0</v>
      </c>
    </row>
    <row r="46" spans="1:42" s="619" customFormat="1" ht="12">
      <c r="A46" s="615"/>
      <c r="B46" s="615"/>
      <c r="C46" s="615"/>
      <c r="D46" s="615"/>
      <c r="E46" s="615"/>
      <c r="F46" s="616"/>
      <c r="G46" s="615"/>
      <c r="H46" s="615"/>
      <c r="I46" s="617"/>
      <c r="J46" s="615"/>
      <c r="K46" s="615"/>
      <c r="L46" s="615"/>
      <c r="M46" s="615"/>
      <c r="N46" s="615"/>
      <c r="O46" s="615"/>
      <c r="P46" s="615"/>
      <c r="Q46" s="617"/>
      <c r="R46" s="640">
        <f t="shared" si="12"/>
        <v>0</v>
      </c>
      <c r="S46" s="617"/>
      <c r="T46" s="618">
        <f t="shared" si="13"/>
        <v>0</v>
      </c>
    </row>
    <row r="47" spans="1:42" s="619" customFormat="1" ht="12.6" thickBot="1">
      <c r="A47" s="641" t="s">
        <v>145</v>
      </c>
      <c r="B47" s="642">
        <f>(R46+T46)</f>
        <v>0</v>
      </c>
      <c r="C47" s="643"/>
      <c r="D47" s="643"/>
      <c r="E47" s="643"/>
      <c r="F47" s="644"/>
      <c r="G47" s="643" t="s">
        <v>146</v>
      </c>
      <c r="H47" s="643"/>
      <c r="I47" s="645"/>
      <c r="J47" s="643"/>
      <c r="K47" s="643" t="s">
        <v>5</v>
      </c>
      <c r="L47" s="646" t="s">
        <v>143</v>
      </c>
      <c r="M47" s="646"/>
      <c r="N47" s="646"/>
      <c r="O47" s="646"/>
      <c r="P47" s="646"/>
      <c r="Q47" s="647"/>
      <c r="R47" s="648">
        <f>SUM(R40:R46)</f>
        <v>170</v>
      </c>
      <c r="S47" s="643"/>
      <c r="T47" s="648">
        <f>SUM(T40:T46)</f>
        <v>2.75</v>
      </c>
      <c r="U47" s="649"/>
      <c r="V47" s="649"/>
      <c r="W47" s="649"/>
      <c r="X47" s="649"/>
      <c r="Y47" s="649"/>
      <c r="Z47" s="649"/>
      <c r="AA47" s="649"/>
      <c r="AB47" s="649"/>
      <c r="AC47" s="649"/>
      <c r="AD47" s="649"/>
      <c r="AE47" s="649"/>
      <c r="AF47" s="649"/>
      <c r="AG47" s="649"/>
      <c r="AH47" s="649"/>
      <c r="AI47" s="649"/>
      <c r="AJ47" s="649"/>
      <c r="AK47" s="649"/>
      <c r="AL47" s="649"/>
      <c r="AM47" s="649"/>
      <c r="AN47" s="649"/>
      <c r="AO47" s="649"/>
      <c r="AP47" s="649"/>
    </row>
    <row r="48" spans="1:42" s="619" customFormat="1" ht="12" thickTop="1">
      <c r="A48" s="64"/>
      <c r="B48" s="41"/>
      <c r="C48" s="64"/>
      <c r="E48" s="42" t="s">
        <v>138</v>
      </c>
      <c r="F48" s="42" t="s">
        <v>139</v>
      </c>
      <c r="G48" s="64"/>
      <c r="H48" s="64"/>
      <c r="I48" s="64"/>
      <c r="J48" s="64"/>
      <c r="K48" s="64" t="s">
        <v>140</v>
      </c>
      <c r="L48" s="64"/>
      <c r="M48" s="64"/>
      <c r="N48" s="64"/>
      <c r="O48" s="65"/>
      <c r="P48" s="64"/>
      <c r="Q48" s="64"/>
      <c r="R48" s="64"/>
      <c r="S48" s="64"/>
      <c r="T48" s="41"/>
      <c r="AG48" s="620" t="s">
        <v>286</v>
      </c>
      <c r="AH48" s="620" t="s">
        <v>287</v>
      </c>
      <c r="AI48" s="620" t="s">
        <v>288</v>
      </c>
      <c r="AJ48" s="620" t="s">
        <v>289</v>
      </c>
      <c r="AK48" s="620" t="s">
        <v>290</v>
      </c>
      <c r="AM48" s="611" t="s">
        <v>299</v>
      </c>
      <c r="AN48" s="612" t="s">
        <v>313</v>
      </c>
      <c r="AO48" s="612" t="s">
        <v>300</v>
      </c>
      <c r="AP48" s="621" t="s">
        <v>296</v>
      </c>
    </row>
    <row r="49" spans="1:42" s="619" customFormat="1" ht="12" customHeight="1">
      <c r="A49" s="622">
        <v>1</v>
      </c>
      <c r="B49" s="623" t="s">
        <v>141</v>
      </c>
      <c r="C49" s="624"/>
      <c r="D49" s="625" t="s">
        <v>536</v>
      </c>
      <c r="E49" s="923">
        <f>IF(AND($A49=0,$A$1="DIF"),0, ROUND(ROUND(($R57*$S$3+($T57*$T$3))/$A49,2)*$C$3,2))</f>
        <v>262.73</v>
      </c>
      <c r="F49" s="924">
        <f>ROUND($A49*$E49,2)</f>
        <v>262.73</v>
      </c>
      <c r="G49" s="628" t="s">
        <v>142</v>
      </c>
      <c r="H49" s="616"/>
      <c r="I49" s="629"/>
      <c r="J49" s="616"/>
      <c r="K49" s="616" t="s">
        <v>5</v>
      </c>
      <c r="L49" s="630" t="s">
        <v>143</v>
      </c>
      <c r="M49" s="630"/>
      <c r="N49" s="630"/>
      <c r="O49" s="630"/>
      <c r="P49" s="630"/>
      <c r="Q49" s="64"/>
      <c r="T49" s="928" t="str">
        <f>IF(AND($R57=0,$T57=0),"0.00","mu: "&amp; ROUND(F49/$C$3/($R57+$T57*$D$9),2))</f>
        <v>mu: 1.06</v>
      </c>
      <c r="W49" s="632"/>
      <c r="AG49" s="925">
        <f>IF($E49=0,0,ROUND($R57*$S$3*$C$3/$A49,2))</f>
        <v>170</v>
      </c>
      <c r="AH49" s="925">
        <f>$AG49*$A49</f>
        <v>170</v>
      </c>
      <c r="AI49" s="926">
        <f>$E49-$AG49</f>
        <v>92.730000000000018</v>
      </c>
      <c r="AJ49" s="926">
        <f>$A49*$AI49</f>
        <v>92.730000000000018</v>
      </c>
      <c r="AK49" s="927">
        <f>ROUND(($AG49+$AI49)*$A49,2)</f>
        <v>262.73</v>
      </c>
      <c r="AM49" s="635">
        <f>ROUND(R57,2)</f>
        <v>170</v>
      </c>
      <c r="AN49" s="636">
        <f>IF(A49=0,0,AO49/A49)</f>
        <v>2.75</v>
      </c>
      <c r="AO49" s="636">
        <f>ROUND(T57,2)</f>
        <v>2.75</v>
      </c>
      <c r="AP49" s="637">
        <f>ROUND(AM49+AO49,2)*A49</f>
        <v>172.75</v>
      </c>
    </row>
    <row r="50" spans="1:42" s="619" customFormat="1" ht="13.2">
      <c r="A50" s="624"/>
      <c r="B50"/>
      <c r="C50" s="624"/>
      <c r="D50" s="625" t="s">
        <v>533</v>
      </c>
      <c r="F50" s="616"/>
      <c r="G50" s="3"/>
      <c r="H50" s="616"/>
      <c r="I50" s="629"/>
      <c r="J50" s="616"/>
      <c r="K50" s="616" t="s">
        <v>144</v>
      </c>
      <c r="L50" s="616"/>
      <c r="M50" s="616"/>
      <c r="N50" s="616"/>
      <c r="O50" s="616"/>
      <c r="P50" s="616"/>
      <c r="Q50" s="64"/>
      <c r="R50" s="638"/>
      <c r="S50" s="639"/>
      <c r="T50" s="616"/>
    </row>
    <row r="51" spans="1:42" s="619" customFormat="1" ht="12">
      <c r="A51" s="64"/>
      <c r="B51" s="615"/>
      <c r="C51" s="615"/>
      <c r="D51" s="615"/>
      <c r="E51" s="615"/>
      <c r="F51" s="616"/>
      <c r="G51" s="615"/>
      <c r="H51" s="615"/>
      <c r="I51" s="617"/>
      <c r="J51" s="615"/>
      <c r="K51" s="615"/>
      <c r="L51" s="615"/>
      <c r="M51" s="615"/>
      <c r="N51" s="615"/>
      <c r="O51" s="615"/>
      <c r="P51" s="615"/>
      <c r="Q51" s="617"/>
      <c r="R51" s="640">
        <f t="shared" ref="R51:R56" si="14">$A51*Q51</f>
        <v>0</v>
      </c>
      <c r="S51" s="617"/>
      <c r="T51" s="618">
        <f t="shared" ref="T51:T56" si="15">$A51*S51*$T$1</f>
        <v>0</v>
      </c>
    </row>
    <row r="52" spans="1:42" s="755" customFormat="1" ht="13.2">
      <c r="A52">
        <v>1</v>
      </c>
      <c r="B52" s="755" t="s">
        <v>141</v>
      </c>
      <c r="D52" s="755" t="s">
        <v>519</v>
      </c>
      <c r="E52" s="755" t="s">
        <v>521</v>
      </c>
      <c r="F52" s="755" t="s">
        <v>520</v>
      </c>
      <c r="G52" s="756" t="s">
        <v>318</v>
      </c>
      <c r="H52" s="757">
        <v>416</v>
      </c>
      <c r="I52" s="755" t="s">
        <v>319</v>
      </c>
      <c r="O52" s="758">
        <v>3</v>
      </c>
      <c r="P52" s="759"/>
      <c r="Q52" s="760">
        <f>135+20</f>
        <v>155</v>
      </c>
      <c r="R52" s="761">
        <f>$A52*Q52</f>
        <v>155</v>
      </c>
      <c r="S52" s="760"/>
      <c r="T52" s="762">
        <f>$A52*S52*$T$1</f>
        <v>0</v>
      </c>
    </row>
    <row r="53" spans="1:42" s="619" customFormat="1" ht="12">
      <c r="A53" s="64"/>
      <c r="B53" s="615"/>
      <c r="C53" s="615"/>
      <c r="D53" s="755" t="s">
        <v>522</v>
      </c>
      <c r="E53" s="615"/>
      <c r="F53" s="616"/>
      <c r="G53" s="615"/>
      <c r="H53" s="615"/>
      <c r="I53" s="617"/>
      <c r="J53" s="615"/>
      <c r="K53" s="615"/>
      <c r="L53" s="615"/>
      <c r="M53" s="615"/>
      <c r="N53" s="615"/>
      <c r="O53" s="615"/>
      <c r="P53" s="615"/>
      <c r="Q53" s="617"/>
      <c r="R53" s="640">
        <f t="shared" ref="R53:R57" si="16">$A53*Q53</f>
        <v>0</v>
      </c>
      <c r="S53" s="617"/>
      <c r="T53" s="618">
        <f t="shared" ref="T53:T57" si="17">$A53*S53*$T$1</f>
        <v>0</v>
      </c>
    </row>
    <row r="54" spans="1:42" s="755" customFormat="1" ht="13.2">
      <c r="A54">
        <v>1</v>
      </c>
      <c r="B54" s="755" t="s">
        <v>141</v>
      </c>
      <c r="D54" s="755" t="s">
        <v>527</v>
      </c>
      <c r="G54" s="756" t="s">
        <v>318</v>
      </c>
      <c r="H54" s="757">
        <v>421</v>
      </c>
      <c r="I54" s="755" t="s">
        <v>319</v>
      </c>
      <c r="O54" s="758">
        <v>3</v>
      </c>
      <c r="P54" s="759"/>
      <c r="Q54" s="760">
        <v>15</v>
      </c>
      <c r="R54" s="761">
        <f>$A54*Q54</f>
        <v>15</v>
      </c>
      <c r="S54" s="760">
        <v>2.5</v>
      </c>
      <c r="T54" s="762">
        <f>$A54*S54*$T$1</f>
        <v>2.75</v>
      </c>
    </row>
    <row r="55" spans="1:42" s="619" customFormat="1" ht="12">
      <c r="A55" s="64"/>
      <c r="B55" s="615"/>
      <c r="C55" s="615"/>
      <c r="D55" s="615"/>
      <c r="E55" s="615"/>
      <c r="F55" s="616"/>
      <c r="G55" s="615"/>
      <c r="H55" s="615"/>
      <c r="I55" s="617"/>
      <c r="J55" s="615"/>
      <c r="K55" s="615"/>
      <c r="L55" s="615"/>
      <c r="M55" s="615"/>
      <c r="N55" s="615"/>
      <c r="O55" s="615"/>
      <c r="P55" s="615"/>
      <c r="Q55" s="617"/>
      <c r="R55" s="640">
        <f t="shared" ref="R55:R57" si="18">$A55*Q55</f>
        <v>0</v>
      </c>
      <c r="S55" s="617"/>
      <c r="T55" s="618">
        <f t="shared" ref="T55:T57" si="19">$A55*S55*$T$1</f>
        <v>0</v>
      </c>
    </row>
    <row r="56" spans="1:42" s="619" customFormat="1" ht="12">
      <c r="A56" s="615"/>
      <c r="B56" s="615"/>
      <c r="C56" s="615"/>
      <c r="D56" s="615"/>
      <c r="E56" s="615"/>
      <c r="F56" s="616"/>
      <c r="G56" s="615"/>
      <c r="H56" s="615"/>
      <c r="I56" s="617"/>
      <c r="J56" s="615"/>
      <c r="K56" s="615"/>
      <c r="L56" s="615"/>
      <c r="M56" s="615"/>
      <c r="N56" s="615"/>
      <c r="O56" s="615"/>
      <c r="P56" s="615"/>
      <c r="Q56" s="617"/>
      <c r="R56" s="640">
        <f t="shared" si="18"/>
        <v>0</v>
      </c>
      <c r="S56" s="617"/>
      <c r="T56" s="618">
        <f t="shared" si="19"/>
        <v>0</v>
      </c>
    </row>
    <row r="57" spans="1:42" s="619" customFormat="1" ht="12.6" thickBot="1">
      <c r="A57" s="641" t="s">
        <v>145</v>
      </c>
      <c r="B57" s="642">
        <f>(R56+T56)</f>
        <v>0</v>
      </c>
      <c r="C57" s="643"/>
      <c r="D57" s="643"/>
      <c r="E57" s="643"/>
      <c r="F57" s="644"/>
      <c r="G57" s="643" t="s">
        <v>146</v>
      </c>
      <c r="H57" s="643"/>
      <c r="I57" s="645"/>
      <c r="J57" s="643"/>
      <c r="K57" s="643" t="s">
        <v>5</v>
      </c>
      <c r="L57" s="646" t="s">
        <v>143</v>
      </c>
      <c r="M57" s="646"/>
      <c r="N57" s="646"/>
      <c r="O57" s="646"/>
      <c r="P57" s="646"/>
      <c r="Q57" s="647"/>
      <c r="R57" s="648">
        <f>SUM(R50:R56)</f>
        <v>170</v>
      </c>
      <c r="S57" s="643"/>
      <c r="T57" s="648">
        <f>SUM(T50:T56)</f>
        <v>2.75</v>
      </c>
      <c r="U57" s="649"/>
      <c r="V57" s="649"/>
      <c r="W57" s="649"/>
      <c r="X57" s="649"/>
      <c r="Y57" s="649"/>
      <c r="Z57" s="649"/>
      <c r="AA57" s="649"/>
      <c r="AB57" s="649"/>
      <c r="AC57" s="649"/>
      <c r="AD57" s="649"/>
      <c r="AE57" s="649"/>
      <c r="AF57" s="649"/>
      <c r="AG57" s="649"/>
      <c r="AH57" s="649"/>
      <c r="AI57" s="649"/>
      <c r="AJ57" s="649"/>
      <c r="AK57" s="649"/>
      <c r="AL57" s="649"/>
      <c r="AM57" s="649"/>
      <c r="AN57" s="649"/>
      <c r="AO57" s="649"/>
      <c r="AP57" s="649"/>
    </row>
    <row r="58" spans="1:42" ht="14.4" thickTop="1">
      <c r="A58" s="51" t="s">
        <v>154</v>
      </c>
      <c r="B58" s="33"/>
      <c r="C58" s="33"/>
      <c r="D58" s="33"/>
      <c r="E58" s="33"/>
      <c r="F58" s="33"/>
      <c r="G58" s="33"/>
      <c r="H58" s="33"/>
      <c r="I58" s="33"/>
      <c r="J58" s="33"/>
      <c r="K58" s="33"/>
      <c r="L58" s="33"/>
      <c r="M58" s="33"/>
      <c r="N58" s="33"/>
      <c r="O58" s="35"/>
      <c r="P58" s="33"/>
      <c r="Q58" s="33"/>
      <c r="R58" s="33"/>
      <c r="S58" s="33"/>
      <c r="T58" s="33"/>
    </row>
    <row r="59" spans="1:42">
      <c r="A59" s="33"/>
      <c r="B59" s="34"/>
      <c r="C59" s="33"/>
      <c r="D59" s="33"/>
      <c r="E59" s="33"/>
      <c r="F59" s="33"/>
      <c r="G59" s="33"/>
      <c r="H59" s="33"/>
      <c r="I59" s="33"/>
      <c r="J59" s="33"/>
      <c r="K59" s="33"/>
      <c r="L59" s="33"/>
      <c r="M59" s="33"/>
      <c r="N59" s="33"/>
      <c r="O59" s="35"/>
      <c r="P59" s="33"/>
      <c r="Q59" s="33"/>
      <c r="R59" s="33"/>
      <c r="S59" s="33"/>
      <c r="T59" s="33"/>
    </row>
    <row r="60" spans="1:42">
      <c r="A60" s="33"/>
      <c r="B60" s="52">
        <f>($R60*$S$2+$T60*$T$2)-$F60</f>
        <v>-57.090000000000032</v>
      </c>
      <c r="C60" s="33"/>
      <c r="D60" s="53" t="s">
        <v>165</v>
      </c>
      <c r="E60" s="481"/>
      <c r="F60" s="555">
        <f>SUMIF($L14:$L58,"ITEM",F14:F58)</f>
        <v>1050.92</v>
      </c>
      <c r="G60" s="4"/>
      <c r="H60" s="4"/>
      <c r="I60" s="5"/>
      <c r="J60" s="4"/>
      <c r="K60" s="4"/>
      <c r="L60" s="2" t="s">
        <v>166</v>
      </c>
      <c r="M60" s="2"/>
      <c r="N60" s="2"/>
      <c r="O60" s="2"/>
      <c r="P60" s="2"/>
      <c r="Q60" s="33"/>
      <c r="R60" s="54">
        <f>SUMIF($L14:$L58,"ITEM",R14:R58)</f>
        <v>680</v>
      </c>
      <c r="S60" s="55"/>
      <c r="T60" s="54">
        <f>SUMIF($L14:$L58,"ITEM",T14:T58)</f>
        <v>11</v>
      </c>
    </row>
    <row r="61" spans="1:42" ht="16.5" customHeight="1">
      <c r="A61" s="33"/>
      <c r="B61" s="56" t="s">
        <v>167</v>
      </c>
      <c r="C61" s="33"/>
      <c r="D61" s="34"/>
      <c r="E61" s="33"/>
      <c r="F61" s="38" t="s">
        <v>168</v>
      </c>
      <c r="G61" s="4"/>
      <c r="H61" s="4"/>
      <c r="I61" s="5"/>
      <c r="J61" s="4"/>
      <c r="K61" s="4"/>
      <c r="L61" s="4"/>
      <c r="M61" s="4"/>
      <c r="N61" s="4"/>
      <c r="O61" s="4"/>
      <c r="P61" s="4"/>
      <c r="Q61" s="57"/>
      <c r="R61" s="38" t="s">
        <v>169</v>
      </c>
      <c r="S61" s="38"/>
      <c r="T61" s="38" t="s">
        <v>170</v>
      </c>
    </row>
    <row r="62" spans="1:42">
      <c r="A62" s="4"/>
      <c r="B62" s="34"/>
      <c r="C62" s="4"/>
      <c r="D62" s="34"/>
      <c r="E62" s="34"/>
      <c r="F62" s="34"/>
      <c r="G62" s="34"/>
      <c r="H62" s="34"/>
      <c r="I62" s="34"/>
      <c r="J62" s="34"/>
      <c r="K62" s="34"/>
      <c r="L62" s="34"/>
      <c r="M62" s="34"/>
      <c r="N62" s="34"/>
      <c r="O62" s="40"/>
      <c r="P62" s="34"/>
      <c r="Q62" s="34"/>
      <c r="R62" s="34"/>
      <c r="S62" s="34"/>
      <c r="T62" s="34"/>
    </row>
    <row r="63" spans="1:42" ht="14.4" thickBot="1">
      <c r="A63" s="58"/>
      <c r="B63" s="48"/>
      <c r="C63" s="48"/>
      <c r="D63" s="58"/>
      <c r="E63" s="58"/>
      <c r="F63" s="59"/>
      <c r="G63" s="48"/>
      <c r="H63" s="48"/>
      <c r="I63" s="49"/>
      <c r="J63" s="48"/>
      <c r="K63" s="48"/>
      <c r="L63" s="60"/>
      <c r="M63" s="60"/>
      <c r="N63" s="60"/>
      <c r="O63" s="60"/>
      <c r="P63" s="60"/>
      <c r="Q63" s="50"/>
      <c r="R63" s="59"/>
      <c r="S63" s="61"/>
      <c r="T63" s="59"/>
      <c r="U63" s="124"/>
      <c r="V63" s="476"/>
      <c r="W63" s="476"/>
      <c r="X63" s="476"/>
      <c r="Y63" s="476"/>
      <c r="Z63" s="476"/>
      <c r="AA63" s="476"/>
      <c r="AB63" s="476"/>
      <c r="AC63" s="124"/>
      <c r="AD63" s="124"/>
      <c r="AE63" s="124"/>
      <c r="AF63" s="124"/>
      <c r="AG63" s="598"/>
      <c r="AH63" s="598" t="s">
        <v>287</v>
      </c>
      <c r="AI63" s="598"/>
      <c r="AJ63" s="598" t="s">
        <v>289</v>
      </c>
      <c r="AK63" s="598" t="s">
        <v>290</v>
      </c>
    </row>
    <row r="64" spans="1:42" ht="15" thickTop="1" thickBot="1">
      <c r="A64" s="376" t="s">
        <v>147</v>
      </c>
      <c r="B64" s="4"/>
      <c r="C64" s="4"/>
      <c r="D64" s="4"/>
      <c r="E64" s="4"/>
      <c r="F64" s="2"/>
      <c r="G64" s="152"/>
      <c r="H64" s="33"/>
      <c r="I64" s="33"/>
      <c r="J64" s="33"/>
      <c r="K64" s="33"/>
      <c r="L64" s="4"/>
      <c r="M64" s="4"/>
      <c r="N64" s="4"/>
      <c r="O64" s="4"/>
      <c r="P64" s="4"/>
      <c r="Q64" s="57"/>
      <c r="R64" s="33"/>
      <c r="S64" s="33"/>
      <c r="T64" s="33"/>
      <c r="AH64" s="601">
        <f>SUM(AH$15:AH63)</f>
        <v>680</v>
      </c>
      <c r="AJ64" s="601">
        <f>SUM(AJ$15:AJ63)</f>
        <v>370.92000000000007</v>
      </c>
      <c r="AK64" s="601">
        <f>SUM(AK$15:AK63)</f>
        <v>1050.92</v>
      </c>
    </row>
    <row r="65" spans="1:37" ht="14.4" thickTop="1">
      <c r="A65" s="64"/>
      <c r="B65" s="62">
        <f>$F65/$C$2-($R65*$S$2+$T65*$T$2)</f>
        <v>0</v>
      </c>
      <c r="C65" s="33" t="s">
        <v>73</v>
      </c>
      <c r="D65" s="63"/>
      <c r="E65" s="63" t="str">
        <f>$F$2 &amp; " (mu_A) :"</f>
        <v>Electrical Site Pair (mu_A) :</v>
      </c>
      <c r="F65" s="544">
        <f>SUMIF($K$13:$K64,"mu_A",F$13:F64)</f>
        <v>0</v>
      </c>
      <c r="G65" s="64"/>
      <c r="H65" s="64"/>
      <c r="I65" s="64"/>
      <c r="J65" s="64"/>
      <c r="K65" s="64"/>
      <c r="L65" s="64"/>
      <c r="M65" s="64"/>
      <c r="N65" s="64"/>
      <c r="O65" s="65"/>
      <c r="P65" s="64"/>
      <c r="Q65" s="64"/>
      <c r="R65" s="66">
        <f>SUMIF($K$13:$K64,"mu_A",R$13:R$64)</f>
        <v>0</v>
      </c>
      <c r="S65" s="64"/>
      <c r="T65" s="66">
        <f>SUMIF($K$13:$K64,"mu_A",T$13:T$64)</f>
        <v>0</v>
      </c>
      <c r="AG65" s="1"/>
      <c r="AH65" s="544">
        <f>R65*$S$2</f>
        <v>0</v>
      </c>
      <c r="AI65" s="1"/>
      <c r="AJ65" s="544">
        <f>T65*$T$2</f>
        <v>0</v>
      </c>
      <c r="AK65" s="1"/>
    </row>
    <row r="66" spans="1:37">
      <c r="A66" s="64"/>
      <c r="B66" s="62">
        <f>$F66/$C$3-($R66*$S$3+$T66*$T$3)</f>
        <v>0</v>
      </c>
      <c r="C66" s="33" t="s">
        <v>73</v>
      </c>
      <c r="D66" s="63"/>
      <c r="E66" s="63" t="str">
        <f>$F$3&amp; " (mu_B) :"</f>
        <v>ECA/BMS Pair (mu_B) :</v>
      </c>
      <c r="F66" s="545">
        <f>SUMIF($K$13:$K64,"mu_B",F$13:F64)</f>
        <v>1050.92</v>
      </c>
      <c r="G66" s="67"/>
      <c r="H66" s="67"/>
      <c r="I66" s="68"/>
      <c r="J66" s="67"/>
      <c r="K66" s="67"/>
      <c r="L66" s="67"/>
      <c r="M66" s="67"/>
      <c r="N66" s="67"/>
      <c r="O66" s="67"/>
      <c r="P66" s="67"/>
      <c r="Q66" s="69"/>
      <c r="R66" s="70">
        <f>SUMIF($K$13:$K64,"mu_B",R$13:R64)</f>
        <v>680</v>
      </c>
      <c r="S66" s="71"/>
      <c r="T66" s="70">
        <f>SUMIF($K$13:$K64,"mu_B",T$13:T64)</f>
        <v>11</v>
      </c>
      <c r="AG66" s="1"/>
      <c r="AH66" s="545">
        <f>R66*$S$3</f>
        <v>680</v>
      </c>
      <c r="AI66" s="1"/>
      <c r="AJ66" s="545">
        <f>T66*$T$3</f>
        <v>370.91999999999996</v>
      </c>
      <c r="AK66" s="1"/>
    </row>
    <row r="67" spans="1:37">
      <c r="A67" s="64"/>
      <c r="B67" s="62">
        <f>$F67/$C$4-($R67*$S$4+$T67*$T$4)</f>
        <v>0</v>
      </c>
      <c r="C67" s="33" t="s">
        <v>73</v>
      </c>
      <c r="D67" s="63"/>
      <c r="E67" s="63" t="str">
        <f>$F$4&amp; " (mu_C) :"</f>
        <v>ECA/BMS Engineer (mu_C) :</v>
      </c>
      <c r="F67" s="546">
        <f>SUMIF($K$13:$K64,"mu_C",F$13:F64)</f>
        <v>0</v>
      </c>
      <c r="G67" s="67"/>
      <c r="H67" s="67"/>
      <c r="I67" s="68"/>
      <c r="J67" s="67"/>
      <c r="K67" s="67"/>
      <c r="L67" s="67"/>
      <c r="M67" s="67"/>
      <c r="N67" s="67"/>
      <c r="O67" s="67"/>
      <c r="P67" s="67"/>
      <c r="Q67" s="64"/>
      <c r="R67" s="70">
        <f>SUMIF($K$13:$K64,"mu_C",R$13:R64)</f>
        <v>0</v>
      </c>
      <c r="S67" s="72"/>
      <c r="T67" s="70">
        <f>SUMIF($K$13:$K64,"mu_C",T$13:T64)</f>
        <v>0</v>
      </c>
      <c r="AG67" s="1"/>
      <c r="AH67" s="546">
        <f>R67*$S$4</f>
        <v>0</v>
      </c>
      <c r="AI67" s="1"/>
      <c r="AJ67" s="546">
        <f>T67*$T$4</f>
        <v>0</v>
      </c>
      <c r="AK67" s="1"/>
    </row>
    <row r="68" spans="1:37">
      <c r="A68" s="64"/>
      <c r="B68" s="62">
        <f>$F68/$C$5-($R68*$S$5+$T68*$T$5)</f>
        <v>0</v>
      </c>
      <c r="C68" s="33" t="s">
        <v>73</v>
      </c>
      <c r="D68" s="63"/>
      <c r="E68" s="63" t="str">
        <f>$F$5&amp; " (mu_D) :"</f>
        <v>BMS - Tech - Single (mu_D) :</v>
      </c>
      <c r="F68" s="547">
        <f>SUMIF($K$13:$K64,"mu_D",F$13:F64)</f>
        <v>0</v>
      </c>
      <c r="G68" s="67"/>
      <c r="H68" s="67"/>
      <c r="I68" s="68"/>
      <c r="J68" s="67"/>
      <c r="K68" s="67"/>
      <c r="L68" s="67"/>
      <c r="M68" s="67"/>
      <c r="N68" s="67"/>
      <c r="O68" s="67"/>
      <c r="P68" s="67"/>
      <c r="Q68" s="64"/>
      <c r="R68" s="70">
        <f>SUMIF($K$13:$K64,"mu_D",R$13:R64)</f>
        <v>0</v>
      </c>
      <c r="S68" s="72"/>
      <c r="T68" s="70">
        <f>SUMIF($K$13:$K64,"mu_D",T$13:T64)</f>
        <v>0</v>
      </c>
      <c r="AG68" s="1"/>
      <c r="AH68" s="547">
        <f>R68*$S$5</f>
        <v>0</v>
      </c>
      <c r="AI68" s="1"/>
      <c r="AJ68" s="547">
        <f>T68*$T$5</f>
        <v>0</v>
      </c>
      <c r="AK68" s="1"/>
    </row>
    <row r="69" spans="1:37">
      <c r="A69" s="64"/>
      <c r="B69" s="62">
        <f>$F69/$C$6-($R69*$S$6+$T69*$T$6)</f>
        <v>0</v>
      </c>
      <c r="C69" s="33" t="s">
        <v>73</v>
      </c>
      <c r="D69" s="63"/>
      <c r="E69" s="63" t="str">
        <f>$F$6&amp; " (mu_E) :"</f>
        <v>Edward/Mark + AGV (mu_E) :</v>
      </c>
      <c r="F69" s="548">
        <f>SUMIF($K$13:$K64,"mu_E",F$13:F64)</f>
        <v>0</v>
      </c>
      <c r="G69" s="67"/>
      <c r="H69" s="67"/>
      <c r="I69" s="68"/>
      <c r="J69" s="67"/>
      <c r="K69" s="67"/>
      <c r="L69" s="67"/>
      <c r="M69" s="67"/>
      <c r="N69" s="67"/>
      <c r="O69" s="67"/>
      <c r="P69" s="67"/>
      <c r="Q69" s="64"/>
      <c r="R69" s="70">
        <f>SUMIF($K$13:$K64,"mu_E",R$13:R64)</f>
        <v>0</v>
      </c>
      <c r="S69" s="72"/>
      <c r="T69" s="70">
        <f>SUMIF($K$13:$K64,"mu_E",T$13:T64)</f>
        <v>0</v>
      </c>
      <c r="AG69" s="1"/>
      <c r="AH69" s="548">
        <f>R69*$S$6</f>
        <v>0</v>
      </c>
      <c r="AI69" s="1"/>
      <c r="AJ69" s="548">
        <f>T69*$T$6</f>
        <v>0</v>
      </c>
      <c r="AK69" s="1"/>
    </row>
    <row r="70" spans="1:37">
      <c r="A70" s="64"/>
      <c r="B70" s="62">
        <f>$F70/$C$7-($R70*$S$7+$T70*$T$7)</f>
        <v>0</v>
      </c>
      <c r="C70" s="33" t="s">
        <v>73</v>
      </c>
      <c r="D70" s="63"/>
      <c r="E70" s="63" t="str">
        <f>$F$7&amp; " (mu_F) :"</f>
        <v>0 (mu_F) :</v>
      </c>
      <c r="F70" s="549">
        <f>SUMIF($K$13:$K64,"mu_F",F$13:F64)</f>
        <v>0</v>
      </c>
      <c r="G70" s="67"/>
      <c r="H70" s="67"/>
      <c r="I70" s="68"/>
      <c r="J70" s="67"/>
      <c r="K70" s="67"/>
      <c r="L70" s="67"/>
      <c r="M70" s="67"/>
      <c r="N70" s="67"/>
      <c r="O70" s="67"/>
      <c r="P70" s="67"/>
      <c r="Q70" s="64"/>
      <c r="R70" s="70">
        <f>SUMIF($K$13:$K64,"mu_F",R$13:R64)</f>
        <v>0</v>
      </c>
      <c r="S70" s="72"/>
      <c r="T70" s="70">
        <f>SUMIF($K$13:$K64,"mu_F",T$13:T64)</f>
        <v>0</v>
      </c>
      <c r="AG70" s="1"/>
      <c r="AH70" s="549">
        <f>R70*$S$7</f>
        <v>0</v>
      </c>
      <c r="AI70" s="1"/>
      <c r="AJ70" s="549">
        <f>T70*$T$7</f>
        <v>0</v>
      </c>
      <c r="AK70" s="1"/>
    </row>
    <row r="71" spans="1:37">
      <c r="A71" s="64"/>
      <c r="B71" s="62">
        <f>$F71/$C$8-($R71*$S$8+$T71*$T$8)</f>
        <v>0</v>
      </c>
      <c r="C71" s="33" t="s">
        <v>73</v>
      </c>
      <c r="D71" s="63"/>
      <c r="E71" s="63" t="str">
        <f>$F$8&amp; " (mu_G) :"</f>
        <v>0 (mu_G) :</v>
      </c>
      <c r="F71" s="550">
        <f>SUMIF($K$13:$K64,"mu_G",F$13:F64)</f>
        <v>0</v>
      </c>
      <c r="G71" s="67"/>
      <c r="H71" s="67"/>
      <c r="I71" s="68"/>
      <c r="J71" s="67"/>
      <c r="K71" s="67"/>
      <c r="L71" s="67"/>
      <c r="M71" s="67"/>
      <c r="N71" s="67"/>
      <c r="O71" s="67"/>
      <c r="P71" s="67"/>
      <c r="Q71" s="64"/>
      <c r="R71" s="70">
        <f>SUMIF($K$13:$K64,"mu_G",R$13:R64)</f>
        <v>0</v>
      </c>
      <c r="S71" s="72"/>
      <c r="T71" s="70">
        <f>SUMIF($K$13:$K64,"mu_G",T$13:T64)</f>
        <v>0</v>
      </c>
      <c r="AG71" s="1"/>
      <c r="AH71" s="550">
        <f>R71*$S$8</f>
        <v>0</v>
      </c>
      <c r="AI71" s="1"/>
      <c r="AJ71" s="550">
        <f>T71*$T$8</f>
        <v>0</v>
      </c>
      <c r="AK71" s="1"/>
    </row>
    <row r="72" spans="1:37">
      <c r="A72" s="64"/>
      <c r="B72" s="62">
        <f>$F72/$C$9-($R72*$S$9+$T72*$T$9)</f>
        <v>0</v>
      </c>
      <c r="C72" s="33" t="s">
        <v>73</v>
      </c>
      <c r="D72" s="63"/>
      <c r="E72" s="63" t="str">
        <f>$F$9&amp; " (mu_H) :"</f>
        <v>0 (mu_H) :</v>
      </c>
      <c r="F72" s="589">
        <f>SUMIF($K$13:$K64,"mu_H",F$13:F64)</f>
        <v>0</v>
      </c>
      <c r="G72" s="67"/>
      <c r="H72" s="67"/>
      <c r="I72" s="68"/>
      <c r="J72" s="67"/>
      <c r="K72" s="67"/>
      <c r="L72" s="67"/>
      <c r="M72" s="67"/>
      <c r="N72" s="67"/>
      <c r="O72" s="67"/>
      <c r="P72" s="67"/>
      <c r="Q72" s="64"/>
      <c r="R72" s="70">
        <f>SUMIF($K$13:$K64,"mu_H",R$13:R64)</f>
        <v>0</v>
      </c>
      <c r="S72" s="72"/>
      <c r="T72" s="70">
        <f>SUMIF($K$13:$K64,"mu_H",T$13:T64)</f>
        <v>0</v>
      </c>
      <c r="AG72" s="1"/>
      <c r="AH72" s="589">
        <f>R72*$S$9</f>
        <v>0</v>
      </c>
      <c r="AI72" s="1"/>
      <c r="AJ72" s="589">
        <f>T72*$T$9</f>
        <v>0</v>
      </c>
      <c r="AK72" s="1"/>
    </row>
    <row r="73" spans="1:37">
      <c r="A73" s="64"/>
      <c r="B73" s="62">
        <f>$F73/$C$10-($R73*$S$10+$T73*$T$10)</f>
        <v>0</v>
      </c>
      <c r="C73" s="33" t="s">
        <v>73</v>
      </c>
      <c r="D73" s="63"/>
      <c r="E73" s="63" t="str">
        <f>$F$10&amp; " (mu_I) :"</f>
        <v>0 (mu_I) :</v>
      </c>
      <c r="F73" s="590">
        <f>SUMIF($K$13:$K64,"mu_I",F$13:F64)</f>
        <v>0</v>
      </c>
      <c r="G73" s="67"/>
      <c r="H73" s="67"/>
      <c r="I73" s="68"/>
      <c r="J73" s="67"/>
      <c r="K73" s="67"/>
      <c r="L73" s="67"/>
      <c r="M73" s="67"/>
      <c r="N73" s="67"/>
      <c r="O73" s="67"/>
      <c r="P73" s="67"/>
      <c r="Q73" s="64"/>
      <c r="R73" s="70">
        <f>SUMIF($K$13:$K64,"mu_I",R$13:R64)</f>
        <v>0</v>
      </c>
      <c r="S73" s="72"/>
      <c r="T73" s="70">
        <f>SUMIF($K$13:$K64,"mu_I",T$13:T64)</f>
        <v>0</v>
      </c>
      <c r="AG73" s="1"/>
      <c r="AH73" s="590">
        <f>R73*$S$10</f>
        <v>0</v>
      </c>
      <c r="AI73" s="1"/>
      <c r="AJ73" s="590">
        <f>T73*$T$10</f>
        <v>0</v>
      </c>
      <c r="AK73" s="1"/>
    </row>
    <row r="74" spans="1:37">
      <c r="A74" s="64"/>
      <c r="B74" s="62">
        <f ca="1">$F74/$C$11-($R74*$S$11+$T74*$T$11)</f>
        <v>0</v>
      </c>
      <c r="C74" s="33"/>
      <c r="D74" s="63"/>
      <c r="E74" s="63" t="str">
        <f>$F$11&amp; " (mu_J) :"</f>
        <v>0 (mu_J) :</v>
      </c>
      <c r="F74" s="591">
        <f>SUMIF($K$13:$K65,"mu_J",F$13:F65)</f>
        <v>0</v>
      </c>
      <c r="G74" s="67"/>
      <c r="H74" s="67"/>
      <c r="I74" s="68"/>
      <c r="J74" s="67"/>
      <c r="K74" s="67"/>
      <c r="L74" s="67"/>
      <c r="M74" s="67"/>
      <c r="N74" s="67"/>
      <c r="O74" s="67"/>
      <c r="P74" s="67"/>
      <c r="Q74" s="64"/>
      <c r="R74" s="70">
        <f ca="1">SUMIF($K$13:$K65,"mu_J",R$13:R64)</f>
        <v>0</v>
      </c>
      <c r="S74" s="72"/>
      <c r="T74" s="70">
        <f>SUMIF($K$13:$K65,"mu_J",T$13:T65)</f>
        <v>0</v>
      </c>
      <c r="AG74" s="1"/>
      <c r="AH74" s="591">
        <f ca="1">R74*$S$11</f>
        <v>0</v>
      </c>
      <c r="AI74" s="1"/>
      <c r="AJ74" s="591">
        <f>T74*$T$11</f>
        <v>0</v>
      </c>
      <c r="AK74" s="1"/>
    </row>
    <row r="75" spans="1:37" ht="15" thickBot="1">
      <c r="A75" s="73"/>
      <c r="B75" s="73"/>
      <c r="C75" s="74" t="s">
        <v>148</v>
      </c>
      <c r="D75" s="75"/>
      <c r="E75" s="76" t="s">
        <v>149</v>
      </c>
      <c r="F75" s="551">
        <f>SUM(F65:F74)</f>
        <v>1050.92</v>
      </c>
      <c r="G75" s="607" t="s">
        <v>142</v>
      </c>
      <c r="H75" s="77"/>
      <c r="I75" s="78"/>
      <c r="J75" s="77"/>
      <c r="K75" s="77"/>
      <c r="L75" s="77"/>
      <c r="M75" s="77"/>
      <c r="N75" s="77"/>
      <c r="O75" s="77"/>
      <c r="P75" s="77"/>
      <c r="Q75" s="79"/>
      <c r="R75" s="79">
        <f ca="1">SUM(R65:R74)</f>
        <v>680</v>
      </c>
      <c r="S75" s="80"/>
      <c r="T75" s="79">
        <f>SUM(T65:T74)</f>
        <v>11</v>
      </c>
      <c r="U75" s="124"/>
      <c r="V75" s="476"/>
      <c r="W75" s="476"/>
      <c r="X75" s="476"/>
      <c r="Y75" s="476"/>
      <c r="Z75" s="476"/>
      <c r="AA75" s="476"/>
      <c r="AB75" s="476"/>
      <c r="AC75" s="124"/>
      <c r="AD75" s="124"/>
      <c r="AE75" s="124"/>
      <c r="AF75" s="124"/>
      <c r="AG75" s="600"/>
      <c r="AH75" s="601">
        <f ca="1">SUM(AH65:AH74)</f>
        <v>680</v>
      </c>
      <c r="AI75" s="600"/>
      <c r="AJ75" s="601">
        <f>SUM(AJ65:AJ74)</f>
        <v>370.91999999999996</v>
      </c>
      <c r="AK75" s="601">
        <f ca="1">AH75+AJ75</f>
        <v>1050.92</v>
      </c>
    </row>
    <row r="76" spans="1:37" ht="15" thickTop="1">
      <c r="A76" s="81"/>
      <c r="B76" s="81"/>
      <c r="C76" s="82"/>
      <c r="D76" s="83"/>
      <c r="E76" s="84"/>
      <c r="F76" s="85"/>
      <c r="G76" s="86"/>
      <c r="H76" s="86"/>
      <c r="I76" s="86"/>
      <c r="J76" s="86"/>
      <c r="K76" s="86"/>
      <c r="L76" s="86"/>
      <c r="M76" s="86"/>
      <c r="N76" s="86"/>
      <c r="O76" s="86"/>
      <c r="P76" s="86"/>
      <c r="Q76" s="85"/>
      <c r="R76" s="85"/>
      <c r="S76" s="87"/>
      <c r="T76" s="85"/>
      <c r="AH76" s="599">
        <f ca="1">AH64-AH75</f>
        <v>0</v>
      </c>
      <c r="AJ76" s="599">
        <f>AJ64-AJ75</f>
        <v>0</v>
      </c>
      <c r="AK76" s="599">
        <f ca="1">AK64-AK75</f>
        <v>0</v>
      </c>
    </row>
    <row r="77" spans="1:37" ht="14.4" thickBot="1">
      <c r="A77" s="88"/>
      <c r="B77" s="89" t="s">
        <v>233</v>
      </c>
      <c r="C77" s="33"/>
      <c r="D77" s="90"/>
      <c r="E77" s="84" t="s">
        <v>172</v>
      </c>
      <c r="F77" s="45"/>
      <c r="G77" s="45"/>
      <c r="H77" s="45"/>
      <c r="I77" s="45"/>
      <c r="J77" s="45"/>
      <c r="K77" s="45"/>
      <c r="L77" s="91" t="s">
        <v>150</v>
      </c>
      <c r="M77" s="91"/>
      <c r="N77" s="91"/>
      <c r="O77" s="91"/>
      <c r="P77" s="91"/>
      <c r="Q77" s="45"/>
      <c r="R77" s="92">
        <f>SUMIF($L$13:$L64,"",R$13:R64)</f>
        <v>680</v>
      </c>
      <c r="S77" s="92"/>
      <c r="T77" s="92">
        <f>SUMIF($L$13:$L64,"",T$13:T64)</f>
        <v>11</v>
      </c>
    </row>
    <row r="78" spans="1:37">
      <c r="A78" s="93"/>
      <c r="B78" s="94" t="s">
        <v>232</v>
      </c>
      <c r="C78" s="33"/>
      <c r="D78" s="33"/>
      <c r="E78" s="71"/>
      <c r="F78" s="45"/>
      <c r="G78" s="45"/>
      <c r="H78" s="45"/>
      <c r="I78" s="45"/>
      <c r="J78" s="45"/>
      <c r="K78" s="45"/>
      <c r="L78" s="45"/>
      <c r="M78" s="45"/>
      <c r="N78" s="45"/>
      <c r="O78" s="45"/>
      <c r="P78" s="45"/>
      <c r="Q78" s="45"/>
      <c r="R78" s="45"/>
      <c r="S78" s="45"/>
      <c r="T78" s="45"/>
    </row>
    <row r="79" spans="1:37" ht="14.4" thickBot="1">
      <c r="A79" s="377"/>
      <c r="B79" s="95">
        <f>$F79/$C$2-($R79*$S$2+$T79*$T$2)</f>
        <v>57.090000000000032</v>
      </c>
      <c r="C79" s="33"/>
      <c r="D79" s="90"/>
      <c r="E79" s="84" t="s">
        <v>171</v>
      </c>
      <c r="F79" s="552">
        <f>SUMIF($L$13:$L64,"ITEM",F$13:F64)</f>
        <v>1050.92</v>
      </c>
      <c r="G79" s="45"/>
      <c r="H79" s="45"/>
      <c r="I79" s="45"/>
      <c r="J79" s="45"/>
      <c r="K79" s="45"/>
      <c r="L79" s="91" t="s">
        <v>151</v>
      </c>
      <c r="M79" s="91"/>
      <c r="N79" s="91"/>
      <c r="O79" s="91"/>
      <c r="P79" s="91"/>
      <c r="Q79" s="92"/>
      <c r="R79" s="96">
        <f>SUMIF($L$13:$L64,"ITEM",R$13:R64)</f>
        <v>680</v>
      </c>
      <c r="S79" s="97"/>
      <c r="T79" s="96">
        <f>SUMIF($L$13:$L64,"ITEM",T$13:T64)</f>
        <v>11</v>
      </c>
    </row>
    <row r="80" spans="1:37">
      <c r="A80" s="377"/>
      <c r="B80" s="98"/>
      <c r="C80" s="4"/>
      <c r="D80" s="33"/>
      <c r="E80" s="71"/>
      <c r="F80" s="45"/>
      <c r="G80" s="45"/>
      <c r="H80" s="45"/>
      <c r="I80" s="45"/>
      <c r="J80" s="45"/>
      <c r="K80" s="45"/>
      <c r="L80" s="45"/>
      <c r="M80" s="45"/>
      <c r="N80" s="45"/>
      <c r="O80" s="45"/>
      <c r="P80" s="45"/>
      <c r="Q80" s="45"/>
      <c r="R80" s="45"/>
      <c r="S80" s="45"/>
      <c r="T80" s="45"/>
    </row>
    <row r="81" spans="1:37" ht="14.4" thickBot="1">
      <c r="A81" s="377"/>
      <c r="B81" s="95">
        <f>$F81/$C$2-($R81*$S$2+$T81*$T$2)</f>
        <v>57.090000000000032</v>
      </c>
      <c r="C81" s="33"/>
      <c r="D81" s="99"/>
      <c r="E81" s="100" t="s">
        <v>152</v>
      </c>
      <c r="F81" s="553">
        <f>SUMIF($L$13:$L64,"PAGE",F$13:F64)</f>
        <v>1050.92</v>
      </c>
      <c r="G81" s="5"/>
      <c r="H81" s="5"/>
      <c r="I81" s="5"/>
      <c r="J81" s="5"/>
      <c r="K81" s="45"/>
      <c r="L81" s="43" t="s">
        <v>153</v>
      </c>
      <c r="M81" s="43"/>
      <c r="N81" s="43"/>
      <c r="O81" s="43"/>
      <c r="P81" s="43"/>
      <c r="Q81" s="92"/>
      <c r="R81" s="101">
        <f>SUMIF($L$13:$L64,"PAGE",R$13:R64)</f>
        <v>680</v>
      </c>
      <c r="S81" s="102"/>
      <c r="T81" s="101">
        <f>SUMIF($L$13:$L64,"PAGE",T$13:T64)</f>
        <v>11</v>
      </c>
    </row>
    <row r="82" spans="1:37">
      <c r="A82" s="377"/>
      <c r="B82" s="95"/>
      <c r="C82" s="33"/>
      <c r="D82" s="33"/>
      <c r="E82" s="71"/>
      <c r="F82" s="45"/>
      <c r="G82" s="45"/>
      <c r="H82" s="45"/>
      <c r="I82" s="45"/>
      <c r="J82" s="45"/>
      <c r="K82" s="45"/>
      <c r="L82" s="45"/>
      <c r="M82" s="45"/>
      <c r="N82" s="45"/>
      <c r="O82" s="45"/>
      <c r="P82" s="45"/>
      <c r="Q82" s="45"/>
      <c r="R82" s="45"/>
      <c r="S82" s="45"/>
      <c r="T82" s="45"/>
    </row>
    <row r="83" spans="1:37" ht="14.4" thickBot="1">
      <c r="A83" s="378" t="s">
        <v>154</v>
      </c>
      <c r="B83" s="95">
        <f>$F83/$C$2-($R83*$S$2+$T83*$T$2)</f>
        <v>0</v>
      </c>
      <c r="C83" s="33"/>
      <c r="D83" s="2"/>
      <c r="E83" s="100" t="s">
        <v>155</v>
      </c>
      <c r="F83" s="554">
        <f>SUMIF($L$13:$L64,"SECT",F$13:F64)</f>
        <v>0</v>
      </c>
      <c r="G83" s="5"/>
      <c r="H83" s="5"/>
      <c r="I83" s="5"/>
      <c r="J83" s="5"/>
      <c r="K83" s="45"/>
      <c r="L83" s="91" t="s">
        <v>156</v>
      </c>
      <c r="M83" s="91"/>
      <c r="N83" s="91"/>
      <c r="O83" s="91"/>
      <c r="P83" s="91"/>
      <c r="Q83" s="92"/>
      <c r="R83" s="103">
        <f>SUMIF($L$13:$L64,"SECT",R$13:R64)</f>
        <v>0</v>
      </c>
      <c r="S83" s="92"/>
      <c r="T83" s="103">
        <f>SUMIF($L$13:$L64,"SECT",T$13:T64)</f>
        <v>0</v>
      </c>
    </row>
    <row r="84" spans="1:37" ht="14.4" thickBot="1">
      <c r="A84" s="104" t="s">
        <v>157</v>
      </c>
      <c r="B84" s="58"/>
      <c r="C84" s="34"/>
      <c r="D84" s="58"/>
      <c r="E84" s="39"/>
      <c r="F84" s="105"/>
      <c r="G84" s="59"/>
      <c r="H84" s="59"/>
      <c r="I84" s="59"/>
      <c r="J84" s="59"/>
      <c r="K84" s="59"/>
      <c r="L84" s="59"/>
      <c r="M84" s="59"/>
      <c r="N84" s="59"/>
      <c r="O84" s="59"/>
      <c r="P84" s="59"/>
      <c r="Q84" s="59"/>
      <c r="R84" s="105"/>
      <c r="S84" s="105"/>
      <c r="T84" s="105"/>
      <c r="U84" s="124"/>
      <c r="V84" s="476"/>
      <c r="W84" s="476"/>
      <c r="X84" s="476"/>
      <c r="Y84" s="476"/>
      <c r="Z84" s="476"/>
      <c r="AA84" s="476"/>
      <c r="AB84" s="476"/>
      <c r="AC84" s="124"/>
      <c r="AD84" s="124"/>
      <c r="AE84" s="124"/>
      <c r="AF84" s="124"/>
      <c r="AG84" s="124"/>
      <c r="AH84" s="124"/>
      <c r="AI84" s="124"/>
      <c r="AJ84" s="124"/>
      <c r="AK84" s="124"/>
    </row>
    <row r="85" spans="1:37" ht="14.4" thickTop="1">
      <c r="A85" s="106"/>
      <c r="B85" s="592" t="s">
        <v>71</v>
      </c>
      <c r="C85" s="6"/>
      <c r="D85" s="107"/>
      <c r="E85" s="108" t="s">
        <v>158</v>
      </c>
      <c r="F85" s="109"/>
      <c r="G85" s="109"/>
      <c r="H85" s="109"/>
      <c r="I85" s="109"/>
      <c r="J85" s="109"/>
      <c r="K85" s="109"/>
      <c r="L85" s="109"/>
      <c r="M85" s="109"/>
      <c r="N85" s="109"/>
      <c r="O85" s="110"/>
      <c r="P85" s="109"/>
      <c r="Q85" s="111"/>
      <c r="R85" s="112">
        <f>SUM(R86:R153)</f>
        <v>680</v>
      </c>
      <c r="S85" s="113"/>
      <c r="T85" s="112">
        <f>SUM(T86:T153)</f>
        <v>11</v>
      </c>
    </row>
    <row r="86" spans="1:37">
      <c r="A86" s="114"/>
      <c r="B86" s="559">
        <v>1</v>
      </c>
      <c r="C86" s="6" t="s">
        <v>73</v>
      </c>
      <c r="D86" s="36" t="s">
        <v>74</v>
      </c>
      <c r="F86" s="115">
        <v>501</v>
      </c>
      <c r="O86" s="116"/>
      <c r="P86" s="36">
        <v>1</v>
      </c>
      <c r="R86" s="117">
        <f>SUMIF($H$13:$H$64,$F86,R$13:R$64)+Elec_Rates!R187</f>
        <v>0</v>
      </c>
      <c r="S86" s="118"/>
      <c r="T86" s="117">
        <f>SUMIF($H$13:$H$64,$F86,T$13:T$64)+Elec_Rates!T187</f>
        <v>0</v>
      </c>
    </row>
    <row r="87" spans="1:37">
      <c r="A87" s="114"/>
      <c r="B87" s="559">
        <v>2</v>
      </c>
      <c r="C87" s="6" t="s">
        <v>73</v>
      </c>
      <c r="D87" s="36" t="s">
        <v>75</v>
      </c>
      <c r="F87" s="115">
        <v>505</v>
      </c>
      <c r="O87" s="116"/>
      <c r="P87" s="36">
        <v>1</v>
      </c>
      <c r="R87" s="117">
        <f>SUMIF($H$13:$H$64,$F87,R$13:R$64)+Elec_Rates!R188</f>
        <v>0</v>
      </c>
      <c r="S87" s="118"/>
      <c r="T87" s="117">
        <f>SUMIF($H$13:$H$64,$F87,T$13:T$64)+Elec_Rates!T188</f>
        <v>0</v>
      </c>
    </row>
    <row r="88" spans="1:37">
      <c r="A88" s="114"/>
      <c r="B88" s="559">
        <v>3</v>
      </c>
      <c r="C88" s="6" t="s">
        <v>73</v>
      </c>
      <c r="D88" s="36" t="s">
        <v>76</v>
      </c>
      <c r="F88" s="115">
        <v>510</v>
      </c>
      <c r="O88" s="116"/>
      <c r="P88" s="36">
        <v>2</v>
      </c>
      <c r="R88" s="117">
        <f>SUMIF($H$13:$H$64,$F88,R$13:R$64)+Elec_Rates!R189</f>
        <v>0</v>
      </c>
      <c r="S88" s="118"/>
      <c r="T88" s="117">
        <f>SUMIF($H$13:$H$64,$F88,T$13:T$64)+Elec_Rates!T189</f>
        <v>0</v>
      </c>
    </row>
    <row r="89" spans="1:37">
      <c r="A89" s="114"/>
      <c r="B89" s="559">
        <v>4</v>
      </c>
      <c r="C89" s="6" t="s">
        <v>73</v>
      </c>
      <c r="D89" s="36" t="s">
        <v>77</v>
      </c>
      <c r="F89" s="115">
        <v>511</v>
      </c>
      <c r="O89" s="116"/>
      <c r="P89" s="36">
        <v>2</v>
      </c>
      <c r="R89" s="117">
        <f>SUMIF($H$13:$H$64,$F89,R$13:R$64)+Elec_Rates!R190</f>
        <v>0</v>
      </c>
      <c r="S89" s="118"/>
      <c r="T89" s="117">
        <f>SUMIF($H$13:$H$64,$F89,T$13:T$64)+Elec_Rates!T190</f>
        <v>0</v>
      </c>
    </row>
    <row r="90" spans="1:37">
      <c r="A90" s="114"/>
      <c r="B90" s="559">
        <v>5</v>
      </c>
      <c r="C90" s="6" t="s">
        <v>73</v>
      </c>
      <c r="D90" s="36" t="s">
        <v>78</v>
      </c>
      <c r="F90" s="115">
        <v>512</v>
      </c>
      <c r="O90" s="116"/>
      <c r="P90" s="36">
        <v>2</v>
      </c>
      <c r="R90" s="117">
        <f>SUMIF($H$13:$H$64,$F90,R$13:R$64)+Elec_Rates!R191</f>
        <v>0</v>
      </c>
      <c r="S90" s="118"/>
      <c r="T90" s="117">
        <f>SUMIF($H$13:$H$64,$F90,T$13:T$64)+Elec_Rates!T191</f>
        <v>0</v>
      </c>
    </row>
    <row r="91" spans="1:37">
      <c r="A91" s="114"/>
      <c r="B91" s="559">
        <v>6</v>
      </c>
      <c r="C91" s="6" t="s">
        <v>73</v>
      </c>
      <c r="D91" s="36" t="s">
        <v>79</v>
      </c>
      <c r="F91" s="115">
        <v>520</v>
      </c>
      <c r="O91" s="116"/>
      <c r="P91" s="36">
        <v>1</v>
      </c>
      <c r="R91" s="117">
        <f>SUMIF($H$13:$H$64,$F91,R$13:R$64)+Elec_Rates!R192</f>
        <v>0</v>
      </c>
      <c r="S91" s="118"/>
      <c r="T91" s="117">
        <f>SUMIF($H$13:$H$64,$F91,T$13:T$64)+Elec_Rates!T192</f>
        <v>0</v>
      </c>
    </row>
    <row r="92" spans="1:37">
      <c r="A92" s="114"/>
      <c r="B92" s="559">
        <v>7</v>
      </c>
      <c r="C92" s="6" t="s">
        <v>73</v>
      </c>
      <c r="D92" s="36" t="s">
        <v>80</v>
      </c>
      <c r="F92" s="115">
        <v>530</v>
      </c>
      <c r="O92" s="116"/>
      <c r="P92" s="36">
        <v>2</v>
      </c>
      <c r="R92" s="117">
        <f>SUMIF($H$13:$H$64,$F92,R$13:R$64)+Elec_Rates!R193</f>
        <v>0</v>
      </c>
      <c r="S92" s="118"/>
      <c r="T92" s="117">
        <f>SUMIF($H$13:$H$64,$F92,T$13:T$64)+Elec_Rates!T193</f>
        <v>0</v>
      </c>
    </row>
    <row r="93" spans="1:37">
      <c r="A93" s="114"/>
      <c r="B93" s="559">
        <v>8</v>
      </c>
      <c r="C93" s="6" t="s">
        <v>73</v>
      </c>
      <c r="D93" s="36" t="s">
        <v>81</v>
      </c>
      <c r="F93" s="115">
        <v>550</v>
      </c>
      <c r="O93" s="116"/>
      <c r="P93" s="36">
        <v>2</v>
      </c>
      <c r="R93" s="117">
        <f>SUMIF($H$13:$H$64,$F93,R$13:R$64)+Elec_Rates!R194</f>
        <v>0</v>
      </c>
      <c r="S93" s="118"/>
      <c r="T93" s="117">
        <f>SUMIF($H$13:$H$64,$F93,T$13:T$64)+Elec_Rates!T194</f>
        <v>0</v>
      </c>
    </row>
    <row r="94" spans="1:37">
      <c r="A94" s="114"/>
      <c r="B94" s="559">
        <v>9</v>
      </c>
      <c r="C94" s="6" t="s">
        <v>73</v>
      </c>
      <c r="D94" s="36" t="s">
        <v>82</v>
      </c>
      <c r="F94" s="115">
        <v>570</v>
      </c>
      <c r="O94" s="116"/>
      <c r="P94" s="36">
        <v>2</v>
      </c>
      <c r="R94" s="117">
        <f>SUMIF($H$13:$H$64,$F94,R$13:R$64)+Elec_Rates!R195</f>
        <v>0</v>
      </c>
      <c r="S94" s="118"/>
      <c r="T94" s="117">
        <f>SUMIF($H$13:$H$64,$F94,T$13:T$64)+Elec_Rates!T195</f>
        <v>0</v>
      </c>
    </row>
    <row r="95" spans="1:37">
      <c r="A95" s="114"/>
      <c r="B95" s="559">
        <v>10</v>
      </c>
      <c r="C95" s="6" t="s">
        <v>73</v>
      </c>
      <c r="D95" s="36" t="s">
        <v>83</v>
      </c>
      <c r="F95" s="115">
        <v>615</v>
      </c>
      <c r="O95" s="116"/>
      <c r="P95" s="36">
        <v>2</v>
      </c>
      <c r="R95" s="117">
        <f>SUMIF($H$13:$H$64,$F95,R$13:R$64)+Elec_Rates!R196</f>
        <v>0</v>
      </c>
      <c r="S95" s="118"/>
      <c r="T95" s="117">
        <f>SUMIF($H$13:$H$64,$F95,T$13:T$64)+Elec_Rates!T196</f>
        <v>0</v>
      </c>
    </row>
    <row r="96" spans="1:37">
      <c r="A96" s="114"/>
      <c r="B96" s="559">
        <v>11</v>
      </c>
      <c r="C96" s="6" t="s">
        <v>73</v>
      </c>
      <c r="D96" s="36" t="s">
        <v>85</v>
      </c>
      <c r="F96" s="115">
        <v>616</v>
      </c>
      <c r="O96" s="116"/>
      <c r="P96" s="36">
        <v>2</v>
      </c>
      <c r="R96" s="117">
        <f>SUMIF($H$13:$H$64,$F96,R$13:R$64)+Elec_Rates!R197</f>
        <v>0</v>
      </c>
      <c r="S96" s="118"/>
      <c r="T96" s="117">
        <f>SUMIF($H$13:$H$64,$F96,T$13:T$64)+Elec_Rates!T197</f>
        <v>0</v>
      </c>
    </row>
    <row r="97" spans="1:20">
      <c r="A97" s="114"/>
      <c r="B97" s="559">
        <v>12</v>
      </c>
      <c r="C97" s="6" t="s">
        <v>73</v>
      </c>
      <c r="D97" s="36" t="s">
        <v>86</v>
      </c>
      <c r="F97" s="115">
        <v>617</v>
      </c>
      <c r="O97" s="116"/>
      <c r="P97" s="36">
        <v>2</v>
      </c>
      <c r="R97" s="117">
        <f>SUMIF($H$13:$H$64,$F97,R$13:R$64)+Elec_Rates!R198</f>
        <v>0</v>
      </c>
      <c r="S97" s="118"/>
      <c r="T97" s="117">
        <f>SUMIF($H$13:$H$64,$F97,T$13:T$64)+Elec_Rates!T198</f>
        <v>0</v>
      </c>
    </row>
    <row r="98" spans="1:20">
      <c r="A98" s="114"/>
      <c r="B98" s="559">
        <v>13</v>
      </c>
      <c r="C98" s="6" t="s">
        <v>73</v>
      </c>
      <c r="D98" s="36" t="s">
        <v>159</v>
      </c>
      <c r="F98" s="115">
        <v>620</v>
      </c>
      <c r="O98" s="116"/>
      <c r="P98" s="36">
        <v>2</v>
      </c>
      <c r="R98" s="117">
        <f>SUMIF($H$13:$H$64,$F98,R$13:R$64)+Elec_Rates!R199</f>
        <v>0</v>
      </c>
      <c r="S98" s="118"/>
      <c r="T98" s="117">
        <f>SUMIF($H$13:$H$64,$F98,T$13:T$64)+Elec_Rates!T199</f>
        <v>0</v>
      </c>
    </row>
    <row r="99" spans="1:20">
      <c r="A99" s="114"/>
      <c r="B99" s="559">
        <v>14</v>
      </c>
      <c r="C99" s="6" t="s">
        <v>73</v>
      </c>
      <c r="D99" s="36" t="s">
        <v>88</v>
      </c>
      <c r="F99" s="115">
        <v>650</v>
      </c>
      <c r="O99" s="116"/>
      <c r="P99" s="36">
        <v>1</v>
      </c>
      <c r="R99" s="117">
        <f>SUMIF($H$13:$H$64,$F99,R$13:R$64)+Elec_Rates!R200</f>
        <v>0</v>
      </c>
      <c r="S99" s="118"/>
      <c r="T99" s="117">
        <f>SUMIF($H$13:$H$64,$F99,T$13:T$64)+Elec_Rates!T200</f>
        <v>0</v>
      </c>
    </row>
    <row r="100" spans="1:20">
      <c r="A100" s="114"/>
      <c r="B100" s="559">
        <v>15</v>
      </c>
      <c r="C100" s="6" t="s">
        <v>73</v>
      </c>
      <c r="D100" s="36" t="s">
        <v>89</v>
      </c>
      <c r="F100" s="115">
        <v>651</v>
      </c>
      <c r="O100" s="116"/>
      <c r="P100" s="36">
        <v>1</v>
      </c>
      <c r="R100" s="117">
        <f>SUMIF($H$13:$H$64,$F100,R$13:R$64)+Elec_Rates!R201</f>
        <v>0</v>
      </c>
      <c r="S100" s="118"/>
      <c r="T100" s="117">
        <f>SUMIF($H$13:$H$64,$F100,T$13:T$64)+Elec_Rates!T201</f>
        <v>0</v>
      </c>
    </row>
    <row r="101" spans="1:20">
      <c r="A101" s="114"/>
      <c r="B101" s="559">
        <v>16</v>
      </c>
      <c r="C101" s="6" t="s">
        <v>73</v>
      </c>
      <c r="D101" s="36" t="s">
        <v>90</v>
      </c>
      <c r="F101" s="115">
        <v>652</v>
      </c>
      <c r="O101" s="116"/>
      <c r="P101" s="36">
        <v>1</v>
      </c>
      <c r="R101" s="117">
        <f>SUMIF($H$13:$H$64,$F101,R$13:R$64)+Elec_Rates!R202</f>
        <v>0</v>
      </c>
      <c r="S101" s="118"/>
      <c r="T101" s="117">
        <f>SUMIF($H$13:$H$64,$F101,T$13:T$64)+Elec_Rates!T202</f>
        <v>0</v>
      </c>
    </row>
    <row r="102" spans="1:20">
      <c r="A102" s="114"/>
      <c r="B102" s="559">
        <v>17</v>
      </c>
      <c r="C102" s="6" t="s">
        <v>73</v>
      </c>
      <c r="D102" s="36" t="s">
        <v>91</v>
      </c>
      <c r="F102" s="115">
        <v>654</v>
      </c>
      <c r="O102" s="116"/>
      <c r="P102" s="36">
        <v>1</v>
      </c>
      <c r="R102" s="117">
        <f>SUMIF($H$13:$H$64,$F102,R$13:R$64)+Elec_Rates!R203</f>
        <v>0</v>
      </c>
      <c r="S102" s="118"/>
      <c r="T102" s="117">
        <f>SUMIF($H$13:$H$64,$F102,T$13:T$64)+Elec_Rates!T203</f>
        <v>0</v>
      </c>
    </row>
    <row r="103" spans="1:20">
      <c r="A103" s="114"/>
      <c r="B103" s="559">
        <v>18</v>
      </c>
      <c r="C103" s="6" t="s">
        <v>73</v>
      </c>
      <c r="D103" s="36" t="s">
        <v>92</v>
      </c>
      <c r="F103" s="115">
        <v>675</v>
      </c>
      <c r="O103" s="116"/>
      <c r="P103" s="36">
        <v>1</v>
      </c>
      <c r="R103" s="117">
        <f>SUMIF($H$13:$H$64,$F103,R$13:R$64)+Elec_Rates!R204</f>
        <v>0</v>
      </c>
      <c r="S103" s="118"/>
      <c r="T103" s="117">
        <f>SUMIF($H$13:$H$64,$F103,T$13:T$64)+Elec_Rates!T204</f>
        <v>0</v>
      </c>
    </row>
    <row r="104" spans="1:20">
      <c r="A104" s="114"/>
      <c r="B104" s="559">
        <v>19</v>
      </c>
      <c r="C104" s="6" t="s">
        <v>73</v>
      </c>
      <c r="D104" s="36" t="s">
        <v>93</v>
      </c>
      <c r="F104" s="115">
        <v>676</v>
      </c>
      <c r="O104" s="116"/>
      <c r="P104" s="36">
        <v>1</v>
      </c>
      <c r="R104" s="117">
        <f>SUMIF($H$13:$H$64,$F104,R$13:R$64)+Elec_Rates!R205</f>
        <v>0</v>
      </c>
      <c r="S104" s="118"/>
      <c r="T104" s="117">
        <f>SUMIF($H$13:$H$64,$F104,T$13:T$64)+Elec_Rates!T205</f>
        <v>0</v>
      </c>
    </row>
    <row r="105" spans="1:20">
      <c r="A105" s="114"/>
      <c r="B105" s="559">
        <v>20</v>
      </c>
      <c r="C105" s="6" t="s">
        <v>73</v>
      </c>
      <c r="D105" s="36" t="s">
        <v>94</v>
      </c>
      <c r="F105" s="115">
        <v>680</v>
      </c>
      <c r="O105" s="116"/>
      <c r="P105" s="36">
        <v>1</v>
      </c>
      <c r="R105" s="117">
        <f>SUMIF($H$13:$H$64,$F105,R$13:R$64)+Elec_Rates!R206</f>
        <v>0</v>
      </c>
      <c r="S105" s="118"/>
      <c r="T105" s="117">
        <f>SUMIF($H$13:$H$64,$F105,T$13:T$64)+Elec_Rates!T206</f>
        <v>0</v>
      </c>
    </row>
    <row r="106" spans="1:20">
      <c r="A106" s="114"/>
      <c r="B106" s="559">
        <v>21</v>
      </c>
      <c r="C106" s="6" t="s">
        <v>73</v>
      </c>
      <c r="D106" s="36" t="s">
        <v>96</v>
      </c>
      <c r="F106" s="115">
        <v>681</v>
      </c>
      <c r="O106" s="116"/>
      <c r="P106" s="36">
        <v>1</v>
      </c>
      <c r="R106" s="117">
        <f>SUMIF($H$13:$H$64,$F106,R$13:R$64)+Elec_Rates!R207</f>
        <v>0</v>
      </c>
      <c r="S106" s="118"/>
      <c r="T106" s="117">
        <f>SUMIF($H$13:$H$64,$F106,T$13:T$64)+Elec_Rates!T207</f>
        <v>0</v>
      </c>
    </row>
    <row r="107" spans="1:20">
      <c r="A107" s="114"/>
      <c r="B107" s="559">
        <v>22</v>
      </c>
      <c r="C107" s="6" t="s">
        <v>73</v>
      </c>
      <c r="D107" s="36" t="s">
        <v>97</v>
      </c>
      <c r="F107" s="115">
        <v>690</v>
      </c>
      <c r="O107" s="116"/>
      <c r="P107" s="36">
        <v>1</v>
      </c>
      <c r="R107" s="117">
        <f>SUMIF($H$13:$H$64,$F107,R$13:R$64)+Elec_Rates!R208</f>
        <v>0</v>
      </c>
      <c r="S107" s="118"/>
      <c r="T107" s="117">
        <f>SUMIF($H$13:$H$64,$F107,T$13:T$64)+Elec_Rates!T208</f>
        <v>0</v>
      </c>
    </row>
    <row r="108" spans="1:20">
      <c r="A108" s="114"/>
      <c r="B108" s="559">
        <v>23</v>
      </c>
      <c r="C108" s="6" t="s">
        <v>73</v>
      </c>
      <c r="D108" s="36" t="s">
        <v>98</v>
      </c>
      <c r="F108" s="115">
        <v>700</v>
      </c>
      <c r="O108" s="116"/>
      <c r="P108" s="36">
        <v>1</v>
      </c>
      <c r="R108" s="117">
        <f>SUMIF($H$13:$H$64,$F108,R$13:R$64)+Elec_Rates!R209</f>
        <v>0</v>
      </c>
      <c r="S108" s="118"/>
      <c r="T108" s="117">
        <f>SUMIF($H$13:$H$64,$F108,T$13:T$64)+Elec_Rates!T209</f>
        <v>0</v>
      </c>
    </row>
    <row r="109" spans="1:20">
      <c r="A109" s="114"/>
      <c r="B109" s="559">
        <v>24</v>
      </c>
      <c r="C109" s="6" t="s">
        <v>73</v>
      </c>
      <c r="D109" s="36" t="s">
        <v>99</v>
      </c>
      <c r="F109" s="115">
        <v>705</v>
      </c>
      <c r="O109" s="116"/>
      <c r="P109" s="36">
        <v>3</v>
      </c>
      <c r="R109" s="117">
        <f>SUMIF($H$13:$H$64,$F109,R$13:R$64)+Elec_Rates!R210</f>
        <v>0</v>
      </c>
      <c r="S109" s="118"/>
      <c r="T109" s="117">
        <f>SUMIF($H$13:$H$64,$F109,T$13:T$64)+Elec_Rates!T210</f>
        <v>0</v>
      </c>
    </row>
    <row r="110" spans="1:20">
      <c r="A110" s="114"/>
      <c r="B110" s="559">
        <v>25</v>
      </c>
      <c r="C110" s="6" t="s">
        <v>73</v>
      </c>
      <c r="D110" s="36" t="s">
        <v>100</v>
      </c>
      <c r="F110" s="115">
        <v>706</v>
      </c>
      <c r="O110" s="116"/>
      <c r="P110" s="36">
        <v>3</v>
      </c>
      <c r="R110" s="117">
        <f>SUMIF($H$13:$H$64,$F110,R$13:R$64)+Elec_Rates!R211</f>
        <v>0</v>
      </c>
      <c r="S110" s="118"/>
      <c r="T110" s="117">
        <f>SUMIF($H$13:$H$64,$F110,T$13:T$64)+Elec_Rates!T211</f>
        <v>0</v>
      </c>
    </row>
    <row r="111" spans="1:20">
      <c r="A111" s="114"/>
      <c r="B111" s="559">
        <v>26</v>
      </c>
      <c r="C111" s="6" t="s">
        <v>73</v>
      </c>
      <c r="D111" s="36" t="s">
        <v>101</v>
      </c>
      <c r="F111" s="115">
        <v>725</v>
      </c>
      <c r="O111" s="116"/>
      <c r="P111" s="36">
        <v>3</v>
      </c>
      <c r="R111" s="117">
        <f>SUMIF($H$13:$H$64,$F111,R$13:R$64)+Elec_Rates!R212</f>
        <v>0</v>
      </c>
      <c r="S111" s="118"/>
      <c r="T111" s="117">
        <f>SUMIF($H$13:$H$64,$F111,T$13:T$64)+Elec_Rates!T212</f>
        <v>0</v>
      </c>
    </row>
    <row r="112" spans="1:20">
      <c r="A112" s="114"/>
      <c r="B112" s="559">
        <v>27</v>
      </c>
      <c r="C112" s="6" t="s">
        <v>73</v>
      </c>
      <c r="D112" s="36" t="s">
        <v>102</v>
      </c>
      <c r="F112" s="115">
        <v>726</v>
      </c>
      <c r="O112" s="116"/>
      <c r="P112" s="36">
        <v>3</v>
      </c>
      <c r="R112" s="117">
        <f>SUMIF($H$13:$H$64,$F112,R$13:R$64)+Elec_Rates!R213</f>
        <v>0</v>
      </c>
      <c r="S112" s="118"/>
      <c r="T112" s="117">
        <f>SUMIF($H$13:$H$64,$F112,T$13:T$64)+Elec_Rates!T213</f>
        <v>0</v>
      </c>
    </row>
    <row r="113" spans="1:20">
      <c r="A113" s="114"/>
      <c r="B113" s="559">
        <v>28</v>
      </c>
      <c r="C113" s="6" t="s">
        <v>73</v>
      </c>
      <c r="D113" s="36" t="s">
        <v>103</v>
      </c>
      <c r="F113" s="115">
        <v>750</v>
      </c>
      <c r="O113" s="116"/>
      <c r="P113" s="36">
        <v>3</v>
      </c>
      <c r="R113" s="117">
        <f>SUMIF($H$13:$H$64,$F113,R$13:R$64)+Elec_Rates!R214</f>
        <v>0</v>
      </c>
      <c r="S113" s="118"/>
      <c r="T113" s="117">
        <f>SUMIF($H$13:$H$64,$F113,T$13:T$64)+Elec_Rates!T214</f>
        <v>0</v>
      </c>
    </row>
    <row r="114" spans="1:20">
      <c r="A114" s="114"/>
      <c r="B114" s="559">
        <v>29</v>
      </c>
      <c r="C114" s="6" t="s">
        <v>73</v>
      </c>
      <c r="D114" s="36" t="s">
        <v>104</v>
      </c>
      <c r="F114" s="115">
        <v>751</v>
      </c>
      <c r="O114" s="116"/>
      <c r="P114" s="36">
        <v>3</v>
      </c>
      <c r="R114" s="117">
        <f>SUMIF($H$13:$H$64,$F114,R$13:R$64)+Elec_Rates!R215</f>
        <v>0</v>
      </c>
      <c r="S114" s="118"/>
      <c r="T114" s="117">
        <f>SUMIF($H$13:$H$64,$F114,T$13:T$64)+Elec_Rates!T215</f>
        <v>0</v>
      </c>
    </row>
    <row r="115" spans="1:20">
      <c r="A115" s="114"/>
      <c r="B115" s="559">
        <v>30</v>
      </c>
      <c r="C115" s="6" t="s">
        <v>73</v>
      </c>
      <c r="D115" s="36" t="s">
        <v>105</v>
      </c>
      <c r="F115" s="115">
        <v>752</v>
      </c>
      <c r="O115" s="116"/>
      <c r="P115" s="36">
        <v>3</v>
      </c>
      <c r="R115" s="117">
        <f>SUMIF($H$13:$H$64,$F115,R$13:R$64)+Elec_Rates!R216</f>
        <v>0</v>
      </c>
      <c r="S115" s="118"/>
      <c r="T115" s="117">
        <f>SUMIF($H$13:$H$64,$F115,T$13:T$64)+Elec_Rates!T216</f>
        <v>0</v>
      </c>
    </row>
    <row r="116" spans="1:20">
      <c r="A116" s="114"/>
      <c r="B116" s="559">
        <v>31</v>
      </c>
      <c r="C116" s="6" t="s">
        <v>73</v>
      </c>
      <c r="D116" s="720" t="s">
        <v>307</v>
      </c>
      <c r="F116" s="115">
        <v>753</v>
      </c>
      <c r="O116" s="116"/>
      <c r="P116" s="36">
        <v>3</v>
      </c>
      <c r="R116" s="117">
        <f>SUMIF($H$13:$H$64,$F116,R$13:R$64)+Elec_Rates!R217</f>
        <v>0</v>
      </c>
      <c r="S116" s="118"/>
      <c r="T116" s="117">
        <f>SUMIF($H$13:$H$64,$F116,T$13:T$64)+Elec_Rates!T217</f>
        <v>0</v>
      </c>
    </row>
    <row r="117" spans="1:20">
      <c r="A117" s="114"/>
      <c r="B117" s="559">
        <v>32</v>
      </c>
      <c r="C117" s="6" t="s">
        <v>73</v>
      </c>
      <c r="D117" s="36" t="s">
        <v>107</v>
      </c>
      <c r="F117" s="115">
        <v>770</v>
      </c>
      <c r="O117" s="116"/>
      <c r="P117" s="36">
        <v>3</v>
      </c>
      <c r="R117" s="117">
        <f>SUMIF($H$13:$H$64,$F117,R$13:R$64)+Elec_Rates!R218</f>
        <v>0</v>
      </c>
      <c r="S117" s="118"/>
      <c r="T117" s="117">
        <f>SUMIF($H$13:$H$64,$F117,T$13:T$64)+Elec_Rates!T218</f>
        <v>0</v>
      </c>
    </row>
    <row r="118" spans="1:20">
      <c r="A118" s="114"/>
      <c r="B118" s="559">
        <v>33</v>
      </c>
      <c r="C118" s="6" t="s">
        <v>73</v>
      </c>
      <c r="D118" s="36" t="s">
        <v>108</v>
      </c>
      <c r="F118" s="115">
        <v>790</v>
      </c>
      <c r="O118" s="116"/>
      <c r="P118" s="36">
        <v>3</v>
      </c>
      <c r="R118" s="117">
        <f>SUMIF($H$13:$H$64,$F118,R$13:R$64)+Elec_Rates!R219</f>
        <v>0</v>
      </c>
      <c r="S118" s="118"/>
      <c r="T118" s="117">
        <f>SUMIF($H$13:$H$64,$F118,T$13:T$64)+Elec_Rates!T219</f>
        <v>0</v>
      </c>
    </row>
    <row r="119" spans="1:20">
      <c r="A119" s="114"/>
      <c r="B119" s="559">
        <v>34</v>
      </c>
      <c r="C119" s="6" t="s">
        <v>73</v>
      </c>
      <c r="D119" s="36" t="s">
        <v>109</v>
      </c>
      <c r="F119" s="115">
        <v>791</v>
      </c>
      <c r="O119" s="116"/>
      <c r="P119" s="36">
        <v>3</v>
      </c>
      <c r="R119" s="117">
        <f>SUMIF($H$13:$H$64,$F119,R$13:R$64)+Elec_Rates!R220</f>
        <v>0</v>
      </c>
      <c r="S119" s="118"/>
      <c r="T119" s="117">
        <f>SUMIF($H$13:$H$64,$F119,T$13:T$64)+Elec_Rates!T220</f>
        <v>0</v>
      </c>
    </row>
    <row r="120" spans="1:20">
      <c r="A120" s="114"/>
      <c r="B120" s="559">
        <v>35</v>
      </c>
      <c r="C120" s="6" t="s">
        <v>73</v>
      </c>
      <c r="D120" s="36" t="s">
        <v>110</v>
      </c>
      <c r="F120" s="115">
        <v>810</v>
      </c>
      <c r="O120" s="116"/>
      <c r="P120" s="36">
        <v>3</v>
      </c>
      <c r="R120" s="117">
        <f>SUMIF($H$13:$H$64,$F120,R$13:R$64)+Elec_Rates!R221</f>
        <v>0</v>
      </c>
      <c r="S120" s="118"/>
      <c r="T120" s="117">
        <f>SUMIF($H$13:$H$64,$F120,T$13:T$64)+Elec_Rates!T221</f>
        <v>0</v>
      </c>
    </row>
    <row r="121" spans="1:20">
      <c r="A121" s="114"/>
      <c r="B121" s="559">
        <v>36</v>
      </c>
      <c r="C121" s="6" t="s">
        <v>73</v>
      </c>
      <c r="D121" s="36" t="s">
        <v>111</v>
      </c>
      <c r="F121" s="115">
        <v>815</v>
      </c>
      <c r="O121" s="116"/>
      <c r="P121" s="36">
        <v>3</v>
      </c>
      <c r="R121" s="117">
        <f>SUMIF($H$13:$H$64,$F121,R$13:R$64)+Elec_Rates!R222</f>
        <v>0</v>
      </c>
      <c r="S121" s="118"/>
      <c r="T121" s="117">
        <f>SUMIF($H$13:$H$64,$F121,T$13:T$64)+Elec_Rates!T222</f>
        <v>0</v>
      </c>
    </row>
    <row r="122" spans="1:20">
      <c r="A122" s="114"/>
      <c r="B122" s="559">
        <v>37</v>
      </c>
      <c r="C122" s="6" t="s">
        <v>73</v>
      </c>
      <c r="D122" s="36" t="s">
        <v>112</v>
      </c>
      <c r="F122" s="115">
        <v>820</v>
      </c>
      <c r="O122" s="116"/>
      <c r="P122" s="36">
        <v>2</v>
      </c>
      <c r="R122" s="117">
        <f>SUMIF($H$13:$H$64,$F122,R$13:R$64)+Elec_Rates!R223</f>
        <v>0</v>
      </c>
      <c r="S122" s="118"/>
      <c r="T122" s="117">
        <f>SUMIF($H$13:$H$64,$F122,T$13:T$64)+Elec_Rates!T223</f>
        <v>0</v>
      </c>
    </row>
    <row r="123" spans="1:20">
      <c r="A123" s="114"/>
      <c r="B123" s="559">
        <v>38</v>
      </c>
      <c r="C123" s="6" t="s">
        <v>73</v>
      </c>
      <c r="D123" s="36" t="s">
        <v>113</v>
      </c>
      <c r="F123" s="115">
        <v>821</v>
      </c>
      <c r="O123" s="116"/>
      <c r="P123" s="36">
        <v>3</v>
      </c>
      <c r="R123" s="117">
        <f>SUMIF($H$13:$H$64,$F123,R$13:R$64)+Elec_Rates!R224</f>
        <v>0</v>
      </c>
      <c r="S123" s="118"/>
      <c r="T123" s="117">
        <f>SUMIF($H$13:$H$64,$F123,T$13:T$64)+Elec_Rates!T224</f>
        <v>0</v>
      </c>
    </row>
    <row r="124" spans="1:20">
      <c r="A124" s="114"/>
      <c r="B124" s="559">
        <v>39</v>
      </c>
      <c r="C124" s="6" t="s">
        <v>73</v>
      </c>
      <c r="D124" s="36" t="s">
        <v>114</v>
      </c>
      <c r="F124" s="115">
        <v>835</v>
      </c>
      <c r="O124" s="116"/>
      <c r="P124" s="36">
        <v>3</v>
      </c>
      <c r="R124" s="117">
        <f>SUMIF($H$13:$H$64,$F124,R$13:R$64)+Elec_Rates!R225</f>
        <v>0</v>
      </c>
      <c r="S124" s="118"/>
      <c r="T124" s="117">
        <f>SUMIF($H$13:$H$64,$F124,T$13:T$64)+Elec_Rates!T225</f>
        <v>0</v>
      </c>
    </row>
    <row r="125" spans="1:20">
      <c r="A125" s="114"/>
      <c r="B125" s="559">
        <v>40</v>
      </c>
      <c r="C125" s="6" t="s">
        <v>73</v>
      </c>
      <c r="D125" s="36" t="s">
        <v>115</v>
      </c>
      <c r="F125" s="115">
        <v>845</v>
      </c>
      <c r="O125" s="116"/>
      <c r="P125" s="36">
        <v>2</v>
      </c>
      <c r="R125" s="117">
        <f>SUMIF($H$13:$H$64,$F125,R$13:R$64)+Elec_Rates!R226</f>
        <v>0</v>
      </c>
      <c r="S125" s="118"/>
      <c r="T125" s="117">
        <f>SUMIF($H$13:$H$64,$F125,T$13:T$64)+Elec_Rates!T226</f>
        <v>0</v>
      </c>
    </row>
    <row r="126" spans="1:20">
      <c r="A126" s="114"/>
      <c r="B126" s="559">
        <v>41</v>
      </c>
      <c r="C126" s="6" t="s">
        <v>73</v>
      </c>
      <c r="D126" s="36" t="s">
        <v>117</v>
      </c>
      <c r="F126" s="115">
        <v>855</v>
      </c>
      <c r="O126" s="116"/>
      <c r="P126" s="36">
        <v>3</v>
      </c>
      <c r="R126" s="117">
        <f>SUMIF($H$13:$H$64,$F126,R$13:R$64)+Elec_Rates!R227</f>
        <v>0</v>
      </c>
      <c r="S126" s="118"/>
      <c r="T126" s="117">
        <f>SUMIF($H$13:$H$64,$F126,T$13:T$64)+Elec_Rates!T227</f>
        <v>0</v>
      </c>
    </row>
    <row r="127" spans="1:20">
      <c r="A127" s="114"/>
      <c r="B127" s="559">
        <v>42</v>
      </c>
      <c r="C127" s="6" t="s">
        <v>73</v>
      </c>
      <c r="D127" s="36" t="s">
        <v>118</v>
      </c>
      <c r="F127" s="115">
        <v>856</v>
      </c>
      <c r="O127" s="116"/>
      <c r="P127" s="36">
        <v>3</v>
      </c>
      <c r="R127" s="117">
        <f>SUMIF($H$13:$H$64,$F127,R$13:R$64)+Elec_Rates!R228</f>
        <v>0</v>
      </c>
      <c r="S127" s="118"/>
      <c r="T127" s="117">
        <f>SUMIF($H$13:$H$64,$F127,T$13:T$64)+Elec_Rates!T228</f>
        <v>0</v>
      </c>
    </row>
    <row r="128" spans="1:20">
      <c r="A128" s="114"/>
      <c r="B128" s="559">
        <v>43</v>
      </c>
      <c r="C128" s="6" t="s">
        <v>73</v>
      </c>
      <c r="D128" s="36" t="s">
        <v>281</v>
      </c>
      <c r="F128" s="115">
        <v>857</v>
      </c>
      <c r="O128" s="116"/>
      <c r="P128" s="36">
        <v>3</v>
      </c>
      <c r="R128" s="117">
        <f>SUMIF($H$13:$H$64,$F128,R$13:R$64)+Elec_Rates!R229</f>
        <v>0</v>
      </c>
      <c r="S128" s="118"/>
      <c r="T128" s="117">
        <f>SUMIF($H$13:$H$64,$F128,T$13:T$64)+Elec_Rates!T229</f>
        <v>0</v>
      </c>
    </row>
    <row r="129" spans="1:20">
      <c r="A129" s="114"/>
      <c r="B129" s="559">
        <v>44</v>
      </c>
      <c r="C129" s="6" t="s">
        <v>73</v>
      </c>
      <c r="D129" s="36" t="s">
        <v>119</v>
      </c>
      <c r="F129" s="115">
        <v>858</v>
      </c>
      <c r="O129" s="116"/>
      <c r="P129" s="36">
        <v>3</v>
      </c>
      <c r="R129" s="117">
        <f>SUMIF($H$13:$H$64,$F129,R$13:R$64)+Elec_Rates!R230</f>
        <v>0</v>
      </c>
      <c r="S129" s="118"/>
      <c r="T129" s="117">
        <f>SUMIF($H$13:$H$64,$F129,T$13:T$64)+Elec_Rates!T230</f>
        <v>0</v>
      </c>
    </row>
    <row r="130" spans="1:20">
      <c r="A130" s="114"/>
      <c r="B130" s="559">
        <v>45</v>
      </c>
      <c r="C130" s="6" t="s">
        <v>73</v>
      </c>
      <c r="D130" s="36" t="s">
        <v>120</v>
      </c>
      <c r="F130" s="115">
        <v>865</v>
      </c>
      <c r="O130" s="116"/>
      <c r="P130" s="36">
        <v>3</v>
      </c>
      <c r="R130" s="117">
        <f>SUMIF($H$13:$H$64,$F130,R$13:R$64)+Elec_Rates!R231</f>
        <v>0</v>
      </c>
      <c r="S130" s="118"/>
      <c r="T130" s="117">
        <f>SUMIF($H$13:$H$64,$F130,T$13:T$64)+Elec_Rates!T231</f>
        <v>0</v>
      </c>
    </row>
    <row r="131" spans="1:20">
      <c r="A131" s="114"/>
      <c r="B131" s="559">
        <v>46</v>
      </c>
      <c r="C131" s="6" t="s">
        <v>73</v>
      </c>
      <c r="D131" s="36" t="s">
        <v>121</v>
      </c>
      <c r="F131" s="115">
        <v>870</v>
      </c>
      <c r="O131" s="116"/>
      <c r="P131" s="36">
        <v>4</v>
      </c>
      <c r="R131" s="117">
        <f>SUMIF($H$13:$H$64,$F131,R$13:R$64)+Elec_Rates!R232</f>
        <v>0</v>
      </c>
      <c r="S131" s="118"/>
      <c r="T131" s="117">
        <f>SUMIF($H$13:$H$64,$F131,T$13:T$64)+Elec_Rates!T232</f>
        <v>0</v>
      </c>
    </row>
    <row r="132" spans="1:20">
      <c r="A132" s="114"/>
      <c r="B132" s="559">
        <v>47</v>
      </c>
      <c r="C132" s="6" t="s">
        <v>73</v>
      </c>
      <c r="D132" s="36" t="s">
        <v>122</v>
      </c>
      <c r="F132" s="115">
        <v>875</v>
      </c>
      <c r="O132" s="116"/>
      <c r="P132" s="36">
        <v>1</v>
      </c>
      <c r="R132" s="117">
        <f>SUMIF($H$13:$H$64,$F132,R$13:R$64)+Elec_Rates!R233</f>
        <v>0</v>
      </c>
      <c r="S132" s="118"/>
      <c r="T132" s="117">
        <f>SUMIF($H$13:$H$64,$F132,T$13:T$64)+Elec_Rates!T233</f>
        <v>0</v>
      </c>
    </row>
    <row r="133" spans="1:20">
      <c r="A133" s="114"/>
      <c r="B133" s="559">
        <v>48</v>
      </c>
      <c r="C133" s="6" t="s">
        <v>73</v>
      </c>
      <c r="D133" s="36" t="s">
        <v>123</v>
      </c>
      <c r="F133" s="115">
        <v>880</v>
      </c>
      <c r="O133" s="116"/>
      <c r="P133" s="36">
        <v>3</v>
      </c>
      <c r="R133" s="117">
        <f>SUMIF($H$13:$H$64,$F133,R$13:R$64)+Elec_Rates!R234</f>
        <v>0</v>
      </c>
      <c r="S133" s="118"/>
      <c r="T133" s="117">
        <f>SUMIF($H$13:$H$64,$F133,T$13:T$64)+Elec_Rates!T234</f>
        <v>0</v>
      </c>
    </row>
    <row r="134" spans="1:20">
      <c r="A134" s="114"/>
      <c r="B134" s="559">
        <v>49</v>
      </c>
      <c r="C134" s="6" t="s">
        <v>73</v>
      </c>
      <c r="D134" s="36" t="s">
        <v>124</v>
      </c>
      <c r="F134" s="115">
        <v>885</v>
      </c>
      <c r="O134" s="116"/>
      <c r="P134" s="36">
        <v>4</v>
      </c>
      <c r="R134" s="117">
        <f>SUMIF($H$13:$H$64,$F134,R$13:R$64)+Elec_Rates!R235</f>
        <v>0</v>
      </c>
      <c r="S134" s="118"/>
      <c r="T134" s="117">
        <f>SUMIF($H$13:$H$64,$F134,T$13:T$64)+Elec_Rates!T235</f>
        <v>0</v>
      </c>
    </row>
    <row r="135" spans="1:20">
      <c r="A135" s="114"/>
      <c r="B135" s="559">
        <v>50</v>
      </c>
      <c r="C135" s="6" t="s">
        <v>73</v>
      </c>
      <c r="D135" s="36" t="s">
        <v>68</v>
      </c>
      <c r="F135" s="115">
        <v>900</v>
      </c>
      <c r="O135" s="116"/>
      <c r="P135" s="36">
        <v>3</v>
      </c>
      <c r="R135" s="117">
        <f>SUMIF($H$13:$H$64,$F135,R$13:R$64)+Elec_Rates!R236</f>
        <v>0</v>
      </c>
      <c r="S135" s="118"/>
      <c r="T135" s="117">
        <f>SUMIF($H$13:$H$64,$F135,T$13:T$64)+Elec_Rates!T236</f>
        <v>0</v>
      </c>
    </row>
    <row r="136" spans="1:20">
      <c r="A136" s="114"/>
      <c r="B136" s="559">
        <v>51</v>
      </c>
      <c r="C136" s="6" t="s">
        <v>73</v>
      </c>
      <c r="D136" s="36" t="s">
        <v>126</v>
      </c>
      <c r="F136" s="115">
        <v>901</v>
      </c>
      <c r="O136" s="116"/>
      <c r="P136" s="36">
        <v>1</v>
      </c>
      <c r="R136" s="117">
        <f>SUMIF($H$13:$H$64,$F136,R$13:R$64)+Elec_Rates!R237</f>
        <v>0</v>
      </c>
      <c r="S136" s="118"/>
      <c r="T136" s="117">
        <f>SUMIF($H$13:$H$64,$F136,T$13:T$64)+Elec_Rates!T237</f>
        <v>0</v>
      </c>
    </row>
    <row r="137" spans="1:20">
      <c r="A137" s="114"/>
      <c r="B137" s="559">
        <v>52</v>
      </c>
      <c r="C137" s="6" t="s">
        <v>73</v>
      </c>
      <c r="D137" s="36" t="s">
        <v>127</v>
      </c>
      <c r="F137" s="115">
        <v>902</v>
      </c>
      <c r="O137" s="116"/>
      <c r="P137" s="36">
        <v>3</v>
      </c>
      <c r="R137" s="117">
        <f>SUMIF($H$13:$H$64,$F137,R$13:R$64)+Elec_Rates!R238</f>
        <v>0</v>
      </c>
      <c r="S137" s="118"/>
      <c r="T137" s="117">
        <f>SUMIF($H$13:$H$64,$F137,T$13:T$64)+Elec_Rates!T238</f>
        <v>0</v>
      </c>
    </row>
    <row r="138" spans="1:20">
      <c r="A138" s="114"/>
      <c r="B138" s="559">
        <v>53</v>
      </c>
      <c r="C138" s="6" t="s">
        <v>73</v>
      </c>
      <c r="D138" s="119" t="s">
        <v>128</v>
      </c>
      <c r="F138" s="115">
        <v>960</v>
      </c>
      <c r="O138" s="116"/>
      <c r="P138" s="36">
        <v>4</v>
      </c>
      <c r="R138" s="117">
        <f>SUMIF($H$13:$H$64,$F138,R$13:R$64)+Elec_Rates!R239</f>
        <v>0</v>
      </c>
      <c r="S138" s="118"/>
      <c r="T138" s="117">
        <f>SUMIF($H$13:$H$64,$F138,T$13:T$64)+Elec_Rates!T239</f>
        <v>0</v>
      </c>
    </row>
    <row r="139" spans="1:20">
      <c r="A139" s="114"/>
      <c r="B139" s="559">
        <v>54</v>
      </c>
      <c r="C139" s="6" t="s">
        <v>73</v>
      </c>
      <c r="D139" s="119" t="s">
        <v>129</v>
      </c>
      <c r="F139" s="115">
        <v>961</v>
      </c>
      <c r="O139" s="116"/>
      <c r="P139" s="36">
        <v>3</v>
      </c>
      <c r="R139" s="117">
        <f>SUMIF($H$13:$H$64,$F139,R$13:R$64)+Elec_Rates!R240</f>
        <v>0</v>
      </c>
      <c r="S139" s="118"/>
      <c r="T139" s="117">
        <f>SUMIF($H$13:$H$64,$F139,T$13:T$64)+Elec_Rates!T240</f>
        <v>0</v>
      </c>
    </row>
    <row r="140" spans="1:20">
      <c r="A140" s="114"/>
      <c r="B140" s="559">
        <v>55</v>
      </c>
      <c r="C140" s="6" t="s">
        <v>73</v>
      </c>
      <c r="D140" s="119" t="s">
        <v>130</v>
      </c>
      <c r="F140" s="115">
        <v>962</v>
      </c>
      <c r="O140" s="116"/>
      <c r="P140" s="36">
        <v>1</v>
      </c>
      <c r="R140" s="117">
        <f>SUMIF($H$13:$H$64,$F140,R$13:R$64)+Elec_Rates!R241</f>
        <v>0</v>
      </c>
      <c r="S140" s="118"/>
      <c r="T140" s="117">
        <f>SUMIF($H$13:$H$64,$F140,T$13:T$64)+Elec_Rates!T241</f>
        <v>0</v>
      </c>
    </row>
    <row r="141" spans="1:20">
      <c r="A141" s="114"/>
      <c r="B141" s="559">
        <v>57</v>
      </c>
      <c r="C141" s="6" t="s">
        <v>73</v>
      </c>
      <c r="D141" s="119" t="s">
        <v>320</v>
      </c>
      <c r="F141" s="115">
        <v>410</v>
      </c>
      <c r="O141" s="116"/>
      <c r="P141" s="36">
        <v>4</v>
      </c>
      <c r="R141" s="117">
        <f>SUMIF($H$13:$H$64,$F141,R$13:R$64)+Elec_Rates!R242</f>
        <v>0</v>
      </c>
      <c r="S141" s="118"/>
      <c r="T141" s="117">
        <f>SUMIF($H$13:$H$64,$F141,T$13:T$64)+Elec_Rates!T242</f>
        <v>0</v>
      </c>
    </row>
    <row r="142" spans="1:20">
      <c r="A142" s="114"/>
      <c r="B142" s="559">
        <v>58</v>
      </c>
      <c r="C142" s="6" t="s">
        <v>73</v>
      </c>
      <c r="D142" s="119" t="s">
        <v>321</v>
      </c>
      <c r="F142" s="115">
        <v>411</v>
      </c>
      <c r="O142" s="116"/>
      <c r="P142" s="36">
        <v>4</v>
      </c>
      <c r="R142" s="117">
        <f>SUMIF($H$13:$H$64,$F142,R$13:R$64)+Elec_Rates!R243</f>
        <v>0</v>
      </c>
      <c r="S142" s="118"/>
      <c r="T142" s="117">
        <f>SUMIF($H$13:$H$64,$F142,T$13:T$64)+Elec_Rates!T243</f>
        <v>0</v>
      </c>
    </row>
    <row r="143" spans="1:20">
      <c r="A143" s="114"/>
      <c r="B143" s="559">
        <v>59</v>
      </c>
      <c r="C143" s="6" t="s">
        <v>73</v>
      </c>
      <c r="D143" s="119" t="s">
        <v>322</v>
      </c>
      <c r="F143" s="115">
        <v>412</v>
      </c>
      <c r="O143" s="116"/>
      <c r="P143" s="36">
        <v>4</v>
      </c>
      <c r="R143" s="117">
        <f>SUMIF($H$13:$H$64,$F143,R$13:R$64)+Elec_Rates!R244</f>
        <v>0</v>
      </c>
      <c r="S143" s="118"/>
      <c r="T143" s="117">
        <f>SUMIF($H$13:$H$64,$F143,T$13:T$64)+Elec_Rates!T244</f>
        <v>0</v>
      </c>
    </row>
    <row r="144" spans="1:20">
      <c r="A144" s="114"/>
      <c r="B144" s="559">
        <v>60</v>
      </c>
      <c r="C144" s="6" t="s">
        <v>73</v>
      </c>
      <c r="D144" s="119" t="s">
        <v>323</v>
      </c>
      <c r="F144" s="115">
        <v>413</v>
      </c>
      <c r="O144" s="116"/>
      <c r="P144" s="36">
        <v>4</v>
      </c>
      <c r="R144" s="117">
        <f>SUMIF($H$13:$H$64,$F144,R$13:R$64)+Elec_Rates!R245</f>
        <v>0</v>
      </c>
      <c r="S144" s="118"/>
      <c r="T144" s="117">
        <f>SUMIF($H$13:$H$64,$F144,T$13:T$64)+Elec_Rates!T245</f>
        <v>0</v>
      </c>
    </row>
    <row r="145" spans="1:37">
      <c r="A145" s="114"/>
      <c r="B145" s="559">
        <v>61</v>
      </c>
      <c r="C145" s="6" t="s">
        <v>73</v>
      </c>
      <c r="D145" s="119" t="s">
        <v>324</v>
      </c>
      <c r="F145" s="115">
        <v>414</v>
      </c>
      <c r="O145" s="116"/>
      <c r="P145" s="36">
        <v>4</v>
      </c>
      <c r="R145" s="117">
        <f>SUMIF($H$13:$H$64,$F145,R$13:R$64)+Elec_Rates!R246</f>
        <v>0</v>
      </c>
      <c r="S145" s="118"/>
      <c r="T145" s="117">
        <f>SUMIF($H$13:$H$64,$F145,T$13:T$64)+Elec_Rates!T246</f>
        <v>0</v>
      </c>
    </row>
    <row r="146" spans="1:37">
      <c r="A146" s="114"/>
      <c r="B146" s="559">
        <v>62</v>
      </c>
      <c r="C146" s="6" t="s">
        <v>73</v>
      </c>
      <c r="D146" s="119" t="s">
        <v>325</v>
      </c>
      <c r="F146" s="115">
        <v>415</v>
      </c>
      <c r="O146" s="116"/>
      <c r="P146" s="36">
        <v>4</v>
      </c>
      <c r="R146" s="117">
        <f>SUMIF($H$13:$H$64,$F146,R$13:R$64)+Elec_Rates!R247</f>
        <v>0</v>
      </c>
      <c r="S146" s="118"/>
      <c r="T146" s="117">
        <f>SUMIF($H$13:$H$64,$F146,T$13:T$64)+Elec_Rates!T247</f>
        <v>0</v>
      </c>
    </row>
    <row r="147" spans="1:37">
      <c r="A147" s="114"/>
      <c r="B147" s="559">
        <v>63</v>
      </c>
      <c r="C147" s="6" t="s">
        <v>73</v>
      </c>
      <c r="D147" s="119" t="s">
        <v>326</v>
      </c>
      <c r="F147" s="115">
        <v>416</v>
      </c>
      <c r="O147" s="116"/>
      <c r="P147" s="36">
        <v>4</v>
      </c>
      <c r="R147" s="117">
        <f>SUMIF($H$13:$H$64,$F147,R$13:R$64)+Elec_Rates!R248</f>
        <v>620</v>
      </c>
      <c r="S147" s="118"/>
      <c r="T147" s="117">
        <f>SUMIF($H$13:$H$64,$F147,T$13:T$64)+Elec_Rates!T248</f>
        <v>0</v>
      </c>
    </row>
    <row r="148" spans="1:37">
      <c r="A148" s="114"/>
      <c r="B148" s="559">
        <v>64</v>
      </c>
      <c r="C148" s="6" t="s">
        <v>73</v>
      </c>
      <c r="D148" s="119" t="s">
        <v>327</v>
      </c>
      <c r="F148" s="115">
        <v>417</v>
      </c>
      <c r="O148" s="116"/>
      <c r="P148" s="36">
        <v>4</v>
      </c>
      <c r="R148" s="117">
        <f>SUMIF($H$13:$H$64,$F148,R$13:R$64)+Elec_Rates!R249</f>
        <v>0</v>
      </c>
      <c r="S148" s="118"/>
      <c r="T148" s="117">
        <f>SUMIF($H$13:$H$64,$F148,T$13:T$64)+Elec_Rates!T249</f>
        <v>0</v>
      </c>
    </row>
    <row r="149" spans="1:37">
      <c r="A149" s="114"/>
      <c r="B149" s="559">
        <v>65</v>
      </c>
      <c r="C149" s="6" t="s">
        <v>73</v>
      </c>
      <c r="D149" s="119" t="s">
        <v>328</v>
      </c>
      <c r="F149" s="115">
        <v>418</v>
      </c>
      <c r="O149" s="116"/>
      <c r="P149" s="36">
        <v>4</v>
      </c>
      <c r="R149" s="117">
        <f>SUMIF($H$13:$H$64,$F149,R$13:R$64)+Elec_Rates!R250</f>
        <v>0</v>
      </c>
      <c r="S149" s="118"/>
      <c r="T149" s="117">
        <f>SUMIF($H$13:$H$64,$F149,T$13:T$64)+Elec_Rates!T250</f>
        <v>0</v>
      </c>
    </row>
    <row r="150" spans="1:37">
      <c r="A150" s="114"/>
      <c r="B150" s="559">
        <v>66</v>
      </c>
      <c r="C150" s="6" t="s">
        <v>73</v>
      </c>
      <c r="D150" s="119" t="s">
        <v>329</v>
      </c>
      <c r="F150" s="115">
        <v>419</v>
      </c>
      <c r="O150" s="116"/>
      <c r="P150" s="36">
        <v>4</v>
      </c>
      <c r="R150" s="117">
        <f>SUMIF($H$13:$H$64,$F150,R$13:R$64)+Elec_Rates!R251</f>
        <v>0</v>
      </c>
      <c r="S150" s="118"/>
      <c r="T150" s="117">
        <f>SUMIF($H$13:$H$64,$F150,T$13:T$64)+Elec_Rates!T251</f>
        <v>0</v>
      </c>
    </row>
    <row r="151" spans="1:37">
      <c r="A151" s="114"/>
      <c r="B151" s="559">
        <v>67</v>
      </c>
      <c r="C151" s="6" t="s">
        <v>73</v>
      </c>
      <c r="D151" s="119" t="s">
        <v>330</v>
      </c>
      <c r="F151" s="115">
        <v>420</v>
      </c>
      <c r="O151" s="116"/>
      <c r="P151" s="36">
        <v>4</v>
      </c>
      <c r="R151" s="117">
        <f>SUMIF($H$13:$H$64,$F151,R$13:R$64)+Elec_Rates!R252</f>
        <v>0</v>
      </c>
      <c r="S151" s="118"/>
      <c r="T151" s="117">
        <f>SUMIF($H$13:$H$64,$F151,T$13:T$64)+Elec_Rates!T252</f>
        <v>0</v>
      </c>
    </row>
    <row r="152" spans="1:37">
      <c r="A152" s="114"/>
      <c r="B152" s="559">
        <v>68</v>
      </c>
      <c r="C152" s="6" t="s">
        <v>73</v>
      </c>
      <c r="D152" s="119" t="s">
        <v>333</v>
      </c>
      <c r="F152" s="115">
        <v>421</v>
      </c>
      <c r="O152" s="116"/>
      <c r="P152" s="36">
        <v>4</v>
      </c>
      <c r="R152" s="117">
        <f>SUMIF($H$13:$H$64,$F152,R$13:R$64)+Elec_Rates!R253</f>
        <v>60</v>
      </c>
      <c r="S152" s="118"/>
      <c r="T152" s="117">
        <f>SUMIF($H$13:$H$64,$F152,T$13:T$64)+Elec_Rates!T253</f>
        <v>11</v>
      </c>
    </row>
    <row r="153" spans="1:37">
      <c r="A153" s="114"/>
      <c r="B153" s="559">
        <v>56</v>
      </c>
      <c r="C153" s="6" t="s">
        <v>73</v>
      </c>
      <c r="D153" s="119" t="s">
        <v>131</v>
      </c>
      <c r="F153" s="115">
        <v>970</v>
      </c>
      <c r="O153" s="116"/>
      <c r="P153" s="36">
        <v>4</v>
      </c>
      <c r="R153" s="117">
        <f>SUMIF($H$13:$H$64,$F153,R$13:R$64)+Elec_Rates!R254</f>
        <v>0</v>
      </c>
      <c r="S153" s="118"/>
      <c r="T153" s="117">
        <f>SUMIF($H$13:$H$64,$F153,T$13:T$64)+Elec_Rates!T254</f>
        <v>0</v>
      </c>
    </row>
    <row r="154" spans="1:37" ht="14.4" thickBot="1">
      <c r="A154" s="120"/>
      <c r="B154" s="121"/>
      <c r="C154" s="122"/>
      <c r="D154" s="123"/>
      <c r="E154" s="124"/>
      <c r="F154" s="125"/>
      <c r="G154" s="124"/>
      <c r="H154" s="124"/>
      <c r="I154" s="124"/>
      <c r="J154" s="124"/>
      <c r="K154" s="124"/>
      <c r="L154" s="124"/>
      <c r="M154" s="124"/>
      <c r="N154" s="124"/>
      <c r="O154" s="126"/>
      <c r="P154" s="124"/>
      <c r="Q154" s="124"/>
      <c r="R154" s="127"/>
      <c r="S154" s="128"/>
      <c r="T154" s="127"/>
      <c r="U154" s="124"/>
      <c r="V154" s="476"/>
      <c r="W154" s="476"/>
      <c r="X154" s="476"/>
      <c r="Y154" s="476"/>
      <c r="Z154" s="476"/>
      <c r="AA154" s="476"/>
      <c r="AB154" s="476"/>
      <c r="AC154" s="124"/>
      <c r="AD154" s="124"/>
      <c r="AE154" s="124"/>
      <c r="AF154" s="124"/>
      <c r="AG154" s="124"/>
      <c r="AH154" s="124"/>
      <c r="AI154" s="124"/>
      <c r="AJ154" s="124"/>
      <c r="AK154" s="124"/>
    </row>
    <row r="155" spans="1:37" ht="14.4" thickTop="1">
      <c r="A155" s="114"/>
      <c r="B155" s="129"/>
      <c r="C155" s="6" t="s">
        <v>73</v>
      </c>
      <c r="D155" s="130"/>
      <c r="F155" s="131" t="s">
        <v>160</v>
      </c>
      <c r="G155" s="132"/>
      <c r="H155" s="36">
        <v>1</v>
      </c>
      <c r="O155" s="116"/>
      <c r="R155" s="117">
        <f>SUMIF($P86:$P153,1,R86:R153)</f>
        <v>0</v>
      </c>
      <c r="T155" s="117">
        <f>SUMIF($P86:$P153,1,T86:T153)</f>
        <v>0</v>
      </c>
    </row>
    <row r="156" spans="1:37">
      <c r="A156" s="114"/>
      <c r="B156" s="129"/>
      <c r="C156" s="6" t="s">
        <v>73</v>
      </c>
      <c r="D156" s="130"/>
      <c r="F156" s="131" t="s">
        <v>161</v>
      </c>
      <c r="G156" s="132"/>
      <c r="H156" s="36">
        <v>2</v>
      </c>
      <c r="O156" s="116"/>
      <c r="R156" s="117">
        <f>SUMIF($P86:$P153,2,R86:R153)</f>
        <v>0</v>
      </c>
      <c r="T156" s="117">
        <f>SUMIF($P86:$P153,2,T86:T153)</f>
        <v>0</v>
      </c>
    </row>
    <row r="157" spans="1:37">
      <c r="A157" s="114"/>
      <c r="B157" s="129"/>
      <c r="C157" s="6" t="s">
        <v>73</v>
      </c>
      <c r="D157" s="130"/>
      <c r="F157" s="131" t="s">
        <v>162</v>
      </c>
      <c r="G157" s="132"/>
      <c r="H157" s="36">
        <v>2</v>
      </c>
      <c r="O157" s="116"/>
      <c r="R157" s="117">
        <f>SUMIF($P86:$P153,3,R86:R153)</f>
        <v>0</v>
      </c>
      <c r="T157" s="117">
        <f>SUMIF($P86:$P153,3,T86:T153)</f>
        <v>0</v>
      </c>
    </row>
    <row r="158" spans="1:37">
      <c r="A158" s="114"/>
      <c r="B158" s="129"/>
      <c r="C158" s="6" t="s">
        <v>73</v>
      </c>
      <c r="D158" s="130"/>
      <c r="F158" s="131" t="s">
        <v>163</v>
      </c>
      <c r="G158" s="132"/>
      <c r="H158" s="36">
        <v>3</v>
      </c>
      <c r="O158" s="116"/>
      <c r="R158" s="117">
        <f>SUMIF($P86:$P153,4,R86:R153)</f>
        <v>680</v>
      </c>
      <c r="T158" s="117">
        <f>SUMIF($P86:$P153,4,T86:T153)</f>
        <v>11</v>
      </c>
    </row>
    <row r="159" spans="1:37" ht="14.4" thickBot="1">
      <c r="A159" s="120"/>
      <c r="B159" s="133"/>
      <c r="C159" s="122" t="s">
        <v>73</v>
      </c>
      <c r="D159" s="134"/>
      <c r="E159" s="124"/>
      <c r="F159" s="135" t="s">
        <v>164</v>
      </c>
      <c r="G159" s="136"/>
      <c r="H159" s="137"/>
      <c r="I159" s="137"/>
      <c r="J159" s="137"/>
      <c r="K159" s="137"/>
      <c r="L159" s="137"/>
      <c r="M159" s="137"/>
      <c r="N159" s="137"/>
      <c r="O159" s="138"/>
      <c r="P159" s="137"/>
      <c r="Q159" s="137"/>
      <c r="R159" s="139">
        <f>SUM(R155:R158)</f>
        <v>680</v>
      </c>
      <c r="S159" s="140"/>
      <c r="T159" s="139">
        <f>SUM(T155:T158)</f>
        <v>11</v>
      </c>
      <c r="U159" s="124"/>
      <c r="V159" s="476"/>
      <c r="W159" s="476"/>
      <c r="X159" s="476"/>
      <c r="Y159" s="476"/>
      <c r="Z159" s="476"/>
      <c r="AA159" s="476"/>
      <c r="AB159" s="476"/>
      <c r="AC159" s="124"/>
      <c r="AD159" s="124"/>
      <c r="AE159" s="124"/>
      <c r="AF159" s="124"/>
      <c r="AG159" s="124"/>
      <c r="AH159" s="124"/>
      <c r="AI159" s="124"/>
      <c r="AJ159" s="124"/>
      <c r="AK159" s="124"/>
    </row>
    <row r="160" spans="1:37" ht="14.4" thickTop="1">
      <c r="A160" s="64"/>
      <c r="B160" s="593" t="s">
        <v>190</v>
      </c>
      <c r="C160" s="130" t="s">
        <v>190</v>
      </c>
      <c r="D160" s="130"/>
      <c r="O160" s="116"/>
    </row>
    <row r="161" spans="1:17">
      <c r="A161" s="594"/>
      <c r="O161" s="116"/>
    </row>
    <row r="162" spans="1:17">
      <c r="A162" s="594"/>
      <c r="B162" s="595">
        <f t="shared" ref="B162:B197" si="20">SUMIF($D$13:$D$64,D162,$C$13:$C$64)</f>
        <v>0</v>
      </c>
      <c r="C162" s="119"/>
      <c r="D162" s="596" t="str">
        <f>Elec_Rates!$D$19</f>
        <v>001# Controllers</v>
      </c>
      <c r="O162" s="116"/>
      <c r="Q162" s="33"/>
    </row>
    <row r="163" spans="1:17">
      <c r="A163" s="594"/>
      <c r="B163" s="595">
        <f t="shared" si="20"/>
        <v>0</v>
      </c>
      <c r="C163" s="119"/>
      <c r="D163" s="596" t="str">
        <f>Elec_Rates!$D$27</f>
        <v>002# Controller Modules</v>
      </c>
      <c r="O163" s="116"/>
    </row>
    <row r="164" spans="1:17">
      <c r="A164" s="594"/>
      <c r="B164" s="595">
        <f t="shared" si="20"/>
        <v>0</v>
      </c>
      <c r="C164" s="119"/>
      <c r="D164" s="596" t="str">
        <f>Elec_Rates!$D$35</f>
        <v>003# Signal Cable</v>
      </c>
      <c r="O164" s="116"/>
    </row>
    <row r="165" spans="1:17">
      <c r="A165" s="594"/>
      <c r="B165" s="595">
        <f t="shared" si="20"/>
        <v>0</v>
      </c>
      <c r="C165" s="119"/>
      <c r="D165" s="596" t="str">
        <f>Elec_Rates!$D$43</f>
        <v>004# Modbus Cable</v>
      </c>
      <c r="O165" s="116"/>
    </row>
    <row r="166" spans="1:17">
      <c r="A166" s="594"/>
      <c r="B166" s="595">
        <f t="shared" si="20"/>
        <v>0</v>
      </c>
      <c r="C166" s="119"/>
      <c r="D166" s="596" t="str">
        <f>Elec_Rates!$D$51</f>
        <v>005# CAT Cable</v>
      </c>
      <c r="O166" s="116"/>
    </row>
    <row r="167" spans="1:17">
      <c r="A167" s="594"/>
      <c r="B167" s="595">
        <f t="shared" si="20"/>
        <v>0</v>
      </c>
      <c r="C167" s="119"/>
      <c r="D167" s="596" t="str">
        <f>Elec_Rates!$D$59</f>
        <v>006# Control Panels MCC DDC Security Fire</v>
      </c>
      <c r="O167" s="116"/>
    </row>
    <row r="168" spans="1:17">
      <c r="A168" s="594"/>
      <c r="B168" s="595">
        <f t="shared" si="20"/>
        <v>0</v>
      </c>
      <c r="C168" s="119"/>
      <c r="D168" s="596" t="str">
        <f>Elec_Rates!$D$67</f>
        <v>007# Field Devices</v>
      </c>
      <c r="O168" s="116"/>
    </row>
    <row r="169" spans="1:17">
      <c r="A169" s="594"/>
      <c r="B169" s="595">
        <f t="shared" si="20"/>
        <v>0</v>
      </c>
      <c r="C169" s="119"/>
      <c r="D169" s="596" t="str">
        <f>Elec_Rates!$D$75</f>
        <v>008# DALI - KNX</v>
      </c>
      <c r="O169" s="116"/>
    </row>
    <row r="170" spans="1:17">
      <c r="A170" s="594"/>
      <c r="B170" s="595">
        <f t="shared" si="20"/>
        <v>0</v>
      </c>
      <c r="C170" s="119"/>
      <c r="D170" s="596" t="str">
        <f>Elec_Rates!$D$83</f>
        <v>009# Fire Equipment</v>
      </c>
      <c r="O170" s="116"/>
    </row>
    <row r="171" spans="1:17">
      <c r="A171" s="594"/>
      <c r="B171" s="595">
        <f t="shared" si="20"/>
        <v>0</v>
      </c>
      <c r="C171" s="119"/>
      <c r="D171" s="596" t="str">
        <f>Elec_Rates!$D$91</f>
        <v>010# Data Networks Equipment</v>
      </c>
      <c r="O171" s="116"/>
    </row>
    <row r="172" spans="1:17">
      <c r="A172" s="594"/>
      <c r="B172" s="595">
        <f t="shared" si="20"/>
        <v>0</v>
      </c>
      <c r="C172" s="119"/>
      <c r="D172" s="596" t="str">
        <f>Elec_Rates!$D$99</f>
        <v>011# Panel Building</v>
      </c>
      <c r="O172" s="116"/>
    </row>
    <row r="173" spans="1:17">
      <c r="A173" s="594"/>
      <c r="B173" s="595">
        <f t="shared" si="20"/>
        <v>0</v>
      </c>
      <c r="C173" s="119"/>
      <c r="D173" s="596" t="str">
        <f>Elec_Rates!$D$107</f>
        <v>012# Termination, Point Testing, FAT</v>
      </c>
      <c r="O173" s="116"/>
    </row>
    <row r="174" spans="1:17">
      <c r="A174" s="594"/>
      <c r="B174" s="595">
        <f t="shared" si="20"/>
        <v>0</v>
      </c>
      <c r="C174" s="119"/>
      <c r="D174" s="596" t="str">
        <f>Elec_Rates!$D$171</f>
        <v xml:space="preserve">000# </v>
      </c>
      <c r="O174" s="116"/>
    </row>
    <row r="175" spans="1:17">
      <c r="A175" s="594"/>
      <c r="B175" s="595">
        <f t="shared" si="20"/>
        <v>0</v>
      </c>
      <c r="C175" s="119"/>
      <c r="D175" s="596" t="e">
        <v>#REF!</v>
      </c>
      <c r="O175" s="116"/>
    </row>
    <row r="176" spans="1:17">
      <c r="A176" s="594"/>
      <c r="B176" s="595">
        <f t="shared" si="20"/>
        <v>0</v>
      </c>
      <c r="C176" s="119"/>
      <c r="D176" s="596" t="e">
        <v>#REF!</v>
      </c>
      <c r="O176" s="116"/>
    </row>
    <row r="177" spans="1:17">
      <c r="A177" s="594"/>
      <c r="B177" s="595">
        <f t="shared" si="20"/>
        <v>0</v>
      </c>
      <c r="C177" s="119"/>
      <c r="D177" s="596" t="e">
        <v>#REF!</v>
      </c>
      <c r="O177" s="116"/>
    </row>
    <row r="178" spans="1:17">
      <c r="A178" s="594"/>
      <c r="B178" s="595">
        <f t="shared" si="20"/>
        <v>0</v>
      </c>
      <c r="C178" s="119"/>
      <c r="D178" s="596" t="e">
        <v>#REF!</v>
      </c>
      <c r="O178" s="116"/>
    </row>
    <row r="179" spans="1:17">
      <c r="A179" s="594"/>
      <c r="B179" s="595">
        <f t="shared" si="20"/>
        <v>0</v>
      </c>
      <c r="C179" s="119"/>
      <c r="D179" s="596" t="e">
        <v>#REF!</v>
      </c>
      <c r="O179" s="116"/>
    </row>
    <row r="180" spans="1:17">
      <c r="A180" s="594"/>
      <c r="B180" s="595">
        <f t="shared" si="20"/>
        <v>0</v>
      </c>
      <c r="C180" s="119"/>
      <c r="D180" s="596" t="e">
        <v>#REF!</v>
      </c>
      <c r="O180" s="116"/>
      <c r="Q180" s="33"/>
    </row>
    <row r="181" spans="1:17">
      <c r="A181" s="594"/>
      <c r="B181" s="595">
        <f t="shared" si="20"/>
        <v>0</v>
      </c>
      <c r="C181" s="119"/>
      <c r="D181" s="596" t="e">
        <v>#REF!</v>
      </c>
      <c r="O181" s="116"/>
    </row>
    <row r="182" spans="1:17">
      <c r="A182" s="594"/>
      <c r="B182" s="595">
        <f t="shared" si="20"/>
        <v>0</v>
      </c>
      <c r="C182" s="119"/>
      <c r="D182" s="596" t="e">
        <v>#REF!</v>
      </c>
      <c r="O182" s="116"/>
    </row>
    <row r="183" spans="1:17">
      <c r="A183" s="594"/>
      <c r="B183" s="595">
        <f t="shared" si="20"/>
        <v>0</v>
      </c>
      <c r="C183" s="119"/>
      <c r="D183" s="596" t="e">
        <v>#REF!</v>
      </c>
      <c r="O183" s="116"/>
    </row>
    <row r="184" spans="1:17">
      <c r="A184" s="594"/>
      <c r="B184" s="595">
        <f t="shared" si="20"/>
        <v>0</v>
      </c>
      <c r="C184" s="119"/>
      <c r="D184" s="596" t="e">
        <v>#REF!</v>
      </c>
      <c r="O184" s="116"/>
    </row>
    <row r="185" spans="1:17">
      <c r="A185" s="594"/>
      <c r="B185" s="595">
        <f t="shared" si="20"/>
        <v>0</v>
      </c>
      <c r="C185" s="119"/>
      <c r="D185" s="596" t="e">
        <v>#REF!</v>
      </c>
      <c r="O185" s="116"/>
    </row>
    <row r="186" spans="1:17">
      <c r="A186" s="594"/>
      <c r="B186" s="595">
        <f t="shared" si="20"/>
        <v>0</v>
      </c>
      <c r="C186" s="119"/>
      <c r="D186" s="596" t="e">
        <v>#REF!</v>
      </c>
      <c r="O186" s="116"/>
    </row>
    <row r="187" spans="1:17">
      <c r="A187" s="594"/>
      <c r="B187" s="595">
        <f t="shared" si="20"/>
        <v>0</v>
      </c>
      <c r="C187" s="119"/>
      <c r="D187" s="596" t="e">
        <v>#REF!</v>
      </c>
      <c r="O187" s="116"/>
    </row>
    <row r="188" spans="1:17">
      <c r="A188" s="594"/>
      <c r="B188" s="595">
        <f t="shared" si="20"/>
        <v>0</v>
      </c>
      <c r="C188" s="119"/>
      <c r="D188" s="596" t="e">
        <v>#REF!</v>
      </c>
      <c r="O188" s="116"/>
    </row>
    <row r="189" spans="1:17">
      <c r="A189" s="594"/>
      <c r="B189" s="595">
        <f t="shared" si="20"/>
        <v>0</v>
      </c>
      <c r="C189" s="119"/>
      <c r="D189" s="596" t="e">
        <v>#REF!</v>
      </c>
      <c r="O189" s="116"/>
    </row>
    <row r="190" spans="1:17">
      <c r="A190" s="594"/>
      <c r="B190" s="595">
        <f t="shared" si="20"/>
        <v>0</v>
      </c>
      <c r="C190" s="119"/>
      <c r="D190" s="596" t="e">
        <v>#REF!</v>
      </c>
      <c r="O190" s="116"/>
    </row>
    <row r="191" spans="1:17">
      <c r="A191" s="594"/>
      <c r="B191" s="595">
        <f t="shared" si="20"/>
        <v>0</v>
      </c>
      <c r="C191" s="119"/>
      <c r="D191" s="596" t="e">
        <v>#REF!</v>
      </c>
      <c r="O191" s="116"/>
    </row>
    <row r="192" spans="1:17">
      <c r="A192" s="594"/>
      <c r="B192" s="595">
        <f t="shared" si="20"/>
        <v>0</v>
      </c>
      <c r="C192" s="119"/>
      <c r="D192" s="596" t="e">
        <v>#REF!</v>
      </c>
      <c r="O192" s="116"/>
    </row>
    <row r="193" spans="1:37">
      <c r="A193" s="594"/>
      <c r="B193" s="595">
        <f t="shared" si="20"/>
        <v>0</v>
      </c>
      <c r="C193" s="119"/>
      <c r="D193" s="596" t="e">
        <v>#REF!</v>
      </c>
      <c r="O193" s="116"/>
    </row>
    <row r="194" spans="1:37">
      <c r="A194" s="594"/>
      <c r="B194" s="595">
        <f t="shared" si="20"/>
        <v>0</v>
      </c>
      <c r="C194" s="119"/>
      <c r="D194" s="596" t="e">
        <v>#REF!</v>
      </c>
      <c r="O194" s="116"/>
    </row>
    <row r="195" spans="1:37">
      <c r="A195" s="594"/>
      <c r="B195" s="595">
        <f t="shared" si="20"/>
        <v>0</v>
      </c>
      <c r="C195" s="119"/>
      <c r="D195" s="596" t="e">
        <v>#REF!</v>
      </c>
      <c r="O195" s="116"/>
    </row>
    <row r="196" spans="1:37">
      <c r="A196" s="594"/>
      <c r="B196" s="595">
        <f t="shared" si="20"/>
        <v>0</v>
      </c>
      <c r="C196" s="119"/>
      <c r="D196" s="596" t="e">
        <v>#REF!</v>
      </c>
      <c r="O196" s="116"/>
    </row>
    <row r="197" spans="1:37">
      <c r="A197" s="594"/>
      <c r="B197" s="595">
        <f t="shared" si="20"/>
        <v>0</v>
      </c>
      <c r="C197" s="119"/>
      <c r="D197" s="596" t="e">
        <v>#REF!</v>
      </c>
      <c r="O197" s="116"/>
    </row>
    <row r="198" spans="1:37" ht="14.4" thickBot="1">
      <c r="A198" s="597"/>
      <c r="B198" s="124"/>
      <c r="C198" s="124"/>
      <c r="D198" s="124"/>
      <c r="E198" s="124"/>
      <c r="F198" s="124"/>
      <c r="G198" s="124"/>
      <c r="H198" s="124"/>
      <c r="I198" s="124"/>
      <c r="J198" s="124"/>
      <c r="K198" s="124"/>
      <c r="L198" s="124"/>
      <c r="M198" s="124"/>
      <c r="N198" s="124"/>
      <c r="O198" s="126"/>
      <c r="P198" s="124"/>
      <c r="Q198" s="124"/>
      <c r="R198" s="124"/>
      <c r="S198" s="124"/>
      <c r="T198" s="124"/>
      <c r="U198" s="124"/>
      <c r="V198" s="476"/>
      <c r="W198" s="476"/>
      <c r="X198" s="476"/>
      <c r="Y198" s="476"/>
      <c r="Z198" s="476"/>
      <c r="AA198" s="476"/>
      <c r="AB198" s="476"/>
      <c r="AC198" s="124"/>
      <c r="AD198" s="124"/>
      <c r="AE198" s="124"/>
      <c r="AF198" s="124"/>
      <c r="AG198" s="124"/>
      <c r="AH198" s="124"/>
      <c r="AI198" s="124"/>
      <c r="AJ198" s="124"/>
      <c r="AK198" s="124"/>
    </row>
    <row r="199" spans="1:37" ht="14.4" thickTop="1">
      <c r="A199" s="376" t="s">
        <v>147</v>
      </c>
      <c r="B199" s="4"/>
      <c r="C199" s="4"/>
      <c r="D199" s="4"/>
      <c r="E199" s="4"/>
      <c r="F199" s="2"/>
      <c r="G199" s="33"/>
      <c r="H199" s="33"/>
      <c r="I199" s="33"/>
      <c r="J199" s="33"/>
      <c r="K199" s="33"/>
      <c r="L199" s="4"/>
      <c r="M199" s="4"/>
      <c r="N199" s="4"/>
      <c r="O199" s="4"/>
      <c r="P199" s="4"/>
      <c r="Q199" s="57"/>
      <c r="R199" s="33"/>
      <c r="S199" s="33"/>
      <c r="T199"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4C24-B34F-4833-9CC5-A5D02D627728}">
  <sheetPr>
    <tabColor indexed="14"/>
  </sheetPr>
  <dimension ref="A1:AP360"/>
  <sheetViews>
    <sheetView topLeftCell="A43" workbookViewId="0">
      <selection activeCell="A69" sqref="A69:XFD69"/>
    </sheetView>
  </sheetViews>
  <sheetFormatPr defaultColWidth="9.109375" defaultRowHeight="13.8"/>
  <cols>
    <col min="1" max="1" width="6.6640625" style="808" customWidth="1"/>
    <col min="2" max="2" width="5.6640625" style="808" customWidth="1"/>
    <col min="3" max="3" width="3.88671875" style="808" hidden="1" customWidth="1"/>
    <col min="4" max="4" width="54.88671875" style="808" customWidth="1"/>
    <col min="5" max="5" width="12.6640625" style="808" customWidth="1"/>
    <col min="6" max="6" width="14.6640625" style="808" customWidth="1"/>
    <col min="7" max="7" width="9.6640625" style="808" hidden="1" customWidth="1"/>
    <col min="8" max="8" width="7.6640625" style="808" hidden="1" customWidth="1"/>
    <col min="9" max="11" width="8.6640625" style="808" hidden="1" customWidth="1"/>
    <col min="12" max="12" width="6.6640625" style="808" hidden="1" customWidth="1"/>
    <col min="13" max="16" width="8.6640625" style="808" hidden="1" customWidth="1"/>
    <col min="17" max="17" width="10.6640625" style="808" customWidth="1"/>
    <col min="18" max="18" width="8.6640625" style="808" customWidth="1"/>
    <col min="19" max="19" width="6.6640625" style="808" customWidth="1"/>
    <col min="20" max="20" width="8.6640625" style="808" customWidth="1"/>
    <col min="21" max="21" width="6.33203125" style="808" customWidth="1"/>
    <col min="22" max="22" width="4.6640625" style="799" customWidth="1"/>
    <col min="23" max="23" width="5" style="799" bestFit="1" customWidth="1"/>
    <col min="24" max="24" width="4.88671875" style="799" bestFit="1" customWidth="1"/>
    <col min="25" max="25" width="4.33203125" style="799" bestFit="1" customWidth="1"/>
    <col min="26" max="26" width="5.33203125" style="799" customWidth="1"/>
    <col min="27" max="27" width="4" style="799" customWidth="1"/>
    <col min="28" max="28" width="4.109375" style="799" customWidth="1"/>
    <col min="29" max="32" width="9.109375" style="808" customWidth="1"/>
    <col min="33" max="33" width="12.88671875" style="808" hidden="1" customWidth="1"/>
    <col min="34" max="34" width="10.6640625" style="808" hidden="1" customWidth="1"/>
    <col min="35" max="35" width="11.44140625" style="808" hidden="1" customWidth="1"/>
    <col min="36" max="36" width="9.109375" style="808" hidden="1" customWidth="1"/>
    <col min="37" max="37" width="13.6640625" style="808" hidden="1" customWidth="1"/>
    <col min="38" max="38" width="9.109375" style="808" hidden="1" customWidth="1"/>
    <col min="39" max="40" width="12" style="808" hidden="1" customWidth="1"/>
    <col min="41" max="41" width="11.109375" style="808" hidden="1" customWidth="1"/>
    <col min="42" max="42" width="9.109375" style="808" hidden="1" customWidth="1"/>
    <col min="43" max="16384" width="9.109375" style="808"/>
  </cols>
  <sheetData>
    <row r="1" spans="1:42" s="794" customFormat="1" ht="15.6">
      <c r="A1" s="780"/>
      <c r="B1" s="563" t="s">
        <v>0</v>
      </c>
      <c r="C1" s="564">
        <f>[2]ML_Sum!$C1</f>
        <v>1</v>
      </c>
      <c r="D1" s="565">
        <f>[2]ML_Sum!$D1</f>
        <v>0</v>
      </c>
      <c r="E1" s="566"/>
      <c r="F1" s="781">
        <f>[2]ML_Sum!$F1</f>
        <v>0</v>
      </c>
      <c r="G1" s="782"/>
      <c r="H1" s="774"/>
      <c r="I1" s="783">
        <v>1</v>
      </c>
      <c r="J1" s="784">
        <f>[2]ML_Sum!$J1</f>
        <v>1</v>
      </c>
      <c r="K1" s="784">
        <f>[2]ML_Sum!$K1</f>
        <v>1</v>
      </c>
      <c r="L1" s="784">
        <f>[2]ML_Sum!$L1</f>
        <v>1</v>
      </c>
      <c r="M1" s="784">
        <f>[2]ML_Sum!$M1</f>
        <v>1</v>
      </c>
      <c r="N1" s="784">
        <f>[2]ML_Sum!$N1</f>
        <v>1</v>
      </c>
      <c r="O1" s="784">
        <f>[2]ML_Sum!$O1</f>
        <v>1</v>
      </c>
      <c r="P1" s="774"/>
      <c r="Q1" s="785" t="str">
        <f>[2]ML_Sum!$Q1</f>
        <v>€</v>
      </c>
      <c r="R1" s="786" t="s">
        <v>1</v>
      </c>
      <c r="S1" s="787" t="str">
        <f>[2]ML_Sum!$S1</f>
        <v>R</v>
      </c>
      <c r="T1" s="506">
        <f>[2]ML_Sum!$T1</f>
        <v>1</v>
      </c>
      <c r="U1" s="788" t="str">
        <f>[2]ML_Sum!W1</f>
        <v>BOQ</v>
      </c>
      <c r="V1" s="789" t="s">
        <v>207</v>
      </c>
      <c r="W1" s="790" t="s">
        <v>197</v>
      </c>
      <c r="X1" s="791" t="s">
        <v>198</v>
      </c>
      <c r="Y1" s="792" t="s">
        <v>199</v>
      </c>
      <c r="Z1" s="793" t="s">
        <v>195</v>
      </c>
      <c r="AA1" s="793" t="s">
        <v>200</v>
      </c>
      <c r="AB1" s="790" t="s">
        <v>201</v>
      </c>
      <c r="AG1" s="605"/>
      <c r="AH1" s="605"/>
      <c r="AI1" s="605"/>
      <c r="AJ1" s="605"/>
      <c r="AK1" s="606"/>
    </row>
    <row r="2" spans="1:42" s="794" customFormat="1">
      <c r="A2" s="795"/>
      <c r="B2" s="563" t="s">
        <v>2</v>
      </c>
      <c r="C2" s="564">
        <f>[2]ML_Sum!$C2</f>
        <v>1</v>
      </c>
      <c r="D2" s="565" t="str">
        <f>[2]ML_Sum!$D2</f>
        <v>Marsa Warehouse</v>
      </c>
      <c r="E2" s="569"/>
      <c r="F2" s="781" t="str">
        <f>[2]ML_Sum!$F2</f>
        <v>Controls</v>
      </c>
      <c r="G2" s="796"/>
      <c r="H2" s="774"/>
      <c r="I2" s="783">
        <v>2</v>
      </c>
      <c r="J2" s="784">
        <f>[2]ML_Sum!$J2</f>
        <v>1</v>
      </c>
      <c r="K2" s="784">
        <f>[2]ML_Sum!$K2</f>
        <v>1</v>
      </c>
      <c r="L2" s="784">
        <f>[2]ML_Sum!$L2</f>
        <v>1</v>
      </c>
      <c r="M2" s="784">
        <f>[2]ML_Sum!$M2</f>
        <v>1</v>
      </c>
      <c r="N2" s="784">
        <f>[2]ML_Sum!$N2</f>
        <v>1</v>
      </c>
      <c r="O2" s="784">
        <f>[2]ML_Sum!$O2</f>
        <v>1</v>
      </c>
      <c r="P2" s="774"/>
      <c r="Q2" s="797">
        <f>[2]ML_Sum!$Q2</f>
        <v>0</v>
      </c>
      <c r="R2" s="18" t="s">
        <v>3</v>
      </c>
      <c r="S2" s="798">
        <f>[2]ML_Sum!$S2</f>
        <v>1</v>
      </c>
      <c r="T2" s="406">
        <f>[2]ML_Sum!$T2</f>
        <v>27.46</v>
      </c>
      <c r="V2" s="799"/>
      <c r="W2" s="799"/>
      <c r="X2" s="799"/>
      <c r="Y2" s="799"/>
      <c r="Z2" s="799"/>
      <c r="AA2" s="799"/>
      <c r="AB2" s="799"/>
    </row>
    <row r="3" spans="1:42" s="794" customFormat="1">
      <c r="A3" s="570"/>
      <c r="B3" s="571" t="s">
        <v>4</v>
      </c>
      <c r="C3" s="564">
        <f>[2]ML_Sum!$C3</f>
        <v>1</v>
      </c>
      <c r="D3" s="565" t="str">
        <f>[2]ML_Sum!$D3</f>
        <v>Tender</v>
      </c>
      <c r="E3" s="570"/>
      <c r="F3" s="781" t="str">
        <f>[2]ML_Sum!$F3</f>
        <v>Preliminaries</v>
      </c>
      <c r="G3" s="800"/>
      <c r="H3" s="774"/>
      <c r="I3" s="783">
        <v>3</v>
      </c>
      <c r="J3" s="784">
        <f>[2]ML_Sum!$J3</f>
        <v>1</v>
      </c>
      <c r="K3" s="784">
        <f>[2]ML_Sum!$K3</f>
        <v>1</v>
      </c>
      <c r="L3" s="784">
        <f>[2]ML_Sum!$L3</f>
        <v>1</v>
      </c>
      <c r="M3" s="784">
        <f>[2]ML_Sum!$M3</f>
        <v>1</v>
      </c>
      <c r="N3" s="784">
        <f>[2]ML_Sum!$N3</f>
        <v>1</v>
      </c>
      <c r="O3" s="784">
        <f>[2]ML_Sum!$O3</f>
        <v>1</v>
      </c>
      <c r="P3" s="774"/>
      <c r="Q3" s="797">
        <f>[2]ML_Sum!$Q3</f>
        <v>0</v>
      </c>
      <c r="R3" s="19" t="s">
        <v>5</v>
      </c>
      <c r="S3" s="798">
        <f>[2]ML_Sum!$S3</f>
        <v>1</v>
      </c>
      <c r="T3" s="406">
        <f>[2]ML_Sum!$T3</f>
        <v>27.46</v>
      </c>
      <c r="V3" s="799"/>
      <c r="W3" s="799"/>
      <c r="X3" s="799"/>
      <c r="Y3" s="799"/>
      <c r="Z3" s="799"/>
      <c r="AA3" s="799"/>
      <c r="AB3" s="799"/>
    </row>
    <row r="4" spans="1:42" s="794" customFormat="1">
      <c r="A4" s="801"/>
      <c r="B4" s="563" t="s">
        <v>6</v>
      </c>
      <c r="C4" s="564">
        <f>[2]ML_Sum!$C4</f>
        <v>1</v>
      </c>
      <c r="D4" s="565" t="str">
        <f>[2]ML_Sum!$D4</f>
        <v>TBC</v>
      </c>
      <c r="E4" s="570"/>
      <c r="F4" s="781" t="str">
        <f>[2]ML_Sum!$F4</f>
        <v>BMS - Pair</v>
      </c>
      <c r="G4" s="800"/>
      <c r="H4" s="774"/>
      <c r="I4" s="783">
        <v>4</v>
      </c>
      <c r="J4" s="784">
        <f>[2]ML_Sum!$J4</f>
        <v>1</v>
      </c>
      <c r="K4" s="784">
        <f>[2]ML_Sum!$K4</f>
        <v>1</v>
      </c>
      <c r="L4" s="784">
        <f>[2]ML_Sum!$L4</f>
        <v>1</v>
      </c>
      <c r="M4" s="784">
        <f>[2]ML_Sum!$M4</f>
        <v>1</v>
      </c>
      <c r="N4" s="784">
        <f>[2]ML_Sum!$N4</f>
        <v>1</v>
      </c>
      <c r="O4" s="784">
        <f>[2]ML_Sum!$O4</f>
        <v>1</v>
      </c>
      <c r="P4" s="774"/>
      <c r="Q4" s="797">
        <f>[2]ML_Sum!$Q4</f>
        <v>0</v>
      </c>
      <c r="R4" s="20" t="s">
        <v>8</v>
      </c>
      <c r="S4" s="798">
        <f>[2]ML_Sum!$S4</f>
        <v>1.3</v>
      </c>
      <c r="T4" s="406">
        <f>[2]ML_Sum!$T4</f>
        <v>43.835999999999999</v>
      </c>
      <c r="V4" s="799"/>
      <c r="W4" s="799"/>
      <c r="X4" s="799"/>
      <c r="Y4" s="799"/>
      <c r="Z4" s="799"/>
      <c r="AA4" s="799"/>
      <c r="AB4" s="799"/>
    </row>
    <row r="5" spans="1:42" s="794" customFormat="1">
      <c r="A5" s="801"/>
      <c r="B5" s="563" t="s">
        <v>209</v>
      </c>
      <c r="C5" s="564">
        <f>[2]ML_Sum!$C5</f>
        <v>1</v>
      </c>
      <c r="D5" s="565">
        <f>[2]ML_Sum!$D5</f>
        <v>0</v>
      </c>
      <c r="E5" s="570"/>
      <c r="F5" s="781" t="str">
        <f>[2]ML_Sum!$F5</f>
        <v>BMS - Tech</v>
      </c>
      <c r="G5" s="574"/>
      <c r="H5" s="774"/>
      <c r="I5" s="783">
        <v>5</v>
      </c>
      <c r="J5" s="784">
        <f>[2]ML_Sum!$J5</f>
        <v>1</v>
      </c>
      <c r="K5" s="784">
        <f>[2]ML_Sum!$K5</f>
        <v>1</v>
      </c>
      <c r="L5" s="784">
        <f>[2]ML_Sum!$L5</f>
        <v>1</v>
      </c>
      <c r="M5" s="784">
        <f>[2]ML_Sum!$M5</f>
        <v>1</v>
      </c>
      <c r="N5" s="784">
        <f>[2]ML_Sum!$N5</f>
        <v>1</v>
      </c>
      <c r="O5" s="784">
        <f>[2]ML_Sum!$O5</f>
        <v>1</v>
      </c>
      <c r="P5" s="774"/>
      <c r="Q5" s="797">
        <f>[2]ML_Sum!$Q5</f>
        <v>0</v>
      </c>
      <c r="R5" s="21" t="s">
        <v>10</v>
      </c>
      <c r="S5" s="798">
        <f>[2]ML_Sum!$S5</f>
        <v>1.3</v>
      </c>
      <c r="T5" s="406">
        <f>[2]ML_Sum!$T5</f>
        <v>27.872000000000003</v>
      </c>
      <c r="V5" s="799"/>
      <c r="W5" s="799"/>
      <c r="X5" s="799"/>
      <c r="Y5" s="799"/>
      <c r="Z5" s="799"/>
      <c r="AA5" s="799"/>
      <c r="AB5" s="799"/>
    </row>
    <row r="6" spans="1:42" s="794" customFormat="1">
      <c r="A6" s="774"/>
      <c r="B6" s="571" t="s">
        <v>9</v>
      </c>
      <c r="C6" s="564">
        <f>[2]ML_Sum!$C6</f>
        <v>1</v>
      </c>
      <c r="D6" s="565" t="str">
        <f>[2]ML_Sum!$D6</f>
        <v>VAT EXCL.</v>
      </c>
      <c r="E6" s="774"/>
      <c r="F6" s="781" t="str">
        <f>[2]ML_Sum!$F6</f>
        <v>BMS - Engineer</v>
      </c>
      <c r="G6" s="574"/>
      <c r="H6" s="774"/>
      <c r="I6" s="783">
        <v>6</v>
      </c>
      <c r="J6" s="784">
        <f>[2]ML_Sum!$J6</f>
        <v>1</v>
      </c>
      <c r="K6" s="784">
        <f>[2]ML_Sum!$K6</f>
        <v>1</v>
      </c>
      <c r="L6" s="784">
        <f>[2]ML_Sum!$L6</f>
        <v>1</v>
      </c>
      <c r="M6" s="784">
        <f>[2]ML_Sum!$M6</f>
        <v>1</v>
      </c>
      <c r="N6" s="784">
        <f>[2]ML_Sum!$N6</f>
        <v>1</v>
      </c>
      <c r="O6" s="784">
        <f>[2]ML_Sum!$O6</f>
        <v>1</v>
      </c>
      <c r="P6" s="774"/>
      <c r="Q6" s="797">
        <f>[2]ML_Sum!$Q6</f>
        <v>0</v>
      </c>
      <c r="R6" s="22" t="s">
        <v>11</v>
      </c>
      <c r="S6" s="798">
        <f>[2]ML_Sum!$S6</f>
        <v>1.3</v>
      </c>
      <c r="T6" s="406">
        <f>[2]ML_Sum!$T6</f>
        <v>39</v>
      </c>
      <c r="V6" s="799"/>
      <c r="W6" s="799"/>
      <c r="X6" s="799"/>
      <c r="Y6" s="799"/>
      <c r="Z6" s="799"/>
      <c r="AA6" s="799"/>
      <c r="AB6" s="799"/>
    </row>
    <row r="7" spans="1:42" s="794" customFormat="1">
      <c r="A7" s="795"/>
      <c r="B7" s="571" t="s">
        <v>12</v>
      </c>
      <c r="C7" s="564">
        <f>[2]ML_Sum!$C7</f>
        <v>1</v>
      </c>
      <c r="D7" s="575">
        <v>39364</v>
      </c>
      <c r="E7" s="576"/>
      <c r="F7" s="781">
        <f>[2]ML_Sum!$F7</f>
        <v>0</v>
      </c>
      <c r="G7" s="802"/>
      <c r="H7" s="774"/>
      <c r="I7" s="783">
        <v>7</v>
      </c>
      <c r="J7" s="784">
        <f>[2]ML_Sum!$J7</f>
        <v>1</v>
      </c>
      <c r="K7" s="784">
        <f>[2]ML_Sum!$K7</f>
        <v>1</v>
      </c>
      <c r="L7" s="784">
        <f>[2]ML_Sum!$L7</f>
        <v>1</v>
      </c>
      <c r="M7" s="784">
        <f>[2]ML_Sum!$M7</f>
        <v>1</v>
      </c>
      <c r="N7" s="784">
        <f>[2]ML_Sum!$N7</f>
        <v>1</v>
      </c>
      <c r="O7" s="784">
        <f>[2]ML_Sum!$O7</f>
        <v>0</v>
      </c>
      <c r="P7" s="774"/>
      <c r="Q7" s="797">
        <f>[2]ML_Sum!$Q7</f>
        <v>0</v>
      </c>
      <c r="R7" s="23" t="s">
        <v>13</v>
      </c>
      <c r="S7" s="798">
        <f>[2]ML_Sum!$S7</f>
        <v>0</v>
      </c>
      <c r="T7" s="406">
        <f>[2]ML_Sum!$T7</f>
        <v>0</v>
      </c>
      <c r="V7" s="799"/>
      <c r="W7" s="799"/>
      <c r="X7" s="799"/>
      <c r="Y7" s="799"/>
      <c r="Z7" s="799"/>
      <c r="AA7" s="799"/>
      <c r="AB7" s="799"/>
    </row>
    <row r="8" spans="1:42" s="794" customFormat="1">
      <c r="A8" s="801"/>
      <c r="B8" s="571" t="s">
        <v>14</v>
      </c>
      <c r="C8" s="564">
        <f>[2]ML_Sum!$C8</f>
        <v>1</v>
      </c>
      <c r="D8" s="565" t="str">
        <f>[2]ML_Sum!$D8</f>
        <v>G. Baranyay</v>
      </c>
      <c r="E8" s="570"/>
      <c r="F8" s="781">
        <f>[2]ML_Sum!$F8</f>
        <v>0</v>
      </c>
      <c r="G8" s="578"/>
      <c r="H8" s="774"/>
      <c r="I8" s="783">
        <v>8</v>
      </c>
      <c r="J8" s="784">
        <f>[2]ML_Sum!$J8</f>
        <v>1</v>
      </c>
      <c r="K8" s="784">
        <f>[2]ML_Sum!$K8</f>
        <v>1</v>
      </c>
      <c r="L8" s="784">
        <f>[2]ML_Sum!$L8</f>
        <v>1</v>
      </c>
      <c r="M8" s="784">
        <f>[2]ML_Sum!$M8</f>
        <v>1</v>
      </c>
      <c r="N8" s="784">
        <f>[2]ML_Sum!$N8</f>
        <v>1</v>
      </c>
      <c r="O8" s="784">
        <f>[2]ML_Sum!$O8</f>
        <v>0</v>
      </c>
      <c r="P8" s="774"/>
      <c r="Q8" s="797">
        <f>[2]ML_Sum!$Q8</f>
        <v>0</v>
      </c>
      <c r="R8" s="24" t="s">
        <v>15</v>
      </c>
      <c r="S8" s="798">
        <f>[2]ML_Sum!$S8</f>
        <v>0</v>
      </c>
      <c r="T8" s="406">
        <f>[2]ML_Sum!$T8</f>
        <v>0</v>
      </c>
      <c r="V8" s="799"/>
      <c r="W8" s="799"/>
      <c r="X8" s="799"/>
      <c r="Y8" s="799"/>
      <c r="Z8" s="799"/>
      <c r="AA8" s="799"/>
      <c r="AB8" s="799"/>
    </row>
    <row r="9" spans="1:42" s="794" customFormat="1">
      <c r="A9" s="801"/>
      <c r="B9" s="571" t="s">
        <v>301</v>
      </c>
      <c r="C9" s="564">
        <f>[2]ML_Sum!$C9</f>
        <v>1</v>
      </c>
      <c r="D9" s="565">
        <f>[2]ML_Sum!$D9</f>
        <v>27.46</v>
      </c>
      <c r="E9" s="570"/>
      <c r="F9" s="781">
        <f>[2]ML_Sum!$F9</f>
        <v>0</v>
      </c>
      <c r="G9" s="578"/>
      <c r="H9" s="774"/>
      <c r="I9" s="783">
        <v>9</v>
      </c>
      <c r="J9" s="784">
        <f>[2]ML_Sum!$J9</f>
        <v>1</v>
      </c>
      <c r="K9" s="784">
        <f>[2]ML_Sum!$K9</f>
        <v>1</v>
      </c>
      <c r="L9" s="784">
        <f>[2]ML_Sum!$L9</f>
        <v>1</v>
      </c>
      <c r="M9" s="784">
        <f>[2]ML_Sum!$M9</f>
        <v>1</v>
      </c>
      <c r="N9" s="784">
        <f>[2]ML_Sum!$N9</f>
        <v>1</v>
      </c>
      <c r="O9" s="784">
        <f>[2]ML_Sum!$O9</f>
        <v>0</v>
      </c>
      <c r="P9" s="774"/>
      <c r="Q9" s="797">
        <f>[2]ML_Sum!$Q9</f>
        <v>0</v>
      </c>
      <c r="R9" s="25" t="s">
        <v>16</v>
      </c>
      <c r="S9" s="798">
        <f>[2]ML_Sum!$S9</f>
        <v>0</v>
      </c>
      <c r="T9" s="406">
        <f>[2]ML_Sum!$T9</f>
        <v>0</v>
      </c>
      <c r="V9" s="799"/>
      <c r="W9" s="799"/>
      <c r="X9" s="799"/>
      <c r="Y9" s="799"/>
      <c r="Z9" s="799"/>
      <c r="AA9" s="799"/>
      <c r="AB9" s="799"/>
    </row>
    <row r="10" spans="1:42" s="794" customFormat="1">
      <c r="A10" s="801"/>
      <c r="B10" s="795"/>
      <c r="C10" s="564">
        <f>[2]ML_Sum!$C10</f>
        <v>1</v>
      </c>
      <c r="D10" s="795"/>
      <c r="E10" s="570"/>
      <c r="F10" s="781">
        <f>[2]ML_Sum!$F10</f>
        <v>0</v>
      </c>
      <c r="G10" s="578"/>
      <c r="H10" s="774"/>
      <c r="I10" s="783">
        <v>10</v>
      </c>
      <c r="J10" s="784">
        <f>[2]ML_Sum!$J10</f>
        <v>1</v>
      </c>
      <c r="K10" s="784">
        <f>[2]ML_Sum!$K10</f>
        <v>1</v>
      </c>
      <c r="L10" s="784">
        <f>[2]ML_Sum!$L10</f>
        <v>1</v>
      </c>
      <c r="M10" s="784">
        <f>[2]ML_Sum!$M10</f>
        <v>1</v>
      </c>
      <c r="N10" s="784">
        <f>[2]ML_Sum!$N10</f>
        <v>1</v>
      </c>
      <c r="O10" s="784">
        <f>[2]ML_Sum!$O10</f>
        <v>1</v>
      </c>
      <c r="P10" s="774"/>
      <c r="Q10" s="797">
        <f>[2]ML_Sum!$Q10</f>
        <v>0</v>
      </c>
      <c r="R10" s="26" t="s">
        <v>17</v>
      </c>
      <c r="S10" s="798">
        <f>[2]ML_Sum!$S10</f>
        <v>0</v>
      </c>
      <c r="T10" s="406">
        <f>[2]ML_Sum!$T10</f>
        <v>0</v>
      </c>
      <c r="V10" s="799"/>
      <c r="W10" s="799"/>
      <c r="X10" s="799"/>
      <c r="Y10" s="799"/>
      <c r="Z10" s="799"/>
      <c r="AA10" s="799"/>
      <c r="AB10" s="799"/>
    </row>
    <row r="11" spans="1:42" s="794" customFormat="1">
      <c r="A11" s="801"/>
      <c r="B11" s="795"/>
      <c r="C11" s="564">
        <f>[2]ML_Sum!$C11</f>
        <v>1</v>
      </c>
      <c r="D11" s="795"/>
      <c r="E11" s="570"/>
      <c r="F11" s="781">
        <f>[2]ML_Sum!$F11</f>
        <v>0</v>
      </c>
      <c r="G11" s="578"/>
      <c r="H11" s="578"/>
      <c r="I11" s="795"/>
      <c r="J11" s="795"/>
      <c r="K11" s="795"/>
      <c r="L11" s="795"/>
      <c r="M11" s="795"/>
      <c r="N11" s="795"/>
      <c r="O11" s="795"/>
      <c r="P11" s="578"/>
      <c r="Q11" s="797">
        <f>[2]ML_Sum!$Q11</f>
        <v>0</v>
      </c>
      <c r="R11" s="27" t="s">
        <v>18</v>
      </c>
      <c r="S11" s="798">
        <f>[2]ML_Sum!$S11</f>
        <v>0</v>
      </c>
      <c r="T11" s="406">
        <f>[2]ML_Sum!$T11</f>
        <v>0</v>
      </c>
      <c r="V11" s="799"/>
      <c r="W11" s="799"/>
      <c r="X11" s="799"/>
      <c r="Y11" s="799"/>
      <c r="Z11" s="799"/>
      <c r="AA11" s="799"/>
      <c r="AB11" s="799"/>
    </row>
    <row r="12" spans="1:42" s="794" customFormat="1" ht="14.4" thickBot="1">
      <c r="A12" s="801"/>
      <c r="B12" s="795"/>
      <c r="C12" s="564">
        <f>[2]ML_Sum!$C12</f>
        <v>1</v>
      </c>
      <c r="D12" s="795"/>
      <c r="E12" s="570"/>
      <c r="F12" s="781">
        <f>[2]ML_Sum!$F12</f>
        <v>0</v>
      </c>
      <c r="G12" s="578"/>
      <c r="H12" s="578"/>
      <c r="I12" s="795"/>
      <c r="J12" s="795"/>
      <c r="K12" s="795"/>
      <c r="L12" s="795"/>
      <c r="M12" s="795"/>
      <c r="N12" s="795"/>
      <c r="O12" s="795"/>
      <c r="P12" s="578"/>
      <c r="Q12" s="797">
        <f>[2]ML_Sum!$Q12</f>
        <v>0</v>
      </c>
      <c r="R12" s="454" t="s">
        <v>231</v>
      </c>
      <c r="S12" s="798" t="str">
        <f>[2]ML_Sum!$S12</f>
        <v>MAT MU</v>
      </c>
      <c r="T12" s="406" t="str">
        <f>[2]ML_Sum!$T12</f>
        <v>LAB RATE</v>
      </c>
      <c r="V12" s="799"/>
      <c r="W12" s="799"/>
      <c r="X12" s="799"/>
      <c r="Y12" s="799"/>
      <c r="Z12" s="799"/>
      <c r="AA12" s="799"/>
      <c r="AB12" s="799"/>
    </row>
    <row r="13" spans="1:42" s="794" customFormat="1" ht="14.4" thickBot="1">
      <c r="A13" s="803"/>
      <c r="B13" s="804"/>
      <c r="C13" s="581"/>
      <c r="D13" s="582"/>
      <c r="E13" s="583"/>
      <c r="F13" s="584"/>
      <c r="G13" s="585" t="s">
        <v>142</v>
      </c>
      <c r="H13" s="585" t="s">
        <v>20</v>
      </c>
      <c r="I13" s="585" t="s">
        <v>21</v>
      </c>
      <c r="J13" s="585" t="s">
        <v>22</v>
      </c>
      <c r="K13" s="585" t="s">
        <v>23</v>
      </c>
      <c r="L13" s="585" t="s">
        <v>24</v>
      </c>
      <c r="M13" s="585" t="s">
        <v>25</v>
      </c>
      <c r="N13" s="585" t="s">
        <v>26</v>
      </c>
      <c r="O13" s="585" t="s">
        <v>27</v>
      </c>
      <c r="P13" s="585" t="s">
        <v>28</v>
      </c>
      <c r="Q13" s="28" t="s">
        <v>226</v>
      </c>
      <c r="R13" s="29" t="s">
        <v>30</v>
      </c>
      <c r="S13" s="805" t="s">
        <v>31</v>
      </c>
      <c r="T13" s="806" t="s">
        <v>32</v>
      </c>
      <c r="V13" s="799"/>
      <c r="W13" s="799"/>
      <c r="X13" s="799"/>
      <c r="Y13" s="799"/>
      <c r="Z13" s="799"/>
      <c r="AA13" s="799"/>
      <c r="AB13" s="799"/>
      <c r="AG13" s="774"/>
      <c r="AH13" s="774"/>
      <c r="AI13" s="774"/>
      <c r="AJ13" s="774"/>
      <c r="AK13" s="774"/>
      <c r="AM13" s="609" t="s">
        <v>297</v>
      </c>
      <c r="AN13" s="613" t="s">
        <v>312</v>
      </c>
      <c r="AO13" s="613" t="s">
        <v>298</v>
      </c>
      <c r="AP13" s="807" t="s">
        <v>295</v>
      </c>
    </row>
    <row r="14" spans="1:42" s="64" customFormat="1" ht="13.2">
      <c r="C14" s="34"/>
      <c r="D14" s="34"/>
      <c r="K14" s="64" t="s">
        <v>134</v>
      </c>
      <c r="O14" s="65"/>
    </row>
    <row r="15" spans="1:42" s="64" customFormat="1" ht="12">
      <c r="C15" s="64" t="s">
        <v>135</v>
      </c>
      <c r="D15" s="37" t="s">
        <v>136</v>
      </c>
      <c r="O15" s="65"/>
    </row>
    <row r="16" spans="1:42" s="64" customFormat="1" ht="12">
      <c r="D16" s="37" t="s">
        <v>302</v>
      </c>
      <c r="O16" s="65"/>
      <c r="S16" s="38"/>
      <c r="T16" s="38"/>
    </row>
    <row r="17" spans="1:42" s="34" customFormat="1" thickBot="1">
      <c r="A17" s="39"/>
      <c r="O17" s="40"/>
    </row>
    <row r="18" spans="1:42" s="619"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0" t="s">
        <v>286</v>
      </c>
      <c r="AH18" s="620" t="s">
        <v>287</v>
      </c>
      <c r="AI18" s="620" t="s">
        <v>288</v>
      </c>
      <c r="AJ18" s="620" t="s">
        <v>289</v>
      </c>
      <c r="AK18" s="620" t="s">
        <v>290</v>
      </c>
      <c r="AM18" s="611" t="s">
        <v>299</v>
      </c>
      <c r="AN18" s="612" t="s">
        <v>313</v>
      </c>
      <c r="AO18" s="612" t="s">
        <v>300</v>
      </c>
      <c r="AP18" s="621" t="s">
        <v>296</v>
      </c>
    </row>
    <row r="19" spans="1:42" s="619" customFormat="1" ht="12" customHeight="1">
      <c r="A19" s="622">
        <v>1</v>
      </c>
      <c r="B19" s="773" t="s">
        <v>141</v>
      </c>
      <c r="C19" s="624"/>
      <c r="D19" s="625" t="s">
        <v>303</v>
      </c>
      <c r="E19" s="764">
        <f>IF(AND($A19=0,$A$1="DIF"),0, ROUND(ROUND(($R44*$S$4+($T44*$T$4))/$A19,2)*$C$4,2))</f>
        <v>645.72</v>
      </c>
      <c r="F19" s="765">
        <f>ROUND($A19*$E19,2)</f>
        <v>645.72</v>
      </c>
      <c r="G19" s="628" t="s">
        <v>142</v>
      </c>
      <c r="H19" s="616"/>
      <c r="I19" s="629"/>
      <c r="J19" s="616"/>
      <c r="K19" s="616" t="s">
        <v>8</v>
      </c>
      <c r="L19" s="630" t="s">
        <v>143</v>
      </c>
      <c r="M19" s="630"/>
      <c r="N19" s="630"/>
      <c r="O19" s="630"/>
      <c r="P19" s="630"/>
      <c r="Q19" s="64"/>
      <c r="T19" s="769" t="str">
        <f>IF(AND($R44=0,$T44=0),"0.00","mu: "&amp; ROUND(F19/$C$4/($R44+$T44*$D$9),2))</f>
        <v>mu: 1.3</v>
      </c>
      <c r="W19" s="632"/>
      <c r="AG19" s="766">
        <f>IF($E19=0,0,ROUND($R44*$S$4*$C$4/$A19,2))</f>
        <v>645.72</v>
      </c>
      <c r="AH19" s="766">
        <f>$AG19*$A19</f>
        <v>645.72</v>
      </c>
      <c r="AI19" s="767">
        <f>$E19-$AG19</f>
        <v>0</v>
      </c>
      <c r="AJ19" s="767">
        <f>$A19*$AI19</f>
        <v>0</v>
      </c>
      <c r="AK19" s="768">
        <f>ROUND(($AG19+$AI19)*$A19,2)</f>
        <v>645.72</v>
      </c>
      <c r="AM19" s="635">
        <f>ROUND(R44,2)</f>
        <v>496.71</v>
      </c>
      <c r="AN19" s="636">
        <f>IF(A19=0,0,AO19/A19)</f>
        <v>0</v>
      </c>
      <c r="AO19" s="636">
        <f>ROUND(T44,2)</f>
        <v>0</v>
      </c>
      <c r="AP19" s="637">
        <f>ROUND(AM19+AO19,2)*A19</f>
        <v>496.71</v>
      </c>
    </row>
    <row r="20" spans="1:42" s="619" customFormat="1" ht="13.2">
      <c r="A20" s="624"/>
      <c r="B20" s="774"/>
      <c r="C20" s="624"/>
      <c r="D20" s="625" t="s">
        <v>460</v>
      </c>
      <c r="F20" s="616"/>
      <c r="G20" s="3"/>
      <c r="H20" s="616"/>
      <c r="I20" s="629"/>
      <c r="J20" s="616"/>
      <c r="K20" s="616" t="s">
        <v>144</v>
      </c>
      <c r="L20" s="616"/>
      <c r="M20" s="616"/>
      <c r="N20" s="616"/>
      <c r="O20" s="616"/>
      <c r="P20" s="616"/>
      <c r="Q20" s="64"/>
      <c r="R20" s="638"/>
      <c r="S20" s="639"/>
      <c r="T20" s="616"/>
    </row>
    <row r="21" spans="1:42" s="619" customFormat="1" ht="12">
      <c r="A21" s="64"/>
      <c r="B21" s="615"/>
      <c r="C21" s="615"/>
      <c r="D21" s="615"/>
      <c r="E21" s="615"/>
      <c r="F21" s="616"/>
      <c r="G21" s="615"/>
      <c r="H21" s="615"/>
      <c r="I21" s="617"/>
      <c r="J21" s="615"/>
      <c r="K21" s="615"/>
      <c r="L21" s="615"/>
      <c r="M21" s="615"/>
      <c r="N21" s="615"/>
      <c r="O21" s="615"/>
      <c r="P21" s="615"/>
      <c r="Q21" s="617"/>
      <c r="R21" s="640">
        <f t="shared" ref="R21:R43" si="0">$A21*Q21</f>
        <v>0</v>
      </c>
      <c r="S21" s="617"/>
      <c r="T21" s="618">
        <f t="shared" ref="T21:T43" si="1">$A21*S21*$T$1</f>
        <v>0</v>
      </c>
    </row>
    <row r="22" spans="1:42" s="619" customFormat="1" ht="12">
      <c r="A22" s="64">
        <v>1</v>
      </c>
      <c r="B22" s="615" t="s">
        <v>141</v>
      </c>
      <c r="C22" s="615"/>
      <c r="D22" s="615" t="s">
        <v>461</v>
      </c>
      <c r="E22" s="615" t="s">
        <v>338</v>
      </c>
      <c r="F22" s="616" t="s">
        <v>462</v>
      </c>
      <c r="G22" s="615" t="s">
        <v>318</v>
      </c>
      <c r="H22" s="615">
        <v>415</v>
      </c>
      <c r="I22" s="617" t="s">
        <v>319</v>
      </c>
      <c r="J22" s="615"/>
      <c r="K22" s="615"/>
      <c r="L22" s="615"/>
      <c r="M22" s="615"/>
      <c r="N22" s="615"/>
      <c r="O22" s="615">
        <v>3</v>
      </c>
      <c r="P22" s="615"/>
      <c r="Q22" s="617">
        <v>80.91</v>
      </c>
      <c r="R22" s="640">
        <f t="shared" si="0"/>
        <v>80.91</v>
      </c>
      <c r="S22" s="617"/>
      <c r="T22" s="618">
        <f t="shared" si="1"/>
        <v>0</v>
      </c>
    </row>
    <row r="23" spans="1:42" s="619" customFormat="1" ht="12">
      <c r="A23" s="64">
        <v>1</v>
      </c>
      <c r="B23" s="615" t="s">
        <v>141</v>
      </c>
      <c r="C23" s="615"/>
      <c r="D23" s="615" t="s">
        <v>339</v>
      </c>
      <c r="E23" s="615" t="s">
        <v>338</v>
      </c>
      <c r="F23" s="616" t="s">
        <v>340</v>
      </c>
      <c r="G23" s="615" t="s">
        <v>318</v>
      </c>
      <c r="H23" s="615">
        <v>415</v>
      </c>
      <c r="I23" s="617" t="s">
        <v>319</v>
      </c>
      <c r="J23" s="615"/>
      <c r="K23" s="615"/>
      <c r="L23" s="615"/>
      <c r="M23" s="615"/>
      <c r="N23" s="615"/>
      <c r="O23" s="615">
        <v>3</v>
      </c>
      <c r="P23" s="615"/>
      <c r="Q23" s="617">
        <v>3.43</v>
      </c>
      <c r="R23" s="640">
        <f t="shared" si="0"/>
        <v>3.43</v>
      </c>
      <c r="S23" s="617"/>
      <c r="T23" s="618">
        <f t="shared" si="1"/>
        <v>0</v>
      </c>
    </row>
    <row r="24" spans="1:42" s="619" customFormat="1" ht="12">
      <c r="A24" s="64">
        <v>1</v>
      </c>
      <c r="B24" s="615" t="s">
        <v>141</v>
      </c>
      <c r="C24" s="615"/>
      <c r="D24" s="615" t="s">
        <v>341</v>
      </c>
      <c r="E24" s="615" t="s">
        <v>338</v>
      </c>
      <c r="F24" s="616" t="s">
        <v>342</v>
      </c>
      <c r="G24" s="615" t="s">
        <v>318</v>
      </c>
      <c r="H24" s="615">
        <v>415</v>
      </c>
      <c r="I24" s="617" t="s">
        <v>319</v>
      </c>
      <c r="J24" s="615"/>
      <c r="K24" s="615"/>
      <c r="L24" s="615"/>
      <c r="M24" s="615"/>
      <c r="N24" s="615"/>
      <c r="O24" s="615">
        <v>3</v>
      </c>
      <c r="P24" s="615"/>
      <c r="Q24" s="617">
        <v>2.5499999999999998</v>
      </c>
      <c r="R24" s="640">
        <f t="shared" si="0"/>
        <v>2.5499999999999998</v>
      </c>
      <c r="S24" s="617"/>
      <c r="T24" s="618">
        <f t="shared" si="1"/>
        <v>0</v>
      </c>
    </row>
    <row r="25" spans="1:42" s="619" customFormat="1" ht="12">
      <c r="A25" s="64">
        <v>1</v>
      </c>
      <c r="B25" s="615" t="s">
        <v>141</v>
      </c>
      <c r="C25" s="615"/>
      <c r="D25" s="615" t="s">
        <v>463</v>
      </c>
      <c r="E25" s="615" t="s">
        <v>338</v>
      </c>
      <c r="F25" s="616" t="s">
        <v>464</v>
      </c>
      <c r="G25" s="615" t="s">
        <v>318</v>
      </c>
      <c r="H25" s="615">
        <v>415</v>
      </c>
      <c r="I25" s="617" t="s">
        <v>319</v>
      </c>
      <c r="J25" s="615"/>
      <c r="K25" s="615"/>
      <c r="L25" s="615"/>
      <c r="M25" s="615"/>
      <c r="N25" s="615"/>
      <c r="O25" s="615">
        <v>3</v>
      </c>
      <c r="P25" s="615"/>
      <c r="Q25" s="617">
        <v>8</v>
      </c>
      <c r="R25" s="640">
        <f t="shared" si="0"/>
        <v>8</v>
      </c>
      <c r="S25" s="617"/>
      <c r="T25" s="618">
        <f t="shared" si="1"/>
        <v>0</v>
      </c>
    </row>
    <row r="26" spans="1:42" s="619" customFormat="1" ht="12">
      <c r="A26" s="64">
        <v>1</v>
      </c>
      <c r="B26" s="615" t="s">
        <v>141</v>
      </c>
      <c r="C26" s="615"/>
      <c r="D26" s="615" t="s">
        <v>343</v>
      </c>
      <c r="E26" s="615" t="s">
        <v>338</v>
      </c>
      <c r="F26" s="616" t="s">
        <v>344</v>
      </c>
      <c r="G26" s="615" t="s">
        <v>318</v>
      </c>
      <c r="H26" s="615">
        <v>415</v>
      </c>
      <c r="I26" s="617" t="s">
        <v>319</v>
      </c>
      <c r="J26" s="615"/>
      <c r="K26" s="615"/>
      <c r="L26" s="615"/>
      <c r="M26" s="615"/>
      <c r="N26" s="615"/>
      <c r="O26" s="615">
        <v>3</v>
      </c>
      <c r="P26" s="615"/>
      <c r="Q26" s="617">
        <v>9.5500000000000007</v>
      </c>
      <c r="R26" s="640">
        <f t="shared" si="0"/>
        <v>9.5500000000000007</v>
      </c>
      <c r="S26" s="617"/>
      <c r="T26" s="618">
        <f t="shared" si="1"/>
        <v>0</v>
      </c>
    </row>
    <row r="27" spans="1:42" s="619" customFormat="1" ht="12">
      <c r="A27" s="615">
        <v>2</v>
      </c>
      <c r="B27" s="615" t="s">
        <v>141</v>
      </c>
      <c r="C27" s="615"/>
      <c r="D27" s="615" t="s">
        <v>453</v>
      </c>
      <c r="E27" s="615" t="s">
        <v>338</v>
      </c>
      <c r="F27" s="616" t="s">
        <v>454</v>
      </c>
      <c r="G27" s="615" t="s">
        <v>318</v>
      </c>
      <c r="H27" s="615">
        <v>415</v>
      </c>
      <c r="I27" s="617" t="s">
        <v>319</v>
      </c>
      <c r="J27" s="615"/>
      <c r="K27" s="615"/>
      <c r="L27" s="615"/>
      <c r="M27" s="615"/>
      <c r="N27" s="615"/>
      <c r="O27" s="615">
        <v>3</v>
      </c>
      <c r="P27" s="615"/>
      <c r="Q27" s="617">
        <v>1.25</v>
      </c>
      <c r="R27" s="640">
        <f t="shared" si="0"/>
        <v>2.5</v>
      </c>
      <c r="S27" s="617"/>
      <c r="T27" s="618">
        <f t="shared" si="1"/>
        <v>0</v>
      </c>
    </row>
    <row r="28" spans="1:42" s="619" customFormat="1" ht="12">
      <c r="A28" s="615">
        <v>2</v>
      </c>
      <c r="B28" s="615" t="s">
        <v>141</v>
      </c>
      <c r="C28" s="615"/>
      <c r="D28" s="615" t="s">
        <v>345</v>
      </c>
      <c r="E28" s="615" t="s">
        <v>338</v>
      </c>
      <c r="F28" s="616" t="s">
        <v>346</v>
      </c>
      <c r="G28" s="615" t="s">
        <v>318</v>
      </c>
      <c r="H28" s="615">
        <v>415</v>
      </c>
      <c r="I28" s="617" t="s">
        <v>319</v>
      </c>
      <c r="J28" s="615"/>
      <c r="K28" s="615"/>
      <c r="L28" s="615"/>
      <c r="M28" s="615"/>
      <c r="N28" s="615"/>
      <c r="O28" s="615">
        <v>3</v>
      </c>
      <c r="P28" s="615"/>
      <c r="Q28" s="617">
        <v>9.4E-2</v>
      </c>
      <c r="R28" s="640">
        <f t="shared" si="0"/>
        <v>0.188</v>
      </c>
      <c r="S28" s="617"/>
      <c r="T28" s="618">
        <f t="shared" si="1"/>
        <v>0</v>
      </c>
    </row>
    <row r="29" spans="1:42" s="619" customFormat="1" ht="12">
      <c r="A29" s="64">
        <v>1</v>
      </c>
      <c r="B29" s="615" t="s">
        <v>141</v>
      </c>
      <c r="C29" s="615"/>
      <c r="D29" s="615" t="s">
        <v>347</v>
      </c>
      <c r="E29" s="615" t="s">
        <v>338</v>
      </c>
      <c r="F29" s="616" t="s">
        <v>348</v>
      </c>
      <c r="G29" s="615" t="s">
        <v>318</v>
      </c>
      <c r="H29" s="615">
        <v>415</v>
      </c>
      <c r="I29" s="617" t="s">
        <v>319</v>
      </c>
      <c r="J29" s="615"/>
      <c r="K29" s="615"/>
      <c r="L29" s="615"/>
      <c r="M29" s="615"/>
      <c r="N29" s="615"/>
      <c r="O29" s="615">
        <v>3</v>
      </c>
      <c r="P29" s="615"/>
      <c r="Q29" s="617">
        <v>16.91</v>
      </c>
      <c r="R29" s="640">
        <f t="shared" si="0"/>
        <v>16.91</v>
      </c>
      <c r="S29" s="617"/>
      <c r="T29" s="618">
        <f t="shared" si="1"/>
        <v>0</v>
      </c>
    </row>
    <row r="30" spans="1:42" s="619" customFormat="1" ht="12">
      <c r="A30" s="64">
        <v>1</v>
      </c>
      <c r="B30" s="615" t="s">
        <v>141</v>
      </c>
      <c r="C30" s="615"/>
      <c r="D30" s="615" t="s">
        <v>349</v>
      </c>
      <c r="E30" s="615" t="s">
        <v>338</v>
      </c>
      <c r="F30" s="616" t="s">
        <v>350</v>
      </c>
      <c r="G30" s="615" t="s">
        <v>318</v>
      </c>
      <c r="H30" s="615">
        <v>415</v>
      </c>
      <c r="I30" s="617" t="s">
        <v>319</v>
      </c>
      <c r="J30" s="615"/>
      <c r="K30" s="615"/>
      <c r="L30" s="615"/>
      <c r="M30" s="615"/>
      <c r="N30" s="615"/>
      <c r="O30" s="615">
        <v>3</v>
      </c>
      <c r="P30" s="615"/>
      <c r="Q30" s="617">
        <v>5.57</v>
      </c>
      <c r="R30" s="640">
        <f t="shared" si="0"/>
        <v>5.57</v>
      </c>
      <c r="S30" s="617"/>
      <c r="T30" s="618">
        <f t="shared" si="1"/>
        <v>0</v>
      </c>
    </row>
    <row r="31" spans="1:42" s="619" customFormat="1" ht="12">
      <c r="A31" s="64">
        <v>1</v>
      </c>
      <c r="B31" s="615" t="s">
        <v>141</v>
      </c>
      <c r="C31" s="615"/>
      <c r="D31" s="615" t="s">
        <v>351</v>
      </c>
      <c r="E31" s="615" t="s">
        <v>338</v>
      </c>
      <c r="F31" s="616" t="s">
        <v>352</v>
      </c>
      <c r="G31" s="615" t="s">
        <v>318</v>
      </c>
      <c r="H31" s="615">
        <v>415</v>
      </c>
      <c r="I31" s="617" t="s">
        <v>319</v>
      </c>
      <c r="J31" s="615"/>
      <c r="K31" s="615"/>
      <c r="L31" s="615"/>
      <c r="M31" s="615"/>
      <c r="N31" s="615"/>
      <c r="O31" s="615">
        <v>3</v>
      </c>
      <c r="P31" s="615"/>
      <c r="Q31" s="617">
        <v>5.7</v>
      </c>
      <c r="R31" s="640">
        <f t="shared" si="0"/>
        <v>5.7</v>
      </c>
      <c r="S31" s="617"/>
      <c r="T31" s="618">
        <f t="shared" si="1"/>
        <v>0</v>
      </c>
    </row>
    <row r="32" spans="1:42" s="619" customFormat="1" ht="12">
      <c r="A32" s="64">
        <v>1</v>
      </c>
      <c r="B32" s="615" t="s">
        <v>141</v>
      </c>
      <c r="C32" s="615"/>
      <c r="D32" s="615" t="s">
        <v>353</v>
      </c>
      <c r="E32" s="615" t="s">
        <v>338</v>
      </c>
      <c r="F32" s="616" t="s">
        <v>354</v>
      </c>
      <c r="G32" s="615" t="s">
        <v>318</v>
      </c>
      <c r="H32" s="615">
        <v>415</v>
      </c>
      <c r="I32" s="617" t="s">
        <v>319</v>
      </c>
      <c r="J32" s="615"/>
      <c r="K32" s="615"/>
      <c r="L32" s="615"/>
      <c r="M32" s="615"/>
      <c r="N32" s="615"/>
      <c r="O32" s="615">
        <v>3</v>
      </c>
      <c r="P32" s="615"/>
      <c r="Q32" s="617">
        <v>7.4</v>
      </c>
      <c r="R32" s="640">
        <f t="shared" si="0"/>
        <v>7.4</v>
      </c>
      <c r="S32" s="617"/>
      <c r="T32" s="618">
        <f t="shared" si="1"/>
        <v>0</v>
      </c>
    </row>
    <row r="33" spans="1:42" s="619" customFormat="1" ht="12">
      <c r="A33" s="615">
        <v>1</v>
      </c>
      <c r="B33" s="615" t="s">
        <v>141</v>
      </c>
      <c r="C33" s="615"/>
      <c r="D33" s="615" t="s">
        <v>355</v>
      </c>
      <c r="E33" s="615" t="s">
        <v>338</v>
      </c>
      <c r="F33" s="616" t="s">
        <v>356</v>
      </c>
      <c r="G33" s="615" t="s">
        <v>318</v>
      </c>
      <c r="H33" s="615">
        <v>415</v>
      </c>
      <c r="I33" s="617" t="s">
        <v>319</v>
      </c>
      <c r="J33" s="615"/>
      <c r="K33" s="615"/>
      <c r="L33" s="615"/>
      <c r="M33" s="615"/>
      <c r="N33" s="615"/>
      <c r="O33" s="615">
        <v>3</v>
      </c>
      <c r="P33" s="615"/>
      <c r="Q33" s="617">
        <v>0.98</v>
      </c>
      <c r="R33" s="640">
        <f t="shared" si="0"/>
        <v>0.98</v>
      </c>
      <c r="S33" s="617"/>
      <c r="T33" s="618">
        <f t="shared" si="1"/>
        <v>0</v>
      </c>
    </row>
    <row r="34" spans="1:42" s="619" customFormat="1" ht="12">
      <c r="A34" s="64">
        <v>1</v>
      </c>
      <c r="B34" s="615" t="s">
        <v>141</v>
      </c>
      <c r="C34" s="615"/>
      <c r="D34" s="615" t="s">
        <v>357</v>
      </c>
      <c r="E34" s="615" t="s">
        <v>338</v>
      </c>
      <c r="F34" s="616" t="s">
        <v>358</v>
      </c>
      <c r="G34" s="615" t="s">
        <v>318</v>
      </c>
      <c r="H34" s="615">
        <v>415</v>
      </c>
      <c r="I34" s="617" t="s">
        <v>319</v>
      </c>
      <c r="J34" s="615"/>
      <c r="K34" s="615"/>
      <c r="L34" s="615"/>
      <c r="M34" s="615"/>
      <c r="N34" s="615"/>
      <c r="O34" s="615">
        <v>3</v>
      </c>
      <c r="P34" s="615"/>
      <c r="Q34" s="617">
        <v>0.98</v>
      </c>
      <c r="R34" s="640">
        <f t="shared" si="0"/>
        <v>0.98</v>
      </c>
      <c r="S34" s="617"/>
      <c r="T34" s="618">
        <f t="shared" si="1"/>
        <v>0</v>
      </c>
    </row>
    <row r="35" spans="1:42" s="619" customFormat="1" ht="12">
      <c r="A35" s="64">
        <v>3</v>
      </c>
      <c r="B35" s="615" t="s">
        <v>141</v>
      </c>
      <c r="C35" s="615"/>
      <c r="D35" s="615" t="s">
        <v>455</v>
      </c>
      <c r="E35" s="615" t="s">
        <v>338</v>
      </c>
      <c r="F35" s="616" t="s">
        <v>456</v>
      </c>
      <c r="G35" s="615" t="s">
        <v>318</v>
      </c>
      <c r="H35" s="615">
        <v>415</v>
      </c>
      <c r="I35" s="617" t="s">
        <v>319</v>
      </c>
      <c r="J35" s="615"/>
      <c r="K35" s="615"/>
      <c r="L35" s="615"/>
      <c r="M35" s="615"/>
      <c r="N35" s="615"/>
      <c r="O35" s="615">
        <v>3</v>
      </c>
      <c r="P35" s="615"/>
      <c r="Q35" s="617">
        <v>0.98</v>
      </c>
      <c r="R35" s="640">
        <f t="shared" si="0"/>
        <v>2.94</v>
      </c>
      <c r="S35" s="617"/>
      <c r="T35" s="618">
        <f t="shared" si="1"/>
        <v>0</v>
      </c>
    </row>
    <row r="36" spans="1:42" s="619" customFormat="1" ht="12">
      <c r="A36" s="64">
        <v>0</v>
      </c>
      <c r="B36" s="615" t="s">
        <v>141</v>
      </c>
      <c r="C36" s="615"/>
      <c r="D36" s="615" t="s">
        <v>359</v>
      </c>
      <c r="E36" s="615" t="s">
        <v>338</v>
      </c>
      <c r="F36" s="616" t="s">
        <v>360</v>
      </c>
      <c r="G36" s="615" t="s">
        <v>318</v>
      </c>
      <c r="H36" s="615">
        <v>415</v>
      </c>
      <c r="I36" s="617" t="s">
        <v>319</v>
      </c>
      <c r="J36" s="615"/>
      <c r="K36" s="615"/>
      <c r="L36" s="615"/>
      <c r="M36" s="615"/>
      <c r="N36" s="615"/>
      <c r="O36" s="615">
        <v>3</v>
      </c>
      <c r="P36" s="615"/>
      <c r="Q36" s="617">
        <v>24.4</v>
      </c>
      <c r="R36" s="640">
        <f t="shared" si="0"/>
        <v>0</v>
      </c>
      <c r="S36" s="617"/>
      <c r="T36" s="618">
        <f t="shared" si="1"/>
        <v>0</v>
      </c>
    </row>
    <row r="37" spans="1:42" s="619" customFormat="1" ht="12">
      <c r="A37" s="65">
        <f>A33+A34+A35</f>
        <v>5</v>
      </c>
      <c r="B37" s="615" t="s">
        <v>141</v>
      </c>
      <c r="C37" s="615"/>
      <c r="D37" s="615" t="s">
        <v>361</v>
      </c>
      <c r="E37" s="615" t="s">
        <v>338</v>
      </c>
      <c r="F37" s="616" t="s">
        <v>362</v>
      </c>
      <c r="G37" s="615" t="s">
        <v>318</v>
      </c>
      <c r="H37" s="615">
        <v>415</v>
      </c>
      <c r="I37" s="617" t="s">
        <v>319</v>
      </c>
      <c r="J37" s="615"/>
      <c r="K37" s="615"/>
      <c r="L37" s="615"/>
      <c r="M37" s="615"/>
      <c r="N37" s="615"/>
      <c r="O37" s="615">
        <v>3</v>
      </c>
      <c r="P37" s="615"/>
      <c r="Q37" s="617">
        <v>2.42</v>
      </c>
      <c r="R37" s="640">
        <f t="shared" si="0"/>
        <v>12.1</v>
      </c>
      <c r="S37" s="617"/>
      <c r="T37" s="618">
        <f t="shared" si="1"/>
        <v>0</v>
      </c>
    </row>
    <row r="38" spans="1:42" s="619" customFormat="1" ht="12">
      <c r="A38" s="64">
        <v>1</v>
      </c>
      <c r="B38" s="615" t="s">
        <v>141</v>
      </c>
      <c r="C38" s="615"/>
      <c r="D38" s="615" t="s">
        <v>382</v>
      </c>
      <c r="E38" s="615" t="s">
        <v>338</v>
      </c>
      <c r="F38" s="616" t="s">
        <v>457</v>
      </c>
      <c r="G38" s="615" t="s">
        <v>318</v>
      </c>
      <c r="H38" s="615">
        <v>415</v>
      </c>
      <c r="I38" s="617" t="s">
        <v>319</v>
      </c>
      <c r="J38" s="615"/>
      <c r="K38" s="615"/>
      <c r="L38" s="615"/>
      <c r="M38" s="615"/>
      <c r="N38" s="615"/>
      <c r="O38" s="615">
        <v>3</v>
      </c>
      <c r="P38" s="615"/>
      <c r="Q38" s="617">
        <v>30</v>
      </c>
      <c r="R38" s="640">
        <f t="shared" si="0"/>
        <v>30</v>
      </c>
      <c r="S38" s="617"/>
      <c r="T38" s="618">
        <f t="shared" si="1"/>
        <v>0</v>
      </c>
    </row>
    <row r="39" spans="1:42" s="619" customFormat="1" ht="12">
      <c r="A39" s="64">
        <v>1</v>
      </c>
      <c r="B39" s="615" t="s">
        <v>141</v>
      </c>
      <c r="C39" s="615"/>
      <c r="D39" s="615" t="s">
        <v>458</v>
      </c>
      <c r="E39" s="615" t="s">
        <v>338</v>
      </c>
      <c r="F39" s="616" t="s">
        <v>459</v>
      </c>
      <c r="G39" s="615" t="s">
        <v>318</v>
      </c>
      <c r="H39" s="615">
        <v>415</v>
      </c>
      <c r="I39" s="617" t="s">
        <v>319</v>
      </c>
      <c r="J39" s="615"/>
      <c r="K39" s="615"/>
      <c r="L39" s="615"/>
      <c r="M39" s="615"/>
      <c r="N39" s="615"/>
      <c r="O39" s="615">
        <v>3</v>
      </c>
      <c r="P39" s="615"/>
      <c r="Q39" s="617">
        <v>7</v>
      </c>
      <c r="R39" s="640">
        <f t="shared" si="0"/>
        <v>7</v>
      </c>
      <c r="S39" s="617"/>
      <c r="T39" s="618">
        <f t="shared" si="1"/>
        <v>0</v>
      </c>
    </row>
    <row r="40" spans="1:42" s="619" customFormat="1" ht="12">
      <c r="A40" s="64">
        <v>1</v>
      </c>
      <c r="B40" s="615" t="s">
        <v>141</v>
      </c>
      <c r="C40" s="615"/>
      <c r="D40" s="615" t="s">
        <v>363</v>
      </c>
      <c r="E40" s="615" t="s">
        <v>364</v>
      </c>
      <c r="F40" s="616"/>
      <c r="G40" s="615" t="s">
        <v>318</v>
      </c>
      <c r="H40" s="615">
        <v>415</v>
      </c>
      <c r="I40" s="617" t="s">
        <v>319</v>
      </c>
      <c r="J40" s="615"/>
      <c r="K40" s="615"/>
      <c r="L40" s="615"/>
      <c r="M40" s="615"/>
      <c r="N40" s="615"/>
      <c r="O40" s="615">
        <v>3</v>
      </c>
      <c r="P40" s="615"/>
      <c r="Q40" s="617">
        <v>50</v>
      </c>
      <c r="R40" s="640">
        <f t="shared" si="0"/>
        <v>50</v>
      </c>
      <c r="S40" s="617"/>
      <c r="T40" s="618">
        <f t="shared" si="1"/>
        <v>0</v>
      </c>
    </row>
    <row r="41" spans="1:42" s="619" customFormat="1" ht="12">
      <c r="A41" s="64">
        <v>1</v>
      </c>
      <c r="B41" s="615" t="s">
        <v>141</v>
      </c>
      <c r="C41" s="615"/>
      <c r="D41" s="615" t="s">
        <v>330</v>
      </c>
      <c r="E41" s="615" t="s">
        <v>365</v>
      </c>
      <c r="F41" s="616"/>
      <c r="G41" s="615" t="s">
        <v>318</v>
      </c>
      <c r="H41" s="615">
        <v>420</v>
      </c>
      <c r="I41" s="617" t="s">
        <v>319</v>
      </c>
      <c r="J41" s="615"/>
      <c r="K41" s="615"/>
      <c r="L41" s="615"/>
      <c r="M41" s="615"/>
      <c r="N41" s="615"/>
      <c r="O41" s="615">
        <v>3</v>
      </c>
      <c r="P41" s="615"/>
      <c r="Q41" s="617">
        <v>250</v>
      </c>
      <c r="R41" s="640">
        <f t="shared" si="0"/>
        <v>250</v>
      </c>
      <c r="S41" s="617"/>
      <c r="T41" s="618">
        <f t="shared" si="1"/>
        <v>0</v>
      </c>
    </row>
    <row r="42" spans="1:42" s="619" customFormat="1" ht="12">
      <c r="A42" s="64"/>
      <c r="B42" s="615"/>
      <c r="C42" s="615"/>
      <c r="D42" s="615"/>
      <c r="E42" s="615"/>
      <c r="F42" s="616"/>
      <c r="G42" s="615"/>
      <c r="H42" s="615"/>
      <c r="I42" s="617"/>
      <c r="J42" s="615"/>
      <c r="K42" s="615"/>
      <c r="L42" s="615"/>
      <c r="M42" s="615"/>
      <c r="N42" s="615"/>
      <c r="O42" s="615"/>
      <c r="P42" s="615"/>
      <c r="Q42" s="617"/>
      <c r="R42" s="640">
        <f t="shared" si="0"/>
        <v>0</v>
      </c>
      <c r="S42" s="617"/>
      <c r="T42" s="618">
        <f t="shared" si="1"/>
        <v>0</v>
      </c>
    </row>
    <row r="43" spans="1:42" s="619" customFormat="1" ht="12">
      <c r="A43" s="615"/>
      <c r="B43" s="615"/>
      <c r="C43" s="615"/>
      <c r="D43" s="615"/>
      <c r="E43" s="615"/>
      <c r="F43" s="616"/>
      <c r="G43" s="615"/>
      <c r="H43" s="615"/>
      <c r="I43" s="617"/>
      <c r="J43" s="615"/>
      <c r="K43" s="615"/>
      <c r="L43" s="615"/>
      <c r="M43" s="615"/>
      <c r="N43" s="615"/>
      <c r="O43" s="615"/>
      <c r="P43" s="615"/>
      <c r="Q43" s="617"/>
      <c r="R43" s="640">
        <f t="shared" si="0"/>
        <v>0</v>
      </c>
      <c r="S43" s="617"/>
      <c r="T43" s="618">
        <f t="shared" si="1"/>
        <v>0</v>
      </c>
    </row>
    <row r="44" spans="1:42" s="619" customFormat="1" ht="12.6" thickBot="1">
      <c r="A44" s="641" t="s">
        <v>145</v>
      </c>
      <c r="B44" s="642">
        <f>(R43+T43)</f>
        <v>0</v>
      </c>
      <c r="C44" s="643"/>
      <c r="D44" s="643"/>
      <c r="E44" s="643"/>
      <c r="F44" s="644"/>
      <c r="G44" s="643" t="s">
        <v>146</v>
      </c>
      <c r="H44" s="643"/>
      <c r="I44" s="645"/>
      <c r="J44" s="643"/>
      <c r="K44" s="643" t="s">
        <v>8</v>
      </c>
      <c r="L44" s="646" t="s">
        <v>143</v>
      </c>
      <c r="M44" s="646"/>
      <c r="N44" s="646"/>
      <c r="O44" s="646"/>
      <c r="P44" s="646"/>
      <c r="Q44" s="647"/>
      <c r="R44" s="648">
        <f>SUM(R20:R43)</f>
        <v>496.70799999999997</v>
      </c>
      <c r="S44" s="643"/>
      <c r="T44" s="648">
        <f>SUM(T20:T43)</f>
        <v>0</v>
      </c>
      <c r="U44" s="649"/>
      <c r="V44" s="649"/>
      <c r="W44" s="649"/>
      <c r="X44" s="649"/>
      <c r="Y44" s="649"/>
      <c r="Z44" s="649"/>
      <c r="AA44" s="649"/>
      <c r="AB44" s="649"/>
      <c r="AC44" s="649"/>
      <c r="AD44" s="649"/>
      <c r="AE44" s="649"/>
      <c r="AF44" s="649"/>
      <c r="AG44" s="649"/>
      <c r="AH44" s="649"/>
      <c r="AI44" s="649"/>
      <c r="AJ44" s="649"/>
      <c r="AK44" s="649"/>
      <c r="AL44" s="649"/>
      <c r="AM44" s="649"/>
      <c r="AN44" s="649"/>
      <c r="AO44" s="649"/>
      <c r="AP44" s="649"/>
    </row>
    <row r="45" spans="1:42" s="619" customFormat="1" ht="12" thickTop="1">
      <c r="A45" s="64"/>
      <c r="B45" s="41"/>
      <c r="C45" s="64"/>
      <c r="E45" s="42" t="s">
        <v>138</v>
      </c>
      <c r="F45" s="42" t="s">
        <v>139</v>
      </c>
      <c r="G45" s="64"/>
      <c r="H45" s="64"/>
      <c r="I45" s="64"/>
      <c r="J45" s="64"/>
      <c r="K45" s="64" t="s">
        <v>140</v>
      </c>
      <c r="L45" s="64"/>
      <c r="M45" s="64"/>
      <c r="N45" s="64"/>
      <c r="O45" s="65"/>
      <c r="P45" s="64"/>
      <c r="Q45" s="64"/>
      <c r="R45" s="64"/>
      <c r="S45" s="64"/>
      <c r="T45" s="41"/>
      <c r="AG45" s="620" t="s">
        <v>286</v>
      </c>
      <c r="AH45" s="620" t="s">
        <v>287</v>
      </c>
      <c r="AI45" s="620" t="s">
        <v>288</v>
      </c>
      <c r="AJ45" s="620" t="s">
        <v>289</v>
      </c>
      <c r="AK45" s="620" t="s">
        <v>290</v>
      </c>
      <c r="AM45" s="611" t="s">
        <v>299</v>
      </c>
      <c r="AN45" s="612" t="s">
        <v>313</v>
      </c>
      <c r="AO45" s="612" t="s">
        <v>300</v>
      </c>
      <c r="AP45" s="621" t="s">
        <v>296</v>
      </c>
    </row>
    <row r="46" spans="1:42" s="619" customFormat="1" ht="12" customHeight="1">
      <c r="A46" s="622">
        <v>1</v>
      </c>
      <c r="B46" s="773" t="s">
        <v>141</v>
      </c>
      <c r="C46" s="624"/>
      <c r="D46" s="625" t="s">
        <v>303</v>
      </c>
      <c r="E46" s="764">
        <f>IF(AND($A46=0,$A$1="DIF"),0, ROUND(ROUND(($R72*$S$4+($T72*$T$4))/$A46,2)*$C$4,2))</f>
        <v>11595.62</v>
      </c>
      <c r="F46" s="765">
        <f>ROUND($A46*$E46,2)</f>
        <v>11595.62</v>
      </c>
      <c r="G46" s="628" t="s">
        <v>142</v>
      </c>
      <c r="H46" s="616"/>
      <c r="I46" s="629"/>
      <c r="J46" s="616"/>
      <c r="K46" s="616" t="s">
        <v>8</v>
      </c>
      <c r="L46" s="630" t="s">
        <v>143</v>
      </c>
      <c r="M46" s="630"/>
      <c r="N46" s="630"/>
      <c r="O46" s="630"/>
      <c r="P46" s="630"/>
      <c r="Q46" s="64"/>
      <c r="T46" s="769" t="str">
        <f>IF(AND($R72=0,$T72=0),"0.00","mu: "&amp; ROUND(F46/$C$4/($R72+$T72*$D$9),2))</f>
        <v>mu: 1.58</v>
      </c>
      <c r="W46" s="632"/>
      <c r="AG46" s="766">
        <f>IF($E46=0,0,ROUND($R72*$S$4*$C$4/$A46,2))</f>
        <v>636.62</v>
      </c>
      <c r="AH46" s="766">
        <f>$AG46*$A46</f>
        <v>636.62</v>
      </c>
      <c r="AI46" s="767">
        <f>$E46-$AG46</f>
        <v>10959</v>
      </c>
      <c r="AJ46" s="767">
        <f>$A46*$AI46</f>
        <v>10959</v>
      </c>
      <c r="AK46" s="768">
        <f>ROUND(($AG46+$AI46)*$A46,2)</f>
        <v>11595.62</v>
      </c>
      <c r="AM46" s="635">
        <f>ROUND(R72,2)</f>
        <v>489.71</v>
      </c>
      <c r="AN46" s="636">
        <f>IF(A46=0,0,AO46/A46)</f>
        <v>250</v>
      </c>
      <c r="AO46" s="636">
        <f>ROUND(T72,2)</f>
        <v>250</v>
      </c>
      <c r="AP46" s="637">
        <f>ROUND(AM46+AO46,2)*A46</f>
        <v>739.71</v>
      </c>
    </row>
    <row r="47" spans="1:42" s="619" customFormat="1" ht="13.2">
      <c r="A47" s="624"/>
      <c r="B47" s="774"/>
      <c r="C47" s="624"/>
      <c r="D47" s="625" t="s">
        <v>465</v>
      </c>
      <c r="F47" s="616"/>
      <c r="G47" s="3"/>
      <c r="H47" s="616"/>
      <c r="I47" s="629"/>
      <c r="J47" s="616"/>
      <c r="K47" s="616" t="s">
        <v>144</v>
      </c>
      <c r="L47" s="616"/>
      <c r="M47" s="616"/>
      <c r="N47" s="616"/>
      <c r="O47" s="616"/>
      <c r="P47" s="616"/>
      <c r="Q47" s="64"/>
      <c r="R47" s="638"/>
      <c r="S47" s="639"/>
      <c r="T47" s="616"/>
    </row>
    <row r="48" spans="1:42" s="619" customFormat="1" ht="12">
      <c r="A48" s="64"/>
      <c r="B48" s="615"/>
      <c r="C48" s="615"/>
      <c r="D48" s="615"/>
      <c r="E48" s="615"/>
      <c r="F48" s="616"/>
      <c r="G48" s="615"/>
      <c r="H48" s="615"/>
      <c r="I48" s="617"/>
      <c r="J48" s="615"/>
      <c r="K48" s="615"/>
      <c r="L48" s="615"/>
      <c r="M48" s="615"/>
      <c r="N48" s="615"/>
      <c r="O48" s="615"/>
      <c r="P48" s="615"/>
      <c r="Q48" s="617"/>
      <c r="R48" s="640">
        <f t="shared" ref="R48:R71" si="2">$A48*Q48</f>
        <v>0</v>
      </c>
      <c r="S48" s="617"/>
      <c r="T48" s="618">
        <f t="shared" ref="T48:T71" si="3">$A48*S48*$T$1</f>
        <v>0</v>
      </c>
    </row>
    <row r="49" spans="1:20" s="619" customFormat="1" ht="12">
      <c r="A49" s="64">
        <v>1</v>
      </c>
      <c r="B49" s="615" t="s">
        <v>141</v>
      </c>
      <c r="C49" s="615"/>
      <c r="D49" s="615" t="s">
        <v>461</v>
      </c>
      <c r="E49" s="615" t="s">
        <v>338</v>
      </c>
      <c r="F49" s="616" t="s">
        <v>462</v>
      </c>
      <c r="G49" s="615" t="s">
        <v>318</v>
      </c>
      <c r="H49" s="615">
        <v>415</v>
      </c>
      <c r="I49" s="617" t="s">
        <v>319</v>
      </c>
      <c r="J49" s="615"/>
      <c r="K49" s="615"/>
      <c r="L49" s="615"/>
      <c r="M49" s="615"/>
      <c r="N49" s="615"/>
      <c r="O49" s="615">
        <v>3</v>
      </c>
      <c r="P49" s="615"/>
      <c r="Q49" s="617">
        <v>80.91</v>
      </c>
      <c r="R49" s="640">
        <f t="shared" si="2"/>
        <v>80.91</v>
      </c>
      <c r="S49" s="617"/>
      <c r="T49" s="618">
        <f t="shared" si="3"/>
        <v>0</v>
      </c>
    </row>
    <row r="50" spans="1:20" s="619" customFormat="1" ht="12">
      <c r="A50" s="64">
        <v>1</v>
      </c>
      <c r="B50" s="615" t="s">
        <v>141</v>
      </c>
      <c r="C50" s="615"/>
      <c r="D50" s="615" t="s">
        <v>339</v>
      </c>
      <c r="E50" s="615" t="s">
        <v>338</v>
      </c>
      <c r="F50" s="616" t="s">
        <v>340</v>
      </c>
      <c r="G50" s="615" t="s">
        <v>318</v>
      </c>
      <c r="H50" s="615">
        <v>415</v>
      </c>
      <c r="I50" s="617" t="s">
        <v>319</v>
      </c>
      <c r="J50" s="615"/>
      <c r="K50" s="615"/>
      <c r="L50" s="615"/>
      <c r="M50" s="615"/>
      <c r="N50" s="615"/>
      <c r="O50" s="615">
        <v>3</v>
      </c>
      <c r="P50" s="615"/>
      <c r="Q50" s="617">
        <v>3.43</v>
      </c>
      <c r="R50" s="640">
        <f t="shared" si="2"/>
        <v>3.43</v>
      </c>
      <c r="S50" s="617"/>
      <c r="T50" s="618">
        <f t="shared" si="3"/>
        <v>0</v>
      </c>
    </row>
    <row r="51" spans="1:20" s="619" customFormat="1" ht="12">
      <c r="A51" s="64">
        <v>1</v>
      </c>
      <c r="B51" s="615" t="s">
        <v>141</v>
      </c>
      <c r="C51" s="615"/>
      <c r="D51" s="615" t="s">
        <v>341</v>
      </c>
      <c r="E51" s="615" t="s">
        <v>338</v>
      </c>
      <c r="F51" s="616" t="s">
        <v>342</v>
      </c>
      <c r="G51" s="615" t="s">
        <v>318</v>
      </c>
      <c r="H51" s="615">
        <v>415</v>
      </c>
      <c r="I51" s="617" t="s">
        <v>319</v>
      </c>
      <c r="J51" s="615"/>
      <c r="K51" s="615"/>
      <c r="L51" s="615"/>
      <c r="M51" s="615"/>
      <c r="N51" s="615"/>
      <c r="O51" s="615">
        <v>3</v>
      </c>
      <c r="P51" s="615"/>
      <c r="Q51" s="617">
        <v>2.5499999999999998</v>
      </c>
      <c r="R51" s="640">
        <f t="shared" si="2"/>
        <v>2.5499999999999998</v>
      </c>
      <c r="S51" s="617"/>
      <c r="T51" s="618">
        <f t="shared" si="3"/>
        <v>0</v>
      </c>
    </row>
    <row r="52" spans="1:20" s="619" customFormat="1" ht="12">
      <c r="A52" s="64">
        <v>1</v>
      </c>
      <c r="B52" s="615" t="s">
        <v>141</v>
      </c>
      <c r="C52" s="615"/>
      <c r="D52" s="615" t="s">
        <v>463</v>
      </c>
      <c r="E52" s="615" t="s">
        <v>338</v>
      </c>
      <c r="F52" s="616" t="s">
        <v>464</v>
      </c>
      <c r="G52" s="615" t="s">
        <v>318</v>
      </c>
      <c r="H52" s="615">
        <v>415</v>
      </c>
      <c r="I52" s="617" t="s">
        <v>319</v>
      </c>
      <c r="J52" s="615"/>
      <c r="K52" s="615"/>
      <c r="L52" s="615"/>
      <c r="M52" s="615"/>
      <c r="N52" s="615"/>
      <c r="O52" s="615">
        <v>3</v>
      </c>
      <c r="P52" s="615"/>
      <c r="Q52" s="617">
        <v>8</v>
      </c>
      <c r="R52" s="640">
        <f t="shared" si="2"/>
        <v>8</v>
      </c>
      <c r="S52" s="617"/>
      <c r="T52" s="618">
        <f t="shared" si="3"/>
        <v>0</v>
      </c>
    </row>
    <row r="53" spans="1:20" s="619" customFormat="1" ht="12">
      <c r="A53" s="64">
        <v>1</v>
      </c>
      <c r="B53" s="615" t="s">
        <v>141</v>
      </c>
      <c r="C53" s="615"/>
      <c r="D53" s="615" t="s">
        <v>343</v>
      </c>
      <c r="E53" s="615" t="s">
        <v>338</v>
      </c>
      <c r="F53" s="616" t="s">
        <v>344</v>
      </c>
      <c r="G53" s="615" t="s">
        <v>318</v>
      </c>
      <c r="H53" s="615">
        <v>415</v>
      </c>
      <c r="I53" s="617" t="s">
        <v>319</v>
      </c>
      <c r="J53" s="615"/>
      <c r="K53" s="615"/>
      <c r="L53" s="615"/>
      <c r="M53" s="615"/>
      <c r="N53" s="615"/>
      <c r="O53" s="615">
        <v>3</v>
      </c>
      <c r="P53" s="615"/>
      <c r="Q53" s="617">
        <v>9.5500000000000007</v>
      </c>
      <c r="R53" s="640">
        <f t="shared" si="2"/>
        <v>9.5500000000000007</v>
      </c>
      <c r="S53" s="617"/>
      <c r="T53" s="618">
        <f t="shared" si="3"/>
        <v>0</v>
      </c>
    </row>
    <row r="54" spans="1:20" s="619" customFormat="1" ht="12">
      <c r="A54" s="615">
        <v>2</v>
      </c>
      <c r="B54" s="615" t="s">
        <v>141</v>
      </c>
      <c r="C54" s="615"/>
      <c r="D54" s="615" t="s">
        <v>453</v>
      </c>
      <c r="E54" s="615" t="s">
        <v>338</v>
      </c>
      <c r="F54" s="616" t="s">
        <v>454</v>
      </c>
      <c r="G54" s="615" t="s">
        <v>318</v>
      </c>
      <c r="H54" s="615">
        <v>415</v>
      </c>
      <c r="I54" s="617" t="s">
        <v>319</v>
      </c>
      <c r="J54" s="615"/>
      <c r="K54" s="615"/>
      <c r="L54" s="615"/>
      <c r="M54" s="615"/>
      <c r="N54" s="615"/>
      <c r="O54" s="615">
        <v>3</v>
      </c>
      <c r="P54" s="615"/>
      <c r="Q54" s="617">
        <v>1.25</v>
      </c>
      <c r="R54" s="640">
        <f t="shared" si="2"/>
        <v>2.5</v>
      </c>
      <c r="S54" s="617"/>
      <c r="T54" s="618">
        <f t="shared" si="3"/>
        <v>0</v>
      </c>
    </row>
    <row r="55" spans="1:20" s="619" customFormat="1" ht="12">
      <c r="A55" s="615">
        <v>2</v>
      </c>
      <c r="B55" s="615" t="s">
        <v>141</v>
      </c>
      <c r="C55" s="615"/>
      <c r="D55" s="615" t="s">
        <v>345</v>
      </c>
      <c r="E55" s="615" t="s">
        <v>338</v>
      </c>
      <c r="F55" s="616" t="s">
        <v>346</v>
      </c>
      <c r="G55" s="615" t="s">
        <v>318</v>
      </c>
      <c r="H55" s="615">
        <v>415</v>
      </c>
      <c r="I55" s="617" t="s">
        <v>319</v>
      </c>
      <c r="J55" s="615"/>
      <c r="K55" s="615"/>
      <c r="L55" s="615"/>
      <c r="M55" s="615"/>
      <c r="N55" s="615"/>
      <c r="O55" s="615">
        <v>3</v>
      </c>
      <c r="P55" s="615"/>
      <c r="Q55" s="617">
        <v>9.4E-2</v>
      </c>
      <c r="R55" s="640">
        <f t="shared" si="2"/>
        <v>0.188</v>
      </c>
      <c r="S55" s="617"/>
      <c r="T55" s="618">
        <f t="shared" si="3"/>
        <v>0</v>
      </c>
    </row>
    <row r="56" spans="1:20" s="619" customFormat="1" ht="12">
      <c r="A56" s="64">
        <v>1</v>
      </c>
      <c r="B56" s="615" t="s">
        <v>141</v>
      </c>
      <c r="C56" s="615"/>
      <c r="D56" s="615" t="s">
        <v>347</v>
      </c>
      <c r="E56" s="615" t="s">
        <v>338</v>
      </c>
      <c r="F56" s="616" t="s">
        <v>348</v>
      </c>
      <c r="G56" s="615" t="s">
        <v>318</v>
      </c>
      <c r="H56" s="615">
        <v>415</v>
      </c>
      <c r="I56" s="617" t="s">
        <v>319</v>
      </c>
      <c r="J56" s="615"/>
      <c r="K56" s="615"/>
      <c r="L56" s="615"/>
      <c r="M56" s="615"/>
      <c r="N56" s="615"/>
      <c r="O56" s="615">
        <v>3</v>
      </c>
      <c r="P56" s="615"/>
      <c r="Q56" s="617">
        <v>16.91</v>
      </c>
      <c r="R56" s="640">
        <f t="shared" si="2"/>
        <v>16.91</v>
      </c>
      <c r="S56" s="617"/>
      <c r="T56" s="618">
        <f t="shared" si="3"/>
        <v>0</v>
      </c>
    </row>
    <row r="57" spans="1:20" s="619" customFormat="1" ht="12">
      <c r="A57" s="64">
        <v>1</v>
      </c>
      <c r="B57" s="615" t="s">
        <v>141</v>
      </c>
      <c r="C57" s="615"/>
      <c r="D57" s="615" t="s">
        <v>349</v>
      </c>
      <c r="E57" s="615" t="s">
        <v>338</v>
      </c>
      <c r="F57" s="616" t="s">
        <v>350</v>
      </c>
      <c r="G57" s="615" t="s">
        <v>318</v>
      </c>
      <c r="H57" s="615">
        <v>415</v>
      </c>
      <c r="I57" s="617" t="s">
        <v>319</v>
      </c>
      <c r="J57" s="615"/>
      <c r="K57" s="615"/>
      <c r="L57" s="615"/>
      <c r="M57" s="615"/>
      <c r="N57" s="615"/>
      <c r="O57" s="615">
        <v>3</v>
      </c>
      <c r="P57" s="615"/>
      <c r="Q57" s="617">
        <v>5.57</v>
      </c>
      <c r="R57" s="640">
        <f t="shared" si="2"/>
        <v>5.57</v>
      </c>
      <c r="S57" s="617"/>
      <c r="T57" s="618">
        <f t="shared" si="3"/>
        <v>0</v>
      </c>
    </row>
    <row r="58" spans="1:20" s="619" customFormat="1" ht="12">
      <c r="A58" s="64">
        <v>1</v>
      </c>
      <c r="B58" s="615" t="s">
        <v>141</v>
      </c>
      <c r="C58" s="615"/>
      <c r="D58" s="615" t="s">
        <v>351</v>
      </c>
      <c r="E58" s="615" t="s">
        <v>338</v>
      </c>
      <c r="F58" s="616" t="s">
        <v>352</v>
      </c>
      <c r="G58" s="615" t="s">
        <v>318</v>
      </c>
      <c r="H58" s="615">
        <v>415</v>
      </c>
      <c r="I58" s="617" t="s">
        <v>319</v>
      </c>
      <c r="J58" s="615"/>
      <c r="K58" s="615"/>
      <c r="L58" s="615"/>
      <c r="M58" s="615"/>
      <c r="N58" s="615"/>
      <c r="O58" s="615">
        <v>3</v>
      </c>
      <c r="P58" s="615"/>
      <c r="Q58" s="617">
        <v>5.7</v>
      </c>
      <c r="R58" s="640">
        <f t="shared" si="2"/>
        <v>5.7</v>
      </c>
      <c r="S58" s="617"/>
      <c r="T58" s="618">
        <f t="shared" si="3"/>
        <v>0</v>
      </c>
    </row>
    <row r="59" spans="1:20" s="619" customFormat="1" ht="12">
      <c r="A59" s="64">
        <v>1</v>
      </c>
      <c r="B59" s="615" t="s">
        <v>141</v>
      </c>
      <c r="C59" s="615"/>
      <c r="D59" s="615" t="s">
        <v>353</v>
      </c>
      <c r="E59" s="615" t="s">
        <v>338</v>
      </c>
      <c r="F59" s="616" t="s">
        <v>354</v>
      </c>
      <c r="G59" s="615" t="s">
        <v>318</v>
      </c>
      <c r="H59" s="615">
        <v>415</v>
      </c>
      <c r="I59" s="617" t="s">
        <v>319</v>
      </c>
      <c r="J59" s="615"/>
      <c r="K59" s="615"/>
      <c r="L59" s="615"/>
      <c r="M59" s="615"/>
      <c r="N59" s="615"/>
      <c r="O59" s="615">
        <v>3</v>
      </c>
      <c r="P59" s="615"/>
      <c r="Q59" s="617">
        <v>7.4</v>
      </c>
      <c r="R59" s="640">
        <f t="shared" si="2"/>
        <v>7.4</v>
      </c>
      <c r="S59" s="617"/>
      <c r="T59" s="618">
        <f t="shared" si="3"/>
        <v>0</v>
      </c>
    </row>
    <row r="60" spans="1:20" s="619" customFormat="1" ht="12">
      <c r="A60" s="615">
        <v>1</v>
      </c>
      <c r="B60" s="615" t="s">
        <v>141</v>
      </c>
      <c r="C60" s="615"/>
      <c r="D60" s="615" t="s">
        <v>355</v>
      </c>
      <c r="E60" s="615" t="s">
        <v>338</v>
      </c>
      <c r="F60" s="616" t="s">
        <v>356</v>
      </c>
      <c r="G60" s="615" t="s">
        <v>318</v>
      </c>
      <c r="H60" s="615">
        <v>415</v>
      </c>
      <c r="I60" s="617" t="s">
        <v>319</v>
      </c>
      <c r="J60" s="615"/>
      <c r="K60" s="615"/>
      <c r="L60" s="615"/>
      <c r="M60" s="615"/>
      <c r="N60" s="615"/>
      <c r="O60" s="615">
        <v>3</v>
      </c>
      <c r="P60" s="615"/>
      <c r="Q60" s="617">
        <v>0.98</v>
      </c>
      <c r="R60" s="640">
        <f t="shared" si="2"/>
        <v>0.98</v>
      </c>
      <c r="S60" s="617"/>
      <c r="T60" s="618">
        <f t="shared" si="3"/>
        <v>0</v>
      </c>
    </row>
    <row r="61" spans="1:20" s="619" customFormat="1" ht="12">
      <c r="A61" s="64">
        <v>1</v>
      </c>
      <c r="B61" s="615" t="s">
        <v>141</v>
      </c>
      <c r="C61" s="615"/>
      <c r="D61" s="615" t="s">
        <v>357</v>
      </c>
      <c r="E61" s="615" t="s">
        <v>338</v>
      </c>
      <c r="F61" s="616" t="s">
        <v>358</v>
      </c>
      <c r="G61" s="615" t="s">
        <v>318</v>
      </c>
      <c r="H61" s="615">
        <v>415</v>
      </c>
      <c r="I61" s="617" t="s">
        <v>319</v>
      </c>
      <c r="J61" s="615"/>
      <c r="K61" s="615"/>
      <c r="L61" s="615"/>
      <c r="M61" s="615"/>
      <c r="N61" s="615"/>
      <c r="O61" s="615">
        <v>3</v>
      </c>
      <c r="P61" s="615"/>
      <c r="Q61" s="617">
        <v>0.98</v>
      </c>
      <c r="R61" s="640">
        <f t="shared" si="2"/>
        <v>0.98</v>
      </c>
      <c r="S61" s="617"/>
      <c r="T61" s="618">
        <f t="shared" si="3"/>
        <v>0</v>
      </c>
    </row>
    <row r="62" spans="1:20" s="619" customFormat="1" ht="12">
      <c r="A62" s="64">
        <v>3</v>
      </c>
      <c r="B62" s="615" t="s">
        <v>141</v>
      </c>
      <c r="C62" s="615"/>
      <c r="D62" s="615" t="s">
        <v>455</v>
      </c>
      <c r="E62" s="615" t="s">
        <v>338</v>
      </c>
      <c r="F62" s="616" t="s">
        <v>456</v>
      </c>
      <c r="G62" s="615" t="s">
        <v>318</v>
      </c>
      <c r="H62" s="615">
        <v>415</v>
      </c>
      <c r="I62" s="617" t="s">
        <v>319</v>
      </c>
      <c r="J62" s="615"/>
      <c r="K62" s="615"/>
      <c r="L62" s="615"/>
      <c r="M62" s="615"/>
      <c r="N62" s="615"/>
      <c r="O62" s="615">
        <v>3</v>
      </c>
      <c r="P62" s="615"/>
      <c r="Q62" s="617">
        <v>0.98</v>
      </c>
      <c r="R62" s="640">
        <f t="shared" si="2"/>
        <v>2.94</v>
      </c>
      <c r="S62" s="617"/>
      <c r="T62" s="618">
        <f t="shared" si="3"/>
        <v>0</v>
      </c>
    </row>
    <row r="63" spans="1:20" s="619" customFormat="1" ht="12">
      <c r="A63" s="64">
        <v>0</v>
      </c>
      <c r="B63" s="615" t="s">
        <v>141</v>
      </c>
      <c r="C63" s="615"/>
      <c r="D63" s="615" t="s">
        <v>359</v>
      </c>
      <c r="E63" s="615" t="s">
        <v>338</v>
      </c>
      <c r="F63" s="616" t="s">
        <v>360</v>
      </c>
      <c r="G63" s="615" t="s">
        <v>318</v>
      </c>
      <c r="H63" s="615">
        <v>415</v>
      </c>
      <c r="I63" s="617" t="s">
        <v>319</v>
      </c>
      <c r="J63" s="615"/>
      <c r="K63" s="615"/>
      <c r="L63" s="615"/>
      <c r="M63" s="615"/>
      <c r="N63" s="615"/>
      <c r="O63" s="615">
        <v>3</v>
      </c>
      <c r="P63" s="615"/>
      <c r="Q63" s="617">
        <v>24.4</v>
      </c>
      <c r="R63" s="640">
        <f t="shared" si="2"/>
        <v>0</v>
      </c>
      <c r="S63" s="617"/>
      <c r="T63" s="618">
        <f t="shared" si="3"/>
        <v>0</v>
      </c>
    </row>
    <row r="64" spans="1:20" s="619" customFormat="1" ht="12">
      <c r="A64" s="65">
        <f>A60+A61+A62</f>
        <v>5</v>
      </c>
      <c r="B64" s="615" t="s">
        <v>141</v>
      </c>
      <c r="C64" s="615"/>
      <c r="D64" s="615" t="s">
        <v>361</v>
      </c>
      <c r="E64" s="615" t="s">
        <v>338</v>
      </c>
      <c r="F64" s="616" t="s">
        <v>362</v>
      </c>
      <c r="G64" s="615" t="s">
        <v>318</v>
      </c>
      <c r="H64" s="615">
        <v>415</v>
      </c>
      <c r="I64" s="617" t="s">
        <v>319</v>
      </c>
      <c r="J64" s="615"/>
      <c r="K64" s="615"/>
      <c r="L64" s="615"/>
      <c r="M64" s="615"/>
      <c r="N64" s="615"/>
      <c r="O64" s="615">
        <v>3</v>
      </c>
      <c r="P64" s="615"/>
      <c r="Q64" s="617">
        <v>2.42</v>
      </c>
      <c r="R64" s="640">
        <f t="shared" si="2"/>
        <v>12.1</v>
      </c>
      <c r="S64" s="617"/>
      <c r="T64" s="618">
        <f t="shared" si="3"/>
        <v>0</v>
      </c>
    </row>
    <row r="65" spans="1:42" s="619" customFormat="1" ht="12">
      <c r="A65" s="64">
        <v>1</v>
      </c>
      <c r="B65" s="615" t="s">
        <v>141</v>
      </c>
      <c r="C65" s="615"/>
      <c r="D65" s="615" t="s">
        <v>382</v>
      </c>
      <c r="E65" s="615" t="s">
        <v>338</v>
      </c>
      <c r="F65" s="616" t="s">
        <v>457</v>
      </c>
      <c r="G65" s="615" t="s">
        <v>318</v>
      </c>
      <c r="H65" s="615">
        <v>415</v>
      </c>
      <c r="I65" s="617" t="s">
        <v>319</v>
      </c>
      <c r="J65" s="615"/>
      <c r="K65" s="615"/>
      <c r="L65" s="615"/>
      <c r="M65" s="615"/>
      <c r="N65" s="615"/>
      <c r="O65" s="615">
        <v>3</v>
      </c>
      <c r="P65" s="615"/>
      <c r="Q65" s="617">
        <v>30</v>
      </c>
      <c r="R65" s="640">
        <f t="shared" si="2"/>
        <v>30</v>
      </c>
      <c r="S65" s="617"/>
      <c r="T65" s="618">
        <f t="shared" si="3"/>
        <v>0</v>
      </c>
    </row>
    <row r="66" spans="1:42" s="619" customFormat="1" ht="12">
      <c r="A66" s="64">
        <v>1</v>
      </c>
      <c r="B66" s="615" t="s">
        <v>141</v>
      </c>
      <c r="C66" s="615"/>
      <c r="D66" s="775" t="s">
        <v>466</v>
      </c>
      <c r="E66" s="615" t="s">
        <v>467</v>
      </c>
      <c r="F66" s="776"/>
      <c r="G66" s="775"/>
      <c r="H66" s="775"/>
      <c r="I66" s="777"/>
      <c r="J66" s="775"/>
      <c r="K66" s="775"/>
      <c r="L66" s="775"/>
      <c r="M66" s="775"/>
      <c r="N66" s="775"/>
      <c r="O66" s="775"/>
      <c r="P66" s="775"/>
      <c r="Q66" s="777">
        <v>0</v>
      </c>
      <c r="R66" s="640">
        <f t="shared" si="2"/>
        <v>0</v>
      </c>
      <c r="S66" s="617"/>
      <c r="T66" s="618">
        <f t="shared" si="3"/>
        <v>0</v>
      </c>
    </row>
    <row r="67" spans="1:42" s="619" customFormat="1" ht="12">
      <c r="A67" s="64">
        <v>1</v>
      </c>
      <c r="B67" s="615" t="s">
        <v>141</v>
      </c>
      <c r="C67" s="615"/>
      <c r="D67" s="615" t="s">
        <v>363</v>
      </c>
      <c r="E67" s="615" t="s">
        <v>364</v>
      </c>
      <c r="F67" s="616"/>
      <c r="G67" s="615" t="s">
        <v>318</v>
      </c>
      <c r="H67" s="615">
        <v>415</v>
      </c>
      <c r="I67" s="617" t="s">
        <v>319</v>
      </c>
      <c r="J67" s="615"/>
      <c r="K67" s="615"/>
      <c r="L67" s="615"/>
      <c r="M67" s="615"/>
      <c r="N67" s="615"/>
      <c r="O67" s="615">
        <v>3</v>
      </c>
      <c r="P67" s="615"/>
      <c r="Q67" s="617">
        <v>50</v>
      </c>
      <c r="R67" s="640">
        <f t="shared" si="2"/>
        <v>50</v>
      </c>
      <c r="S67" s="617"/>
      <c r="T67" s="618">
        <f t="shared" si="3"/>
        <v>0</v>
      </c>
    </row>
    <row r="68" spans="1:42" s="619" customFormat="1" ht="12">
      <c r="A68" s="64">
        <v>1</v>
      </c>
      <c r="B68" s="615" t="s">
        <v>141</v>
      </c>
      <c r="C68" s="615"/>
      <c r="D68" s="615" t="s">
        <v>330</v>
      </c>
      <c r="E68" s="615" t="s">
        <v>365</v>
      </c>
      <c r="F68" s="616"/>
      <c r="G68" s="615" t="s">
        <v>318</v>
      </c>
      <c r="H68" s="615">
        <v>420</v>
      </c>
      <c r="I68" s="617" t="s">
        <v>319</v>
      </c>
      <c r="J68" s="615"/>
      <c r="K68" s="615"/>
      <c r="L68" s="615"/>
      <c r="M68" s="615"/>
      <c r="N68" s="615"/>
      <c r="O68" s="615">
        <v>3</v>
      </c>
      <c r="P68" s="615"/>
      <c r="Q68" s="617">
        <v>250</v>
      </c>
      <c r="R68" s="640">
        <f t="shared" si="2"/>
        <v>250</v>
      </c>
      <c r="S68" s="617"/>
      <c r="T68" s="618">
        <f t="shared" si="3"/>
        <v>0</v>
      </c>
    </row>
    <row r="69" spans="1:42" s="619" customFormat="1" ht="12">
      <c r="A69" s="882">
        <f>$Q$147 *(1)</f>
        <v>250</v>
      </c>
      <c r="B69" s="615" t="s">
        <v>141</v>
      </c>
      <c r="C69" s="615"/>
      <c r="D69" s="615" t="s">
        <v>491</v>
      </c>
      <c r="E69" s="615" t="s">
        <v>492</v>
      </c>
      <c r="F69" s="616"/>
      <c r="G69" s="615" t="s">
        <v>318</v>
      </c>
      <c r="H69" s="615">
        <v>420</v>
      </c>
      <c r="I69" s="617" t="s">
        <v>319</v>
      </c>
      <c r="J69" s="615"/>
      <c r="K69" s="615"/>
      <c r="L69" s="615"/>
      <c r="M69" s="615"/>
      <c r="N69" s="615"/>
      <c r="O69" s="615">
        <v>3</v>
      </c>
      <c r="P69" s="615"/>
      <c r="Q69" s="617">
        <v>0</v>
      </c>
      <c r="R69" s="640">
        <f t="shared" si="2"/>
        <v>0</v>
      </c>
      <c r="S69" s="617">
        <v>1</v>
      </c>
      <c r="T69" s="618">
        <f t="shared" si="3"/>
        <v>250</v>
      </c>
    </row>
    <row r="70" spans="1:42" s="619" customFormat="1" ht="12">
      <c r="A70" s="64"/>
      <c r="B70" s="615"/>
      <c r="C70" s="615"/>
      <c r="D70" s="615"/>
      <c r="E70" s="615"/>
      <c r="F70" s="616"/>
      <c r="G70" s="615"/>
      <c r="H70" s="615"/>
      <c r="I70" s="617"/>
      <c r="J70" s="615"/>
      <c r="K70" s="615"/>
      <c r="L70" s="615"/>
      <c r="M70" s="615"/>
      <c r="N70" s="615"/>
      <c r="O70" s="615"/>
      <c r="P70" s="615"/>
      <c r="Q70" s="617"/>
      <c r="R70" s="640">
        <f t="shared" si="2"/>
        <v>0</v>
      </c>
      <c r="S70" s="617"/>
      <c r="T70" s="618">
        <f t="shared" si="3"/>
        <v>0</v>
      </c>
    </row>
    <row r="71" spans="1:42" s="619" customFormat="1" ht="12">
      <c r="A71" s="615"/>
      <c r="B71" s="615"/>
      <c r="C71" s="615"/>
      <c r="D71" s="615"/>
      <c r="E71" s="615"/>
      <c r="F71" s="616"/>
      <c r="G71" s="615"/>
      <c r="H71" s="615"/>
      <c r="I71" s="617"/>
      <c r="J71" s="615"/>
      <c r="K71" s="615"/>
      <c r="L71" s="615"/>
      <c r="M71" s="615"/>
      <c r="N71" s="615"/>
      <c r="O71" s="615"/>
      <c r="P71" s="615"/>
      <c r="Q71" s="617"/>
      <c r="R71" s="640">
        <f t="shared" si="2"/>
        <v>0</v>
      </c>
      <c r="S71" s="617"/>
      <c r="T71" s="618">
        <f t="shared" si="3"/>
        <v>0</v>
      </c>
    </row>
    <row r="72" spans="1:42" s="619" customFormat="1" ht="12.6" thickBot="1">
      <c r="A72" s="641" t="s">
        <v>145</v>
      </c>
      <c r="B72" s="642">
        <f>(R71+T71)</f>
        <v>0</v>
      </c>
      <c r="C72" s="643"/>
      <c r="D72" s="643"/>
      <c r="E72" s="643"/>
      <c r="F72" s="644"/>
      <c r="G72" s="643" t="s">
        <v>146</v>
      </c>
      <c r="H72" s="643"/>
      <c r="I72" s="645"/>
      <c r="J72" s="643"/>
      <c r="K72" s="643" t="s">
        <v>8</v>
      </c>
      <c r="L72" s="646" t="s">
        <v>143</v>
      </c>
      <c r="M72" s="646"/>
      <c r="N72" s="646"/>
      <c r="O72" s="646"/>
      <c r="P72" s="646"/>
      <c r="Q72" s="647"/>
      <c r="R72" s="648">
        <f>SUM(R47:R71)</f>
        <v>489.70799999999997</v>
      </c>
      <c r="S72" s="643"/>
      <c r="T72" s="648">
        <f>SUM(T47:T71)</f>
        <v>250</v>
      </c>
      <c r="U72" s="649"/>
      <c r="V72" s="649"/>
      <c r="W72" s="649"/>
      <c r="X72" s="649"/>
      <c r="Y72" s="649"/>
      <c r="Z72" s="649"/>
      <c r="AA72" s="649"/>
      <c r="AB72" s="649"/>
      <c r="AC72" s="649"/>
      <c r="AD72" s="649"/>
      <c r="AE72" s="649"/>
      <c r="AF72" s="649"/>
      <c r="AG72" s="649"/>
      <c r="AH72" s="649"/>
      <c r="AI72" s="649"/>
      <c r="AJ72" s="649"/>
      <c r="AK72" s="649"/>
      <c r="AL72" s="649"/>
      <c r="AM72" s="649"/>
      <c r="AN72" s="649"/>
      <c r="AO72" s="649"/>
      <c r="AP72" s="649"/>
    </row>
    <row r="73" spans="1:42" s="619" customFormat="1" ht="12" thickTop="1">
      <c r="A73" s="64"/>
      <c r="B73" s="41"/>
      <c r="C73" s="64"/>
      <c r="E73" s="42" t="s">
        <v>138</v>
      </c>
      <c r="F73" s="42" t="s">
        <v>139</v>
      </c>
      <c r="G73" s="64"/>
      <c r="H73" s="64"/>
      <c r="I73" s="64"/>
      <c r="J73" s="64"/>
      <c r="K73" s="64" t="s">
        <v>140</v>
      </c>
      <c r="L73" s="64"/>
      <c r="M73" s="64"/>
      <c r="N73" s="64"/>
      <c r="O73" s="65"/>
      <c r="P73" s="64"/>
      <c r="Q73" s="64"/>
      <c r="R73" s="64"/>
      <c r="S73" s="64"/>
      <c r="T73" s="41"/>
      <c r="AG73" s="620" t="s">
        <v>286</v>
      </c>
      <c r="AH73" s="620" t="s">
        <v>287</v>
      </c>
      <c r="AI73" s="620" t="s">
        <v>288</v>
      </c>
      <c r="AJ73" s="620" t="s">
        <v>289</v>
      </c>
      <c r="AK73" s="620" t="s">
        <v>290</v>
      </c>
      <c r="AM73" s="611" t="s">
        <v>299</v>
      </c>
      <c r="AN73" s="612" t="s">
        <v>313</v>
      </c>
      <c r="AO73" s="612" t="s">
        <v>300</v>
      </c>
      <c r="AP73" s="621" t="s">
        <v>296</v>
      </c>
    </row>
    <row r="74" spans="1:42" s="619" customFormat="1" ht="12" customHeight="1">
      <c r="A74" s="622">
        <v>1</v>
      </c>
      <c r="B74" s="773" t="s">
        <v>141</v>
      </c>
      <c r="C74" s="624"/>
      <c r="D74" s="625" t="s">
        <v>366</v>
      </c>
      <c r="E74" s="764">
        <f>IF(AND($A74=0,$A$1="DIF"),0, ROUND(ROUND(($R107*$S$4+($T107*$T$4))/$A74,2)*$C$4,2))</f>
        <v>1503.92</v>
      </c>
      <c r="F74" s="765">
        <f>ROUND($A74*$E74,2)</f>
        <v>1503.92</v>
      </c>
      <c r="G74" s="628" t="s">
        <v>142</v>
      </c>
      <c r="H74" s="616"/>
      <c r="I74" s="629"/>
      <c r="J74" s="616"/>
      <c r="K74" s="616" t="s">
        <v>8</v>
      </c>
      <c r="L74" s="630" t="s">
        <v>143</v>
      </c>
      <c r="M74" s="630"/>
      <c r="N74" s="630"/>
      <c r="O74" s="630"/>
      <c r="P74" s="630"/>
      <c r="Q74" s="64"/>
      <c r="T74" s="769" t="str">
        <f>IF(AND($R107=0,$T107=0),"0.00","mu: "&amp; ROUND(F74/$C$4/($R107+$T107*$D$9),2))</f>
        <v>mu: 1.3</v>
      </c>
      <c r="W74" s="632"/>
      <c r="AG74" s="766">
        <f>IF($E74=0,0,ROUND($R107*$S$4*$C$4/$A74,2))</f>
        <v>1503.92</v>
      </c>
      <c r="AH74" s="766">
        <f>$AG74*$A74</f>
        <v>1503.92</v>
      </c>
      <c r="AI74" s="767">
        <f>$E74-$AG74</f>
        <v>0</v>
      </c>
      <c r="AJ74" s="767">
        <f>$A74*$AI74</f>
        <v>0</v>
      </c>
      <c r="AK74" s="768">
        <f>ROUND(($AG74+$AI74)*$A74,2)</f>
        <v>1503.92</v>
      </c>
      <c r="AM74" s="635">
        <f>ROUND(R107,2)</f>
        <v>1156.8599999999999</v>
      </c>
      <c r="AN74" s="636">
        <f>IF(A74=0,0,AO74/A74)</f>
        <v>0</v>
      </c>
      <c r="AO74" s="636">
        <f>ROUND(T107,2)</f>
        <v>0</v>
      </c>
      <c r="AP74" s="637">
        <f>ROUND(AM74+AO74,2)*A74</f>
        <v>1156.8599999999999</v>
      </c>
    </row>
    <row r="75" spans="1:42" s="619" customFormat="1" ht="13.2">
      <c r="A75" s="624"/>
      <c r="B75" s="774"/>
      <c r="C75" s="624"/>
      <c r="D75" s="625" t="s">
        <v>424</v>
      </c>
      <c r="F75" s="616"/>
      <c r="G75" s="3"/>
      <c r="H75" s="616"/>
      <c r="I75" s="629"/>
      <c r="J75" s="616"/>
      <c r="K75" s="616" t="s">
        <v>144</v>
      </c>
      <c r="L75" s="616"/>
      <c r="M75" s="616"/>
      <c r="N75" s="616"/>
      <c r="O75" s="616"/>
      <c r="P75" s="616"/>
      <c r="Q75" s="64"/>
      <c r="R75" s="638"/>
      <c r="S75" s="639"/>
      <c r="T75" s="616"/>
    </row>
    <row r="76" spans="1:42" s="619" customFormat="1" ht="12">
      <c r="A76" s="64"/>
      <c r="B76" s="615"/>
      <c r="C76" s="615"/>
      <c r="D76" s="615"/>
      <c r="E76" s="615"/>
      <c r="F76" s="616"/>
      <c r="G76" s="615"/>
      <c r="H76" s="615"/>
      <c r="I76" s="617"/>
      <c r="J76" s="615"/>
      <c r="K76" s="615"/>
      <c r="L76" s="615"/>
      <c r="M76" s="615"/>
      <c r="N76" s="615"/>
      <c r="O76" s="615"/>
      <c r="P76" s="615"/>
      <c r="Q76" s="617"/>
      <c r="R76" s="640">
        <f t="shared" ref="R76:R105" si="4">$A76*Q76</f>
        <v>0</v>
      </c>
      <c r="S76" s="617"/>
      <c r="T76" s="618">
        <f t="shared" ref="T76:T105" si="5">$A76*S76*$T$1</f>
        <v>0</v>
      </c>
    </row>
    <row r="77" spans="1:42" s="619" customFormat="1" ht="12">
      <c r="A77" s="64">
        <v>4</v>
      </c>
      <c r="B77" s="615" t="s">
        <v>141</v>
      </c>
      <c r="C77" s="615"/>
      <c r="D77" s="615" t="s">
        <v>369</v>
      </c>
      <c r="E77" s="615" t="s">
        <v>367</v>
      </c>
      <c r="F77" s="616" t="s">
        <v>368</v>
      </c>
      <c r="G77" s="615" t="s">
        <v>318</v>
      </c>
      <c r="H77" s="615">
        <v>416</v>
      </c>
      <c r="I77" s="617" t="s">
        <v>319</v>
      </c>
      <c r="J77" s="615"/>
      <c r="K77" s="615"/>
      <c r="L77" s="615"/>
      <c r="M77" s="615"/>
      <c r="N77" s="615"/>
      <c r="O77" s="615">
        <v>3</v>
      </c>
      <c r="P77" s="615"/>
      <c r="Q77" s="617">
        <v>20</v>
      </c>
      <c r="R77" s="640">
        <f t="shared" si="4"/>
        <v>80</v>
      </c>
      <c r="S77" s="617"/>
      <c r="T77" s="618">
        <f t="shared" si="5"/>
        <v>0</v>
      </c>
    </row>
    <row r="78" spans="1:42" s="619" customFormat="1" ht="12">
      <c r="A78" s="64">
        <v>2</v>
      </c>
      <c r="B78" s="615" t="s">
        <v>141</v>
      </c>
      <c r="C78" s="615"/>
      <c r="D78" s="615" t="s">
        <v>371</v>
      </c>
      <c r="E78" s="615" t="s">
        <v>367</v>
      </c>
      <c r="F78" s="616" t="s">
        <v>370</v>
      </c>
      <c r="G78" s="615" t="s">
        <v>318</v>
      </c>
      <c r="H78" s="615">
        <v>416</v>
      </c>
      <c r="I78" s="617" t="s">
        <v>319</v>
      </c>
      <c r="J78" s="615"/>
      <c r="K78" s="615"/>
      <c r="L78" s="615"/>
      <c r="M78" s="615"/>
      <c r="N78" s="615"/>
      <c r="O78" s="615">
        <v>3</v>
      </c>
      <c r="P78" s="615"/>
      <c r="Q78" s="617">
        <v>20</v>
      </c>
      <c r="R78" s="640">
        <f t="shared" si="4"/>
        <v>40</v>
      </c>
      <c r="S78" s="617"/>
      <c r="T78" s="618">
        <f t="shared" si="5"/>
        <v>0</v>
      </c>
    </row>
    <row r="79" spans="1:42" s="619" customFormat="1" ht="12">
      <c r="A79" s="64">
        <v>1</v>
      </c>
      <c r="B79" s="615" t="s">
        <v>141</v>
      </c>
      <c r="C79" s="615"/>
      <c r="D79" s="615" t="s">
        <v>374</v>
      </c>
      <c r="E79" s="615" t="s">
        <v>372</v>
      </c>
      <c r="F79" s="616" t="s">
        <v>373</v>
      </c>
      <c r="G79" s="615" t="s">
        <v>318</v>
      </c>
      <c r="H79" s="615">
        <v>416</v>
      </c>
      <c r="I79" s="617" t="s">
        <v>319</v>
      </c>
      <c r="J79" s="615"/>
      <c r="K79" s="615"/>
      <c r="L79" s="615"/>
      <c r="M79" s="615"/>
      <c r="N79" s="615"/>
      <c r="O79" s="615">
        <v>3</v>
      </c>
      <c r="P79" s="615"/>
      <c r="Q79" s="617">
        <v>7.16</v>
      </c>
      <c r="R79" s="640">
        <f t="shared" si="4"/>
        <v>7.16</v>
      </c>
      <c r="S79" s="617"/>
      <c r="T79" s="618">
        <f t="shared" si="5"/>
        <v>0</v>
      </c>
    </row>
    <row r="80" spans="1:42" s="619" customFormat="1" ht="12">
      <c r="A80" s="64">
        <v>1</v>
      </c>
      <c r="B80" s="615" t="s">
        <v>141</v>
      </c>
      <c r="C80" s="615"/>
      <c r="D80" s="615" t="s">
        <v>376</v>
      </c>
      <c r="E80" s="615" t="s">
        <v>372</v>
      </c>
      <c r="F80" s="616" t="s">
        <v>375</v>
      </c>
      <c r="G80" s="615" t="s">
        <v>318</v>
      </c>
      <c r="H80" s="615">
        <v>416</v>
      </c>
      <c r="I80" s="617" t="s">
        <v>319</v>
      </c>
      <c r="J80" s="615"/>
      <c r="K80" s="615"/>
      <c r="L80" s="615"/>
      <c r="M80" s="615"/>
      <c r="N80" s="615"/>
      <c r="O80" s="615">
        <v>3</v>
      </c>
      <c r="P80" s="615"/>
      <c r="Q80" s="617">
        <v>1.61</v>
      </c>
      <c r="R80" s="640">
        <f t="shared" si="4"/>
        <v>1.61</v>
      </c>
      <c r="S80" s="617"/>
      <c r="T80" s="618">
        <f t="shared" si="5"/>
        <v>0</v>
      </c>
    </row>
    <row r="81" spans="1:20" s="619" customFormat="1" ht="12">
      <c r="A81" s="64">
        <v>2</v>
      </c>
      <c r="B81" s="615" t="s">
        <v>141</v>
      </c>
      <c r="C81" s="615"/>
      <c r="D81" s="615" t="s">
        <v>378</v>
      </c>
      <c r="E81" s="615" t="s">
        <v>372</v>
      </c>
      <c r="F81" s="616" t="s">
        <v>377</v>
      </c>
      <c r="G81" s="615" t="s">
        <v>318</v>
      </c>
      <c r="H81" s="615">
        <v>416</v>
      </c>
      <c r="I81" s="617" t="s">
        <v>319</v>
      </c>
      <c r="J81" s="615"/>
      <c r="K81" s="615"/>
      <c r="L81" s="615"/>
      <c r="M81" s="615"/>
      <c r="N81" s="615"/>
      <c r="O81" s="615">
        <v>3</v>
      </c>
      <c r="P81" s="615"/>
      <c r="Q81" s="617">
        <v>1.6</v>
      </c>
      <c r="R81" s="640">
        <f t="shared" si="4"/>
        <v>3.2</v>
      </c>
      <c r="S81" s="617"/>
      <c r="T81" s="618">
        <f t="shared" si="5"/>
        <v>0</v>
      </c>
    </row>
    <row r="82" spans="1:20" s="619" customFormat="1" ht="12">
      <c r="A82" s="615">
        <v>1</v>
      </c>
      <c r="B82" s="615" t="s">
        <v>141</v>
      </c>
      <c r="C82" s="615"/>
      <c r="D82" s="615" t="s">
        <v>380</v>
      </c>
      <c r="E82" s="615" t="s">
        <v>372</v>
      </c>
      <c r="F82" s="616" t="s">
        <v>379</v>
      </c>
      <c r="G82" s="615" t="s">
        <v>318</v>
      </c>
      <c r="H82" s="615">
        <v>416</v>
      </c>
      <c r="I82" s="617" t="s">
        <v>319</v>
      </c>
      <c r="J82" s="615"/>
      <c r="K82" s="615"/>
      <c r="L82" s="615"/>
      <c r="M82" s="615"/>
      <c r="N82" s="615"/>
      <c r="O82" s="615">
        <v>3</v>
      </c>
      <c r="P82" s="615"/>
      <c r="Q82" s="617">
        <v>1.69</v>
      </c>
      <c r="R82" s="640">
        <f t="shared" si="4"/>
        <v>1.69</v>
      </c>
      <c r="S82" s="617"/>
      <c r="T82" s="618">
        <f t="shared" si="5"/>
        <v>0</v>
      </c>
    </row>
    <row r="83" spans="1:20" s="619" customFormat="1" ht="12">
      <c r="A83" s="64">
        <v>1</v>
      </c>
      <c r="B83" s="615" t="s">
        <v>141</v>
      </c>
      <c r="C83" s="615"/>
      <c r="D83" s="615" t="s">
        <v>382</v>
      </c>
      <c r="E83" s="615" t="s">
        <v>372</v>
      </c>
      <c r="F83" s="616" t="s">
        <v>381</v>
      </c>
      <c r="G83" s="615" t="s">
        <v>318</v>
      </c>
      <c r="H83" s="615">
        <v>416</v>
      </c>
      <c r="I83" s="617" t="s">
        <v>319</v>
      </c>
      <c r="J83" s="615"/>
      <c r="K83" s="615"/>
      <c r="L83" s="615"/>
      <c r="M83" s="615"/>
      <c r="N83" s="615"/>
      <c r="O83" s="615">
        <v>3</v>
      </c>
      <c r="P83" s="615"/>
      <c r="Q83" s="617">
        <v>27.29</v>
      </c>
      <c r="R83" s="640">
        <f t="shared" si="4"/>
        <v>27.29</v>
      </c>
      <c r="S83" s="617"/>
      <c r="T83" s="618">
        <f t="shared" si="5"/>
        <v>0</v>
      </c>
    </row>
    <row r="84" spans="1:20" s="619" customFormat="1" ht="12">
      <c r="A84" s="64">
        <v>1</v>
      </c>
      <c r="B84" s="615" t="s">
        <v>141</v>
      </c>
      <c r="C84" s="615"/>
      <c r="D84" s="615" t="s">
        <v>384</v>
      </c>
      <c r="E84" s="615" t="s">
        <v>372</v>
      </c>
      <c r="F84" s="616" t="s">
        <v>383</v>
      </c>
      <c r="G84" s="615" t="s">
        <v>318</v>
      </c>
      <c r="H84" s="615">
        <v>416</v>
      </c>
      <c r="I84" s="617" t="s">
        <v>319</v>
      </c>
      <c r="J84" s="615"/>
      <c r="K84" s="615"/>
      <c r="L84" s="615"/>
      <c r="M84" s="615"/>
      <c r="N84" s="615"/>
      <c r="O84" s="615">
        <v>3</v>
      </c>
      <c r="P84" s="615"/>
      <c r="Q84" s="617">
        <v>6.57</v>
      </c>
      <c r="R84" s="640">
        <f t="shared" si="4"/>
        <v>6.57</v>
      </c>
      <c r="S84" s="617"/>
      <c r="T84" s="618">
        <f t="shared" si="5"/>
        <v>0</v>
      </c>
    </row>
    <row r="85" spans="1:20" s="619" customFormat="1" ht="12">
      <c r="A85" s="64">
        <v>1</v>
      </c>
      <c r="B85" s="615" t="s">
        <v>141</v>
      </c>
      <c r="C85" s="615"/>
      <c r="D85" s="615" t="s">
        <v>386</v>
      </c>
      <c r="E85" s="615" t="s">
        <v>372</v>
      </c>
      <c r="F85" s="616" t="s">
        <v>385</v>
      </c>
      <c r="G85" s="615" t="s">
        <v>318</v>
      </c>
      <c r="H85" s="615">
        <v>416</v>
      </c>
      <c r="I85" s="617" t="s">
        <v>319</v>
      </c>
      <c r="J85" s="615"/>
      <c r="K85" s="615"/>
      <c r="L85" s="615"/>
      <c r="M85" s="615"/>
      <c r="N85" s="615"/>
      <c r="O85" s="615">
        <v>3</v>
      </c>
      <c r="P85" s="615"/>
      <c r="Q85" s="617">
        <v>3.53</v>
      </c>
      <c r="R85" s="640">
        <f t="shared" si="4"/>
        <v>3.53</v>
      </c>
      <c r="S85" s="617"/>
      <c r="T85" s="618">
        <f t="shared" si="5"/>
        <v>0</v>
      </c>
    </row>
    <row r="86" spans="1:20" s="619" customFormat="1" ht="12">
      <c r="A86" s="64">
        <v>2</v>
      </c>
      <c r="B86" s="615" t="s">
        <v>141</v>
      </c>
      <c r="C86" s="615"/>
      <c r="D86" s="615" t="s">
        <v>388</v>
      </c>
      <c r="E86" s="615" t="s">
        <v>372</v>
      </c>
      <c r="F86" s="616" t="s">
        <v>387</v>
      </c>
      <c r="G86" s="615" t="s">
        <v>318</v>
      </c>
      <c r="H86" s="615">
        <v>416</v>
      </c>
      <c r="I86" s="617" t="s">
        <v>319</v>
      </c>
      <c r="J86" s="615"/>
      <c r="K86" s="615"/>
      <c r="L86" s="615"/>
      <c r="M86" s="615"/>
      <c r="N86" s="615"/>
      <c r="O86" s="615">
        <v>3</v>
      </c>
      <c r="P86" s="615"/>
      <c r="Q86" s="617">
        <v>1.1000000000000001</v>
      </c>
      <c r="R86" s="640">
        <f t="shared" si="4"/>
        <v>2.2000000000000002</v>
      </c>
      <c r="S86" s="617"/>
      <c r="T86" s="618">
        <f t="shared" si="5"/>
        <v>0</v>
      </c>
    </row>
    <row r="87" spans="1:20" s="619" customFormat="1" ht="12">
      <c r="A87" s="615">
        <v>4</v>
      </c>
      <c r="B87" s="615" t="s">
        <v>141</v>
      </c>
      <c r="C87" s="615"/>
      <c r="D87" s="615" t="s">
        <v>390</v>
      </c>
      <c r="E87" s="615" t="s">
        <v>372</v>
      </c>
      <c r="F87" s="616" t="s">
        <v>389</v>
      </c>
      <c r="G87" s="615" t="s">
        <v>318</v>
      </c>
      <c r="H87" s="615">
        <v>416</v>
      </c>
      <c r="I87" s="617" t="s">
        <v>319</v>
      </c>
      <c r="J87" s="615"/>
      <c r="K87" s="615"/>
      <c r="L87" s="615"/>
      <c r="M87" s="615"/>
      <c r="N87" s="615"/>
      <c r="O87" s="615">
        <v>3</v>
      </c>
      <c r="P87" s="615"/>
      <c r="Q87" s="617">
        <v>0.33</v>
      </c>
      <c r="R87" s="640">
        <f t="shared" si="4"/>
        <v>1.32</v>
      </c>
      <c r="S87" s="617"/>
      <c r="T87" s="618">
        <f t="shared" si="5"/>
        <v>0</v>
      </c>
    </row>
    <row r="88" spans="1:20" s="619" customFormat="1" ht="12">
      <c r="A88" s="64">
        <v>1</v>
      </c>
      <c r="B88" s="615" t="s">
        <v>141</v>
      </c>
      <c r="C88" s="615"/>
      <c r="D88" s="615" t="s">
        <v>392</v>
      </c>
      <c r="E88" s="615" t="s">
        <v>372</v>
      </c>
      <c r="F88" s="616" t="s">
        <v>391</v>
      </c>
      <c r="G88" s="615" t="s">
        <v>318</v>
      </c>
      <c r="H88" s="615">
        <v>416</v>
      </c>
      <c r="I88" s="617" t="s">
        <v>319</v>
      </c>
      <c r="J88" s="615"/>
      <c r="K88" s="615"/>
      <c r="L88" s="615"/>
      <c r="M88" s="615"/>
      <c r="N88" s="615"/>
      <c r="O88" s="615">
        <v>3</v>
      </c>
      <c r="P88" s="615"/>
      <c r="Q88" s="617">
        <v>12.15</v>
      </c>
      <c r="R88" s="640">
        <f t="shared" si="4"/>
        <v>12.15</v>
      </c>
      <c r="S88" s="617"/>
      <c r="T88" s="618">
        <f t="shared" si="5"/>
        <v>0</v>
      </c>
    </row>
    <row r="89" spans="1:20" s="619" customFormat="1" ht="12">
      <c r="A89" s="64">
        <v>1</v>
      </c>
      <c r="B89" s="615" t="s">
        <v>141</v>
      </c>
      <c r="C89" s="615"/>
      <c r="D89" s="615" t="s">
        <v>394</v>
      </c>
      <c r="E89" s="615" t="s">
        <v>372</v>
      </c>
      <c r="F89" s="616" t="s">
        <v>393</v>
      </c>
      <c r="G89" s="615" t="s">
        <v>318</v>
      </c>
      <c r="H89" s="615">
        <v>416</v>
      </c>
      <c r="I89" s="617" t="s">
        <v>319</v>
      </c>
      <c r="J89" s="615"/>
      <c r="K89" s="615"/>
      <c r="L89" s="615"/>
      <c r="M89" s="615"/>
      <c r="N89" s="615"/>
      <c r="O89" s="615">
        <v>3</v>
      </c>
      <c r="P89" s="615"/>
      <c r="Q89" s="617">
        <v>0.31</v>
      </c>
      <c r="R89" s="640">
        <f t="shared" si="4"/>
        <v>0.31</v>
      </c>
      <c r="S89" s="617"/>
      <c r="T89" s="618">
        <f t="shared" si="5"/>
        <v>0</v>
      </c>
    </row>
    <row r="90" spans="1:20" s="619" customFormat="1" ht="12">
      <c r="A90" s="64">
        <v>1</v>
      </c>
      <c r="B90" s="615" t="s">
        <v>141</v>
      </c>
      <c r="C90" s="615"/>
      <c r="D90" s="615" t="s">
        <v>396</v>
      </c>
      <c r="E90" s="615" t="s">
        <v>372</v>
      </c>
      <c r="F90" s="616" t="s">
        <v>395</v>
      </c>
      <c r="G90" s="615" t="s">
        <v>318</v>
      </c>
      <c r="H90" s="615">
        <v>416</v>
      </c>
      <c r="I90" s="617" t="s">
        <v>319</v>
      </c>
      <c r="J90" s="615"/>
      <c r="K90" s="615"/>
      <c r="L90" s="615"/>
      <c r="M90" s="615"/>
      <c r="N90" s="615"/>
      <c r="O90" s="615">
        <v>3</v>
      </c>
      <c r="P90" s="615"/>
      <c r="Q90" s="617">
        <v>5.12</v>
      </c>
      <c r="R90" s="640">
        <f t="shared" si="4"/>
        <v>5.12</v>
      </c>
      <c r="S90" s="617"/>
      <c r="T90" s="618">
        <f t="shared" si="5"/>
        <v>0</v>
      </c>
    </row>
    <row r="91" spans="1:20" s="619" customFormat="1" ht="12">
      <c r="A91" s="64">
        <v>2</v>
      </c>
      <c r="B91" s="615" t="s">
        <v>141</v>
      </c>
      <c r="C91" s="615"/>
      <c r="D91" s="615" t="s">
        <v>398</v>
      </c>
      <c r="E91" s="615" t="s">
        <v>372</v>
      </c>
      <c r="F91" s="616" t="s">
        <v>397</v>
      </c>
      <c r="G91" s="615" t="s">
        <v>318</v>
      </c>
      <c r="H91" s="615">
        <v>416</v>
      </c>
      <c r="I91" s="617" t="s">
        <v>319</v>
      </c>
      <c r="J91" s="615"/>
      <c r="K91" s="615"/>
      <c r="L91" s="615"/>
      <c r="M91" s="615"/>
      <c r="N91" s="615"/>
      <c r="O91" s="615">
        <v>3</v>
      </c>
      <c r="P91" s="615"/>
      <c r="Q91" s="617">
        <v>8.5</v>
      </c>
      <c r="R91" s="640">
        <f t="shared" si="4"/>
        <v>17</v>
      </c>
      <c r="S91" s="617"/>
      <c r="T91" s="618">
        <f t="shared" si="5"/>
        <v>0</v>
      </c>
    </row>
    <row r="92" spans="1:20" s="619" customFormat="1" ht="12">
      <c r="A92" s="64">
        <v>2</v>
      </c>
      <c r="B92" s="615" t="s">
        <v>141</v>
      </c>
      <c r="C92" s="615"/>
      <c r="D92" s="615" t="s">
        <v>400</v>
      </c>
      <c r="E92" s="615" t="s">
        <v>372</v>
      </c>
      <c r="F92" s="616" t="s">
        <v>399</v>
      </c>
      <c r="G92" s="615" t="s">
        <v>318</v>
      </c>
      <c r="H92" s="615">
        <v>416</v>
      </c>
      <c r="I92" s="617" t="s">
        <v>319</v>
      </c>
      <c r="J92" s="615"/>
      <c r="K92" s="615"/>
      <c r="L92" s="615"/>
      <c r="M92" s="615"/>
      <c r="N92" s="615"/>
      <c r="O92" s="615">
        <v>3</v>
      </c>
      <c r="P92" s="615"/>
      <c r="Q92" s="617">
        <v>3.29</v>
      </c>
      <c r="R92" s="640">
        <f t="shared" si="4"/>
        <v>6.58</v>
      </c>
      <c r="S92" s="617"/>
      <c r="T92" s="618">
        <f t="shared" si="5"/>
        <v>0</v>
      </c>
    </row>
    <row r="93" spans="1:20" s="619" customFormat="1" ht="12">
      <c r="A93" s="615">
        <v>5</v>
      </c>
      <c r="B93" s="615" t="s">
        <v>141</v>
      </c>
      <c r="C93" s="615"/>
      <c r="D93" s="615" t="s">
        <v>402</v>
      </c>
      <c r="E93" s="615" t="s">
        <v>372</v>
      </c>
      <c r="F93" s="616" t="s">
        <v>401</v>
      </c>
      <c r="G93" s="615" t="s">
        <v>318</v>
      </c>
      <c r="H93" s="615">
        <v>416</v>
      </c>
      <c r="I93" s="617" t="s">
        <v>319</v>
      </c>
      <c r="J93" s="615"/>
      <c r="K93" s="615"/>
      <c r="L93" s="615"/>
      <c r="M93" s="615"/>
      <c r="N93" s="615"/>
      <c r="O93" s="615">
        <v>3</v>
      </c>
      <c r="P93" s="615"/>
      <c r="Q93" s="617">
        <v>0.24</v>
      </c>
      <c r="R93" s="640">
        <f t="shared" si="4"/>
        <v>1.2</v>
      </c>
      <c r="S93" s="617"/>
      <c r="T93" s="618">
        <f t="shared" si="5"/>
        <v>0</v>
      </c>
    </row>
    <row r="94" spans="1:20" s="619" customFormat="1" ht="12">
      <c r="A94" s="64">
        <v>2</v>
      </c>
      <c r="B94" s="615" t="s">
        <v>141</v>
      </c>
      <c r="C94" s="615"/>
      <c r="D94" s="615" t="s">
        <v>404</v>
      </c>
      <c r="E94" s="615" t="s">
        <v>372</v>
      </c>
      <c r="F94" s="616" t="s">
        <v>403</v>
      </c>
      <c r="G94" s="615" t="s">
        <v>318</v>
      </c>
      <c r="H94" s="615">
        <v>416</v>
      </c>
      <c r="I94" s="617" t="s">
        <v>319</v>
      </c>
      <c r="J94" s="615"/>
      <c r="K94" s="615"/>
      <c r="L94" s="615"/>
      <c r="M94" s="615"/>
      <c r="N94" s="615"/>
      <c r="O94" s="615">
        <v>3</v>
      </c>
      <c r="P94" s="615"/>
      <c r="Q94" s="617">
        <v>2.92</v>
      </c>
      <c r="R94" s="640">
        <f t="shared" si="4"/>
        <v>5.84</v>
      </c>
      <c r="S94" s="617"/>
      <c r="T94" s="618">
        <f t="shared" si="5"/>
        <v>0</v>
      </c>
    </row>
    <row r="95" spans="1:20" s="619" customFormat="1" ht="12">
      <c r="A95" s="64">
        <v>2</v>
      </c>
      <c r="B95" s="615" t="s">
        <v>141</v>
      </c>
      <c r="C95" s="615"/>
      <c r="D95" s="615" t="s">
        <v>406</v>
      </c>
      <c r="E95" s="615" t="s">
        <v>372</v>
      </c>
      <c r="F95" s="616" t="s">
        <v>405</v>
      </c>
      <c r="G95" s="615" t="s">
        <v>318</v>
      </c>
      <c r="H95" s="615">
        <v>416</v>
      </c>
      <c r="I95" s="617" t="s">
        <v>319</v>
      </c>
      <c r="J95" s="615"/>
      <c r="K95" s="615"/>
      <c r="L95" s="615"/>
      <c r="M95" s="615"/>
      <c r="N95" s="615"/>
      <c r="O95" s="615">
        <v>3</v>
      </c>
      <c r="P95" s="615"/>
      <c r="Q95" s="617">
        <v>7.89</v>
      </c>
      <c r="R95" s="640">
        <f t="shared" si="4"/>
        <v>15.78</v>
      </c>
      <c r="S95" s="617"/>
      <c r="T95" s="618">
        <f t="shared" si="5"/>
        <v>0</v>
      </c>
    </row>
    <row r="96" spans="1:20" s="619" customFormat="1" ht="12">
      <c r="A96" s="64">
        <v>1</v>
      </c>
      <c r="B96" s="615" t="s">
        <v>141</v>
      </c>
      <c r="C96" s="615"/>
      <c r="D96" s="615" t="s">
        <v>408</v>
      </c>
      <c r="E96" s="615" t="s">
        <v>372</v>
      </c>
      <c r="F96" s="616" t="s">
        <v>407</v>
      </c>
      <c r="G96" s="615" t="s">
        <v>318</v>
      </c>
      <c r="H96" s="615">
        <v>416</v>
      </c>
      <c r="I96" s="617" t="s">
        <v>319</v>
      </c>
      <c r="J96" s="615"/>
      <c r="K96" s="615"/>
      <c r="L96" s="615"/>
      <c r="M96" s="615"/>
      <c r="N96" s="615"/>
      <c r="O96" s="615">
        <v>3</v>
      </c>
      <c r="P96" s="615"/>
      <c r="Q96" s="617">
        <v>1.53</v>
      </c>
      <c r="R96" s="640">
        <f t="shared" si="4"/>
        <v>1.53</v>
      </c>
      <c r="S96" s="617"/>
      <c r="T96" s="618">
        <f t="shared" si="5"/>
        <v>0</v>
      </c>
    </row>
    <row r="97" spans="1:42" s="619" customFormat="1" ht="12">
      <c r="A97" s="64">
        <v>1</v>
      </c>
      <c r="B97" s="615" t="s">
        <v>141</v>
      </c>
      <c r="C97" s="615"/>
      <c r="D97" s="615" t="s">
        <v>419</v>
      </c>
      <c r="E97" s="615" t="s">
        <v>372</v>
      </c>
      <c r="F97" s="616" t="s">
        <v>418</v>
      </c>
      <c r="G97" s="615" t="s">
        <v>318</v>
      </c>
      <c r="H97" s="615">
        <v>416</v>
      </c>
      <c r="I97" s="617" t="s">
        <v>319</v>
      </c>
      <c r="J97" s="615"/>
      <c r="K97" s="615"/>
      <c r="L97" s="615"/>
      <c r="M97" s="615"/>
      <c r="N97" s="615"/>
      <c r="O97" s="615">
        <v>3</v>
      </c>
      <c r="P97" s="615"/>
      <c r="Q97" s="617">
        <v>4</v>
      </c>
      <c r="R97" s="640">
        <f t="shared" si="4"/>
        <v>4</v>
      </c>
      <c r="S97" s="617"/>
      <c r="T97" s="618">
        <f t="shared" si="5"/>
        <v>0</v>
      </c>
    </row>
    <row r="98" spans="1:42" s="619" customFormat="1" ht="12">
      <c r="A98" s="615">
        <v>1</v>
      </c>
      <c r="B98" s="615" t="s">
        <v>141</v>
      </c>
      <c r="C98" s="615"/>
      <c r="D98" s="615" t="s">
        <v>410</v>
      </c>
      <c r="E98" s="615" t="s">
        <v>372</v>
      </c>
      <c r="F98" s="616" t="s">
        <v>409</v>
      </c>
      <c r="G98" s="615" t="s">
        <v>318</v>
      </c>
      <c r="H98" s="615">
        <v>416</v>
      </c>
      <c r="I98" s="617" t="s">
        <v>319</v>
      </c>
      <c r="J98" s="615"/>
      <c r="K98" s="615"/>
      <c r="L98" s="615"/>
      <c r="M98" s="615"/>
      <c r="N98" s="615"/>
      <c r="O98" s="615">
        <v>3</v>
      </c>
      <c r="P98" s="615"/>
      <c r="Q98" s="617">
        <v>72.349999999999994</v>
      </c>
      <c r="R98" s="640">
        <f t="shared" si="4"/>
        <v>72.349999999999994</v>
      </c>
      <c r="S98" s="617"/>
      <c r="T98" s="618">
        <f t="shared" si="5"/>
        <v>0</v>
      </c>
    </row>
    <row r="99" spans="1:42" s="619" customFormat="1" ht="12">
      <c r="A99" s="615">
        <v>1</v>
      </c>
      <c r="B99" s="615" t="s">
        <v>141</v>
      </c>
      <c r="C99" s="615"/>
      <c r="D99" s="615" t="s">
        <v>410</v>
      </c>
      <c r="E99" s="615" t="s">
        <v>372</v>
      </c>
      <c r="F99" s="616" t="s">
        <v>409</v>
      </c>
      <c r="G99" s="615" t="s">
        <v>318</v>
      </c>
      <c r="H99" s="615">
        <v>416</v>
      </c>
      <c r="I99" s="617" t="s">
        <v>319</v>
      </c>
      <c r="J99" s="615"/>
      <c r="K99" s="615"/>
      <c r="L99" s="615"/>
      <c r="M99" s="615"/>
      <c r="N99" s="615"/>
      <c r="O99" s="615">
        <v>3</v>
      </c>
      <c r="P99" s="615"/>
      <c r="Q99" s="617">
        <v>72.349999999999994</v>
      </c>
      <c r="R99" s="640">
        <f t="shared" si="4"/>
        <v>72.349999999999994</v>
      </c>
      <c r="S99" s="617"/>
      <c r="T99" s="618">
        <f t="shared" si="5"/>
        <v>0</v>
      </c>
    </row>
    <row r="100" spans="1:42" s="619" customFormat="1" ht="12">
      <c r="A100" s="615">
        <v>1</v>
      </c>
      <c r="B100" s="615" t="s">
        <v>141</v>
      </c>
      <c r="C100" s="615"/>
      <c r="D100" s="615" t="s">
        <v>411</v>
      </c>
      <c r="E100" s="615" t="s">
        <v>367</v>
      </c>
      <c r="F100" s="616" t="s">
        <v>423</v>
      </c>
      <c r="G100" s="615" t="s">
        <v>318</v>
      </c>
      <c r="H100" s="615">
        <v>416</v>
      </c>
      <c r="I100" s="617" t="s">
        <v>319</v>
      </c>
      <c r="J100" s="615"/>
      <c r="K100" s="615"/>
      <c r="L100" s="615"/>
      <c r="M100" s="615"/>
      <c r="N100" s="615"/>
      <c r="O100" s="615">
        <v>3</v>
      </c>
      <c r="P100" s="615"/>
      <c r="Q100" s="617">
        <v>250</v>
      </c>
      <c r="R100" s="640">
        <f t="shared" si="4"/>
        <v>250</v>
      </c>
      <c r="S100" s="617"/>
      <c r="T100" s="618">
        <f t="shared" si="5"/>
        <v>0</v>
      </c>
    </row>
    <row r="101" spans="1:42" s="619" customFormat="1" ht="34.799999999999997">
      <c r="A101" s="615">
        <v>1</v>
      </c>
      <c r="B101" s="615" t="s">
        <v>141</v>
      </c>
      <c r="C101" s="615"/>
      <c r="D101" s="770" t="s">
        <v>413</v>
      </c>
      <c r="E101" s="615" t="s">
        <v>367</v>
      </c>
      <c r="F101" s="616" t="s">
        <v>412</v>
      </c>
      <c r="G101" s="615" t="s">
        <v>318</v>
      </c>
      <c r="H101" s="615">
        <v>416</v>
      </c>
      <c r="I101" s="617" t="s">
        <v>319</v>
      </c>
      <c r="J101" s="615"/>
      <c r="K101" s="615"/>
      <c r="L101" s="615"/>
      <c r="M101" s="615"/>
      <c r="N101" s="615"/>
      <c r="O101" s="615">
        <v>3</v>
      </c>
      <c r="P101" s="615"/>
      <c r="Q101" s="617">
        <v>205</v>
      </c>
      <c r="R101" s="640">
        <f t="shared" si="4"/>
        <v>205</v>
      </c>
      <c r="S101" s="617"/>
      <c r="T101" s="618">
        <f t="shared" si="5"/>
        <v>0</v>
      </c>
    </row>
    <row r="102" spans="1:42" s="619" customFormat="1" ht="12">
      <c r="A102" s="615">
        <v>1</v>
      </c>
      <c r="B102" s="615" t="s">
        <v>141</v>
      </c>
      <c r="C102" s="615"/>
      <c r="D102" s="615" t="s">
        <v>421</v>
      </c>
      <c r="E102" s="615" t="s">
        <v>367</v>
      </c>
      <c r="F102" s="616" t="s">
        <v>420</v>
      </c>
      <c r="G102" s="615" t="s">
        <v>318</v>
      </c>
      <c r="H102" s="615">
        <v>416</v>
      </c>
      <c r="I102" s="617" t="s">
        <v>319</v>
      </c>
      <c r="J102" s="615"/>
      <c r="K102" s="615"/>
      <c r="L102" s="615"/>
      <c r="M102" s="615"/>
      <c r="N102" s="615"/>
      <c r="O102" s="615">
        <v>3</v>
      </c>
      <c r="P102" s="615"/>
      <c r="Q102" s="617">
        <v>50</v>
      </c>
      <c r="R102" s="640">
        <f t="shared" si="4"/>
        <v>50</v>
      </c>
      <c r="S102" s="617"/>
      <c r="T102" s="618">
        <f t="shared" si="5"/>
        <v>0</v>
      </c>
    </row>
    <row r="103" spans="1:42" s="619" customFormat="1" ht="12">
      <c r="A103" s="615">
        <v>4</v>
      </c>
      <c r="B103" s="615" t="s">
        <v>141</v>
      </c>
      <c r="C103" s="615"/>
      <c r="D103" s="615" t="s">
        <v>415</v>
      </c>
      <c r="E103" s="615" t="s">
        <v>372</v>
      </c>
      <c r="F103" s="616" t="s">
        <v>414</v>
      </c>
      <c r="G103" s="615" t="s">
        <v>318</v>
      </c>
      <c r="H103" s="615">
        <v>416</v>
      </c>
      <c r="I103" s="617" t="s">
        <v>319</v>
      </c>
      <c r="J103" s="615"/>
      <c r="K103" s="615"/>
      <c r="L103" s="615"/>
      <c r="M103" s="615"/>
      <c r="N103" s="615"/>
      <c r="O103" s="615">
        <v>3</v>
      </c>
      <c r="P103" s="615"/>
      <c r="Q103" s="617">
        <v>2.2200000000000002</v>
      </c>
      <c r="R103" s="640">
        <f t="shared" si="4"/>
        <v>8.8800000000000008</v>
      </c>
      <c r="S103" s="617"/>
      <c r="T103" s="618">
        <f t="shared" si="5"/>
        <v>0</v>
      </c>
    </row>
    <row r="104" spans="1:42" s="619" customFormat="1" ht="12">
      <c r="A104" s="615">
        <v>4</v>
      </c>
      <c r="B104" s="615" t="s">
        <v>141</v>
      </c>
      <c r="C104" s="615"/>
      <c r="D104" s="615" t="s">
        <v>417</v>
      </c>
      <c r="E104" s="615" t="s">
        <v>372</v>
      </c>
      <c r="F104" s="616" t="s">
        <v>416</v>
      </c>
      <c r="G104" s="615" t="s">
        <v>318</v>
      </c>
      <c r="H104" s="615">
        <v>416</v>
      </c>
      <c r="I104" s="617" t="s">
        <v>319</v>
      </c>
      <c r="J104" s="615"/>
      <c r="K104" s="615"/>
      <c r="L104" s="615"/>
      <c r="M104" s="615"/>
      <c r="N104" s="615"/>
      <c r="O104" s="615">
        <v>3</v>
      </c>
      <c r="P104" s="615"/>
      <c r="Q104" s="617">
        <v>1.05</v>
      </c>
      <c r="R104" s="640">
        <f t="shared" si="4"/>
        <v>4.2</v>
      </c>
      <c r="S104" s="617"/>
      <c r="T104" s="618">
        <f t="shared" si="5"/>
        <v>0</v>
      </c>
    </row>
    <row r="105" spans="1:42" s="619" customFormat="1" ht="12">
      <c r="A105" s="615">
        <v>1</v>
      </c>
      <c r="B105" s="615" t="s">
        <v>141</v>
      </c>
      <c r="C105" s="615"/>
      <c r="D105" s="615" t="s">
        <v>330</v>
      </c>
      <c r="E105" s="615" t="s">
        <v>422</v>
      </c>
      <c r="F105" s="616"/>
      <c r="G105" s="615" t="s">
        <v>318</v>
      </c>
      <c r="H105" s="615">
        <v>420</v>
      </c>
      <c r="I105" s="617" t="s">
        <v>319</v>
      </c>
      <c r="J105" s="615"/>
      <c r="K105" s="615"/>
      <c r="L105" s="615"/>
      <c r="M105" s="615"/>
      <c r="N105" s="615"/>
      <c r="O105" s="615">
        <v>3</v>
      </c>
      <c r="P105" s="615"/>
      <c r="Q105" s="617">
        <v>250</v>
      </c>
      <c r="R105" s="640">
        <f t="shared" si="4"/>
        <v>250</v>
      </c>
      <c r="S105" s="617"/>
      <c r="T105" s="618">
        <f t="shared" si="5"/>
        <v>0</v>
      </c>
    </row>
    <row r="106" spans="1:42" s="619" customFormat="1" ht="12">
      <c r="A106" s="615"/>
      <c r="B106" s="615"/>
      <c r="C106" s="615"/>
      <c r="D106" s="615"/>
      <c r="E106" s="615"/>
      <c r="F106" s="616"/>
      <c r="G106" s="615"/>
      <c r="H106" s="615"/>
      <c r="I106" s="617"/>
      <c r="J106" s="615"/>
      <c r="K106" s="615"/>
      <c r="L106" s="615"/>
      <c r="M106" s="615"/>
      <c r="N106" s="615"/>
      <c r="O106" s="615"/>
      <c r="P106" s="615"/>
      <c r="Q106" s="617"/>
      <c r="R106" s="640"/>
      <c r="S106" s="617"/>
      <c r="T106" s="618"/>
    </row>
    <row r="107" spans="1:42" s="619" customFormat="1" ht="12.6" thickBot="1">
      <c r="A107" s="641" t="s">
        <v>145</v>
      </c>
      <c r="B107" s="642">
        <f>(R106+T106)</f>
        <v>0</v>
      </c>
      <c r="C107" s="643"/>
      <c r="D107" s="643"/>
      <c r="E107" s="643"/>
      <c r="F107" s="644"/>
      <c r="G107" s="643" t="s">
        <v>146</v>
      </c>
      <c r="H107" s="643"/>
      <c r="I107" s="645"/>
      <c r="J107" s="643"/>
      <c r="K107" s="643" t="s">
        <v>8</v>
      </c>
      <c r="L107" s="646" t="s">
        <v>143</v>
      </c>
      <c r="M107" s="646"/>
      <c r="N107" s="646"/>
      <c r="O107" s="646"/>
      <c r="P107" s="646"/>
      <c r="Q107" s="647"/>
      <c r="R107" s="648">
        <f>SUM(R75:R106)</f>
        <v>1156.8600000000001</v>
      </c>
      <c r="S107" s="643"/>
      <c r="T107" s="648">
        <f>SUM(T75:T106)</f>
        <v>0</v>
      </c>
      <c r="U107" s="649"/>
      <c r="V107" s="649"/>
      <c r="W107" s="649"/>
      <c r="X107" s="649"/>
      <c r="Y107" s="649"/>
      <c r="Z107" s="649"/>
      <c r="AA107" s="649"/>
      <c r="AB107" s="649"/>
      <c r="AC107" s="649"/>
      <c r="AD107" s="649"/>
      <c r="AE107" s="649"/>
      <c r="AF107" s="649"/>
      <c r="AG107" s="649"/>
      <c r="AH107" s="649"/>
      <c r="AI107" s="649"/>
      <c r="AJ107" s="649"/>
      <c r="AK107" s="649"/>
      <c r="AL107" s="649"/>
      <c r="AM107" s="649"/>
      <c r="AN107" s="649"/>
      <c r="AO107" s="649"/>
      <c r="AP107" s="649"/>
    </row>
    <row r="108" spans="1:42" s="619" customFormat="1" ht="12" thickTop="1">
      <c r="A108" s="64"/>
      <c r="B108" s="41"/>
      <c r="C108" s="64"/>
      <c r="E108" s="42" t="s">
        <v>138</v>
      </c>
      <c r="F108" s="42" t="s">
        <v>139</v>
      </c>
      <c r="G108" s="64"/>
      <c r="H108" s="64"/>
      <c r="I108" s="64"/>
      <c r="J108" s="64"/>
      <c r="K108" s="64" t="s">
        <v>140</v>
      </c>
      <c r="L108" s="64"/>
      <c r="M108" s="64"/>
      <c r="N108" s="64"/>
      <c r="O108" s="65"/>
      <c r="P108" s="64"/>
      <c r="Q108" s="64"/>
      <c r="R108" s="64"/>
      <c r="S108" s="64"/>
      <c r="T108" s="41"/>
      <c r="AG108" s="620" t="s">
        <v>286</v>
      </c>
      <c r="AH108" s="620" t="s">
        <v>287</v>
      </c>
      <c r="AI108" s="620" t="s">
        <v>288</v>
      </c>
      <c r="AJ108" s="620" t="s">
        <v>289</v>
      </c>
      <c r="AK108" s="620" t="s">
        <v>290</v>
      </c>
      <c r="AM108" s="611" t="s">
        <v>299</v>
      </c>
      <c r="AN108" s="612" t="s">
        <v>313</v>
      </c>
      <c r="AO108" s="612" t="s">
        <v>300</v>
      </c>
      <c r="AP108" s="621" t="s">
        <v>296</v>
      </c>
    </row>
    <row r="109" spans="1:42" s="619" customFormat="1" ht="12" customHeight="1">
      <c r="A109" s="622">
        <v>1</v>
      </c>
      <c r="B109" s="773" t="s">
        <v>141</v>
      </c>
      <c r="C109" s="624"/>
      <c r="D109" s="625" t="s">
        <v>425</v>
      </c>
      <c r="E109" s="764">
        <f>IF(AND($A109=0,$A$1="DIF"),0, ROUND(ROUND(($R152*$S$4+($T152*$T$4))/$A109,2)*$C$4,2))</f>
        <v>1380.59</v>
      </c>
      <c r="F109" s="765">
        <f>ROUND($A109*$E109,2)</f>
        <v>1380.59</v>
      </c>
      <c r="G109" s="628" t="s">
        <v>142</v>
      </c>
      <c r="H109" s="616"/>
      <c r="I109" s="629"/>
      <c r="J109" s="616"/>
      <c r="K109" s="616" t="s">
        <v>8</v>
      </c>
      <c r="L109" s="630" t="s">
        <v>143</v>
      </c>
      <c r="M109" s="630"/>
      <c r="N109" s="630"/>
      <c r="O109" s="630"/>
      <c r="P109" s="630"/>
      <c r="Q109" s="64"/>
      <c r="T109" s="769" t="str">
        <f>IF(AND($R152=0,$T152=0),"0.00","mu: "&amp; ROUND(F109/$C$4/($R152+$T152*$D$9),2))</f>
        <v>mu: 1.3</v>
      </c>
      <c r="W109" s="632"/>
      <c r="AG109" s="766">
        <f>IF($E109=0,0,ROUND($R152*$S$4*$C$4/$A109,2))</f>
        <v>1380.59</v>
      </c>
      <c r="AH109" s="766">
        <f>$AG109*$A109</f>
        <v>1380.59</v>
      </c>
      <c r="AI109" s="767">
        <f>$E109-$AG109</f>
        <v>0</v>
      </c>
      <c r="AJ109" s="767">
        <f>$A109*$AI109</f>
        <v>0</v>
      </c>
      <c r="AK109" s="768">
        <f>ROUND(($AG109+$AI109)*$A109,2)</f>
        <v>1380.59</v>
      </c>
      <c r="AM109" s="635">
        <f>ROUND(R152,2)</f>
        <v>1061.99</v>
      </c>
      <c r="AN109" s="636">
        <f>IF(A109=0,0,AO109/A109)</f>
        <v>0</v>
      </c>
      <c r="AO109" s="636">
        <f>ROUND(T152,2)</f>
        <v>0</v>
      </c>
      <c r="AP109" s="637">
        <f>ROUND(AM109+AO109,2)*A109</f>
        <v>1061.99</v>
      </c>
    </row>
    <row r="110" spans="1:42" s="619" customFormat="1" ht="13.2">
      <c r="A110" s="624"/>
      <c r="B110" s="774"/>
      <c r="C110" s="624"/>
      <c r="D110" s="625" t="s">
        <v>426</v>
      </c>
      <c r="F110" s="616"/>
      <c r="G110" s="3"/>
      <c r="H110" s="616"/>
      <c r="I110" s="629"/>
      <c r="J110" s="616"/>
      <c r="K110" s="616" t="s">
        <v>144</v>
      </c>
      <c r="L110" s="616"/>
      <c r="M110" s="616"/>
      <c r="N110" s="616"/>
      <c r="O110" s="616"/>
      <c r="P110" s="616"/>
      <c r="Q110" s="64"/>
      <c r="R110" s="638"/>
      <c r="S110" s="639"/>
      <c r="T110" s="616"/>
    </row>
    <row r="111" spans="1:42" s="619" customFormat="1" ht="12">
      <c r="A111" s="64"/>
      <c r="B111" s="615"/>
      <c r="C111" s="615"/>
      <c r="D111" s="615"/>
      <c r="E111" s="615"/>
      <c r="F111" s="616"/>
      <c r="G111" s="615"/>
      <c r="H111" s="615"/>
      <c r="I111" s="617"/>
      <c r="J111" s="615"/>
      <c r="K111" s="615"/>
      <c r="L111" s="615"/>
      <c r="M111" s="615"/>
      <c r="N111" s="615"/>
      <c r="O111" s="615"/>
      <c r="P111" s="615"/>
      <c r="Q111" s="617"/>
      <c r="R111" s="771"/>
      <c r="S111" s="617"/>
      <c r="T111" s="771"/>
    </row>
    <row r="112" spans="1:42" s="619" customFormat="1" ht="12">
      <c r="A112" s="64">
        <v>0</v>
      </c>
      <c r="B112" s="615" t="s">
        <v>141</v>
      </c>
      <c r="C112" s="615"/>
      <c r="D112" s="615" t="s">
        <v>369</v>
      </c>
      <c r="E112" s="615" t="s">
        <v>367</v>
      </c>
      <c r="F112" s="616" t="s">
        <v>368</v>
      </c>
      <c r="G112" s="615" t="s">
        <v>318</v>
      </c>
      <c r="H112" s="615">
        <v>416</v>
      </c>
      <c r="I112" s="617" t="s">
        <v>319</v>
      </c>
      <c r="J112" s="615"/>
      <c r="K112" s="615"/>
      <c r="L112" s="615"/>
      <c r="M112" s="615"/>
      <c r="N112" s="615"/>
      <c r="O112" s="615">
        <v>3</v>
      </c>
      <c r="P112" s="615"/>
      <c r="Q112" s="617">
        <v>20</v>
      </c>
      <c r="R112" s="640">
        <f t="shared" ref="R112:R150" si="6">$A112*Q112</f>
        <v>0</v>
      </c>
      <c r="S112" s="617"/>
      <c r="T112" s="618">
        <f t="shared" ref="T112:T150" si="7">$A112*S112*$T$1</f>
        <v>0</v>
      </c>
    </row>
    <row r="113" spans="1:20" s="619" customFormat="1" ht="12">
      <c r="A113" s="64">
        <v>3</v>
      </c>
      <c r="B113" s="615" t="s">
        <v>141</v>
      </c>
      <c r="C113" s="615"/>
      <c r="D113" s="615" t="s">
        <v>371</v>
      </c>
      <c r="E113" s="615" t="s">
        <v>367</v>
      </c>
      <c r="F113" s="616" t="s">
        <v>370</v>
      </c>
      <c r="G113" s="615" t="s">
        <v>318</v>
      </c>
      <c r="H113" s="615">
        <v>416</v>
      </c>
      <c r="I113" s="617" t="s">
        <v>319</v>
      </c>
      <c r="J113" s="615"/>
      <c r="K113" s="615"/>
      <c r="L113" s="615"/>
      <c r="M113" s="615"/>
      <c r="N113" s="615"/>
      <c r="O113" s="615">
        <v>3</v>
      </c>
      <c r="P113" s="615"/>
      <c r="Q113" s="617">
        <v>20</v>
      </c>
      <c r="R113" s="640">
        <f t="shared" si="6"/>
        <v>60</v>
      </c>
      <c r="S113" s="617"/>
      <c r="T113" s="618">
        <f t="shared" si="7"/>
        <v>0</v>
      </c>
    </row>
    <row r="114" spans="1:20" s="619" customFormat="1" ht="12">
      <c r="A114" s="64">
        <v>2</v>
      </c>
      <c r="B114" s="615" t="s">
        <v>141</v>
      </c>
      <c r="C114" s="615"/>
      <c r="D114" s="615" t="s">
        <v>427</v>
      </c>
      <c r="E114" s="615" t="s">
        <v>367</v>
      </c>
      <c r="F114" s="616" t="s">
        <v>428</v>
      </c>
      <c r="G114" s="615" t="s">
        <v>318</v>
      </c>
      <c r="H114" s="615">
        <v>416</v>
      </c>
      <c r="I114" s="617" t="s">
        <v>319</v>
      </c>
      <c r="J114" s="615"/>
      <c r="K114" s="615"/>
      <c r="L114" s="615"/>
      <c r="M114" s="615"/>
      <c r="N114" s="615"/>
      <c r="O114" s="615">
        <v>3</v>
      </c>
      <c r="P114" s="615"/>
      <c r="Q114" s="617">
        <v>103.17</v>
      </c>
      <c r="R114" s="640">
        <f t="shared" si="6"/>
        <v>206.34</v>
      </c>
      <c r="S114" s="617"/>
      <c r="T114" s="618">
        <f t="shared" si="7"/>
        <v>0</v>
      </c>
    </row>
    <row r="115" spans="1:20" s="619" customFormat="1" ht="12">
      <c r="A115" s="64">
        <v>1</v>
      </c>
      <c r="B115" s="615" t="s">
        <v>141</v>
      </c>
      <c r="C115" s="615"/>
      <c r="D115" s="615" t="s">
        <v>429</v>
      </c>
      <c r="E115" s="615" t="s">
        <v>372</v>
      </c>
      <c r="F115" s="616" t="s">
        <v>430</v>
      </c>
      <c r="G115" s="615" t="s">
        <v>318</v>
      </c>
      <c r="H115" s="615">
        <v>416</v>
      </c>
      <c r="I115" s="617" t="s">
        <v>319</v>
      </c>
      <c r="J115" s="615"/>
      <c r="K115" s="615"/>
      <c r="L115" s="615"/>
      <c r="M115" s="615"/>
      <c r="N115" s="615"/>
      <c r="O115" s="615">
        <v>3</v>
      </c>
      <c r="P115" s="615"/>
      <c r="Q115" s="772">
        <v>49.46</v>
      </c>
      <c r="R115" s="640">
        <f t="shared" si="6"/>
        <v>49.46</v>
      </c>
      <c r="S115" s="617"/>
      <c r="T115" s="618">
        <f t="shared" si="7"/>
        <v>0</v>
      </c>
    </row>
    <row r="116" spans="1:20" s="619" customFormat="1" ht="12">
      <c r="A116" s="64">
        <v>1</v>
      </c>
      <c r="B116" s="615" t="s">
        <v>141</v>
      </c>
      <c r="C116" s="615"/>
      <c r="D116" s="615" t="s">
        <v>431</v>
      </c>
      <c r="E116" s="615" t="s">
        <v>372</v>
      </c>
      <c r="F116" s="616" t="s">
        <v>432</v>
      </c>
      <c r="G116" s="615" t="s">
        <v>318</v>
      </c>
      <c r="H116" s="615">
        <v>416</v>
      </c>
      <c r="I116" s="617" t="s">
        <v>319</v>
      </c>
      <c r="J116" s="615"/>
      <c r="K116" s="615"/>
      <c r="L116" s="615"/>
      <c r="M116" s="615"/>
      <c r="N116" s="615"/>
      <c r="O116" s="615">
        <v>3</v>
      </c>
      <c r="P116" s="615"/>
      <c r="Q116" s="617">
        <v>5.29</v>
      </c>
      <c r="R116" s="640">
        <f t="shared" si="6"/>
        <v>5.29</v>
      </c>
      <c r="S116" s="617"/>
      <c r="T116" s="618">
        <f t="shared" si="7"/>
        <v>0</v>
      </c>
    </row>
    <row r="117" spans="1:20" s="619" customFormat="1" ht="12">
      <c r="A117" s="64">
        <v>1</v>
      </c>
      <c r="B117" s="615" t="s">
        <v>141</v>
      </c>
      <c r="C117" s="615"/>
      <c r="D117" s="615" t="s">
        <v>433</v>
      </c>
      <c r="E117" s="615" t="s">
        <v>372</v>
      </c>
      <c r="F117" s="616" t="s">
        <v>434</v>
      </c>
      <c r="G117" s="615" t="s">
        <v>318</v>
      </c>
      <c r="H117" s="615">
        <v>416</v>
      </c>
      <c r="I117" s="617" t="s">
        <v>319</v>
      </c>
      <c r="J117" s="615"/>
      <c r="K117" s="615"/>
      <c r="L117" s="615"/>
      <c r="M117" s="615"/>
      <c r="N117" s="615"/>
      <c r="O117" s="615">
        <v>3</v>
      </c>
      <c r="P117" s="615"/>
      <c r="Q117" s="617">
        <v>7.4</v>
      </c>
      <c r="R117" s="640">
        <f t="shared" si="6"/>
        <v>7.4</v>
      </c>
      <c r="S117" s="617"/>
      <c r="T117" s="618">
        <f t="shared" si="7"/>
        <v>0</v>
      </c>
    </row>
    <row r="118" spans="1:20" s="619" customFormat="1" ht="12">
      <c r="A118" s="64">
        <v>1</v>
      </c>
      <c r="B118" s="615" t="s">
        <v>141</v>
      </c>
      <c r="C118" s="615"/>
      <c r="D118" s="615" t="s">
        <v>351</v>
      </c>
      <c r="E118" s="615" t="s">
        <v>372</v>
      </c>
      <c r="F118" s="616" t="s">
        <v>435</v>
      </c>
      <c r="G118" s="615" t="s">
        <v>318</v>
      </c>
      <c r="H118" s="615">
        <v>416</v>
      </c>
      <c r="I118" s="617" t="s">
        <v>319</v>
      </c>
      <c r="J118" s="615"/>
      <c r="K118" s="615"/>
      <c r="L118" s="615"/>
      <c r="M118" s="615"/>
      <c r="N118" s="615"/>
      <c r="O118" s="615">
        <v>3</v>
      </c>
      <c r="P118" s="615"/>
      <c r="Q118" s="617">
        <v>5.7</v>
      </c>
      <c r="R118" s="640">
        <f t="shared" si="6"/>
        <v>5.7</v>
      </c>
      <c r="S118" s="617"/>
      <c r="T118" s="618">
        <f t="shared" si="7"/>
        <v>0</v>
      </c>
    </row>
    <row r="119" spans="1:20" s="619" customFormat="1" ht="12">
      <c r="A119" s="64">
        <v>1</v>
      </c>
      <c r="B119" s="615" t="s">
        <v>141</v>
      </c>
      <c r="C119" s="615"/>
      <c r="D119" s="615" t="s">
        <v>431</v>
      </c>
      <c r="E119" s="615" t="s">
        <v>372</v>
      </c>
      <c r="F119" s="616" t="s">
        <v>436</v>
      </c>
      <c r="G119" s="615" t="s">
        <v>318</v>
      </c>
      <c r="H119" s="615">
        <v>416</v>
      </c>
      <c r="I119" s="617" t="s">
        <v>319</v>
      </c>
      <c r="J119" s="615"/>
      <c r="K119" s="615"/>
      <c r="L119" s="615"/>
      <c r="M119" s="615"/>
      <c r="N119" s="615"/>
      <c r="O119" s="615">
        <v>3</v>
      </c>
      <c r="P119" s="615"/>
      <c r="Q119" s="617">
        <v>6.27</v>
      </c>
      <c r="R119" s="640">
        <f t="shared" si="6"/>
        <v>6.27</v>
      </c>
      <c r="S119" s="617"/>
      <c r="T119" s="618">
        <f t="shared" si="7"/>
        <v>0</v>
      </c>
    </row>
    <row r="120" spans="1:20" s="619" customFormat="1" ht="12">
      <c r="A120" s="64">
        <v>4</v>
      </c>
      <c r="B120" s="615" t="s">
        <v>141</v>
      </c>
      <c r="C120" s="615"/>
      <c r="D120" s="615" t="s">
        <v>376</v>
      </c>
      <c r="E120" s="615" t="s">
        <v>372</v>
      </c>
      <c r="F120" s="616" t="s">
        <v>375</v>
      </c>
      <c r="G120" s="615" t="s">
        <v>318</v>
      </c>
      <c r="H120" s="615">
        <v>416</v>
      </c>
      <c r="I120" s="617" t="s">
        <v>319</v>
      </c>
      <c r="J120" s="615"/>
      <c r="K120" s="615"/>
      <c r="L120" s="615"/>
      <c r="M120" s="615"/>
      <c r="N120" s="615"/>
      <c r="O120" s="615">
        <v>3</v>
      </c>
      <c r="P120" s="615"/>
      <c r="Q120" s="617">
        <v>1.61</v>
      </c>
      <c r="R120" s="640">
        <f t="shared" si="6"/>
        <v>6.44</v>
      </c>
      <c r="S120" s="617"/>
      <c r="T120" s="618">
        <f t="shared" si="7"/>
        <v>0</v>
      </c>
    </row>
    <row r="121" spans="1:20" s="619" customFormat="1" ht="12">
      <c r="A121" s="64">
        <v>4</v>
      </c>
      <c r="B121" s="615" t="s">
        <v>141</v>
      </c>
      <c r="C121" s="615"/>
      <c r="D121" s="615" t="s">
        <v>378</v>
      </c>
      <c r="E121" s="615" t="s">
        <v>372</v>
      </c>
      <c r="F121" s="616" t="s">
        <v>377</v>
      </c>
      <c r="G121" s="615" t="s">
        <v>318</v>
      </c>
      <c r="H121" s="615">
        <v>416</v>
      </c>
      <c r="I121" s="617" t="s">
        <v>319</v>
      </c>
      <c r="J121" s="615"/>
      <c r="K121" s="615"/>
      <c r="L121" s="615"/>
      <c r="M121" s="615"/>
      <c r="N121" s="615"/>
      <c r="O121" s="615">
        <v>3</v>
      </c>
      <c r="P121" s="615"/>
      <c r="Q121" s="617">
        <v>1.6</v>
      </c>
      <c r="R121" s="640">
        <f t="shared" si="6"/>
        <v>6.4</v>
      </c>
      <c r="S121" s="617"/>
      <c r="T121" s="618">
        <f t="shared" si="7"/>
        <v>0</v>
      </c>
    </row>
    <row r="122" spans="1:20" s="619" customFormat="1" ht="12">
      <c r="A122" s="615">
        <v>1</v>
      </c>
      <c r="B122" s="615" t="s">
        <v>141</v>
      </c>
      <c r="C122" s="615"/>
      <c r="D122" s="615" t="s">
        <v>380</v>
      </c>
      <c r="E122" s="615" t="s">
        <v>372</v>
      </c>
      <c r="F122" s="616" t="s">
        <v>379</v>
      </c>
      <c r="G122" s="615" t="s">
        <v>318</v>
      </c>
      <c r="H122" s="615">
        <v>416</v>
      </c>
      <c r="I122" s="617" t="s">
        <v>319</v>
      </c>
      <c r="J122" s="615"/>
      <c r="K122" s="615"/>
      <c r="L122" s="615"/>
      <c r="M122" s="615"/>
      <c r="N122" s="615"/>
      <c r="O122" s="615">
        <v>3</v>
      </c>
      <c r="P122" s="615"/>
      <c r="Q122" s="617">
        <v>1.69</v>
      </c>
      <c r="R122" s="640">
        <f t="shared" si="6"/>
        <v>1.69</v>
      </c>
      <c r="S122" s="617"/>
      <c r="T122" s="618">
        <f t="shared" si="7"/>
        <v>0</v>
      </c>
    </row>
    <row r="123" spans="1:20" s="619" customFormat="1" ht="12">
      <c r="A123" s="64">
        <v>1</v>
      </c>
      <c r="B123" s="615" t="s">
        <v>141</v>
      </c>
      <c r="C123" s="615"/>
      <c r="D123" s="615" t="s">
        <v>384</v>
      </c>
      <c r="E123" s="615" t="s">
        <v>372</v>
      </c>
      <c r="F123" s="616" t="s">
        <v>383</v>
      </c>
      <c r="G123" s="615" t="s">
        <v>318</v>
      </c>
      <c r="H123" s="615">
        <v>416</v>
      </c>
      <c r="I123" s="617" t="s">
        <v>319</v>
      </c>
      <c r="J123" s="615"/>
      <c r="K123" s="615"/>
      <c r="L123" s="615"/>
      <c r="M123" s="615"/>
      <c r="N123" s="615"/>
      <c r="O123" s="615">
        <v>3</v>
      </c>
      <c r="P123" s="615"/>
      <c r="Q123" s="617">
        <v>6.57</v>
      </c>
      <c r="R123" s="640">
        <f t="shared" si="6"/>
        <v>6.57</v>
      </c>
      <c r="S123" s="617"/>
      <c r="T123" s="618">
        <f t="shared" si="7"/>
        <v>0</v>
      </c>
    </row>
    <row r="124" spans="1:20" s="619" customFormat="1" ht="12">
      <c r="A124" s="64">
        <v>0</v>
      </c>
      <c r="B124" s="615" t="s">
        <v>141</v>
      </c>
      <c r="C124" s="615"/>
      <c r="D124" s="615" t="s">
        <v>437</v>
      </c>
      <c r="E124" s="615" t="s">
        <v>372</v>
      </c>
      <c r="F124" s="616" t="s">
        <v>391</v>
      </c>
      <c r="G124" s="615" t="s">
        <v>318</v>
      </c>
      <c r="H124" s="615">
        <v>416</v>
      </c>
      <c r="I124" s="617" t="s">
        <v>319</v>
      </c>
      <c r="J124" s="615"/>
      <c r="K124" s="615"/>
      <c r="L124" s="615"/>
      <c r="M124" s="615"/>
      <c r="N124" s="615"/>
      <c r="O124" s="615">
        <v>3</v>
      </c>
      <c r="P124" s="615"/>
      <c r="Q124" s="617">
        <v>12.15</v>
      </c>
      <c r="R124" s="640">
        <f t="shared" si="6"/>
        <v>0</v>
      </c>
      <c r="S124" s="617"/>
      <c r="T124" s="618">
        <f t="shared" si="7"/>
        <v>0</v>
      </c>
    </row>
    <row r="125" spans="1:20" s="619" customFormat="1" ht="12">
      <c r="A125" s="64">
        <v>2</v>
      </c>
      <c r="B125" s="615" t="s">
        <v>141</v>
      </c>
      <c r="C125" s="615"/>
      <c r="D125" s="615" t="s">
        <v>396</v>
      </c>
      <c r="E125" s="615" t="s">
        <v>372</v>
      </c>
      <c r="F125" s="616" t="s">
        <v>438</v>
      </c>
      <c r="G125" s="615" t="s">
        <v>318</v>
      </c>
      <c r="H125" s="615">
        <v>416</v>
      </c>
      <c r="I125" s="617" t="s">
        <v>319</v>
      </c>
      <c r="J125" s="615"/>
      <c r="K125" s="615"/>
      <c r="L125" s="615"/>
      <c r="M125" s="615"/>
      <c r="N125" s="615"/>
      <c r="O125" s="615">
        <v>3</v>
      </c>
      <c r="P125" s="615"/>
      <c r="Q125" s="617">
        <v>2.42</v>
      </c>
      <c r="R125" s="640">
        <f t="shared" si="6"/>
        <v>4.84</v>
      </c>
      <c r="S125" s="617"/>
      <c r="T125" s="618">
        <f t="shared" si="7"/>
        <v>0</v>
      </c>
    </row>
    <row r="126" spans="1:20" s="619" customFormat="1" ht="12">
      <c r="A126" s="64">
        <v>2</v>
      </c>
      <c r="B126" s="615" t="s">
        <v>141</v>
      </c>
      <c r="C126" s="615"/>
      <c r="D126" s="615" t="s">
        <v>398</v>
      </c>
      <c r="E126" s="615" t="s">
        <v>372</v>
      </c>
      <c r="F126" s="616" t="s">
        <v>439</v>
      </c>
      <c r="G126" s="615" t="s">
        <v>318</v>
      </c>
      <c r="H126" s="615">
        <v>416</v>
      </c>
      <c r="I126" s="617" t="s">
        <v>319</v>
      </c>
      <c r="J126" s="615"/>
      <c r="K126" s="615"/>
      <c r="L126" s="615"/>
      <c r="M126" s="615"/>
      <c r="N126" s="615"/>
      <c r="O126" s="615">
        <v>3</v>
      </c>
      <c r="P126" s="615"/>
      <c r="Q126" s="617">
        <v>2.42</v>
      </c>
      <c r="R126" s="640">
        <f t="shared" si="6"/>
        <v>4.84</v>
      </c>
      <c r="S126" s="617"/>
      <c r="T126" s="618">
        <f t="shared" si="7"/>
        <v>0</v>
      </c>
    </row>
    <row r="127" spans="1:20" s="619" customFormat="1" ht="12">
      <c r="A127" s="615">
        <v>10</v>
      </c>
      <c r="B127" s="615" t="s">
        <v>141</v>
      </c>
      <c r="C127" s="615"/>
      <c r="D127" s="615" t="s">
        <v>402</v>
      </c>
      <c r="E127" s="615" t="s">
        <v>372</v>
      </c>
      <c r="F127" s="616" t="s">
        <v>401</v>
      </c>
      <c r="G127" s="615" t="s">
        <v>318</v>
      </c>
      <c r="H127" s="615">
        <v>416</v>
      </c>
      <c r="I127" s="617" t="s">
        <v>319</v>
      </c>
      <c r="J127" s="615"/>
      <c r="K127" s="615"/>
      <c r="L127" s="615"/>
      <c r="M127" s="615"/>
      <c r="N127" s="615"/>
      <c r="O127" s="615">
        <v>3</v>
      </c>
      <c r="P127" s="615"/>
      <c r="Q127" s="617">
        <v>0.24</v>
      </c>
      <c r="R127" s="640">
        <f t="shared" si="6"/>
        <v>2.4</v>
      </c>
      <c r="S127" s="617"/>
      <c r="T127" s="618">
        <f t="shared" si="7"/>
        <v>0</v>
      </c>
    </row>
    <row r="128" spans="1:20" s="619" customFormat="1" ht="12">
      <c r="A128" s="64">
        <v>0</v>
      </c>
      <c r="B128" s="615" t="s">
        <v>141</v>
      </c>
      <c r="C128" s="615"/>
      <c r="D128" s="615" t="s">
        <v>440</v>
      </c>
      <c r="E128" s="615" t="s">
        <v>372</v>
      </c>
      <c r="F128" s="616" t="s">
        <v>405</v>
      </c>
      <c r="G128" s="615" t="s">
        <v>318</v>
      </c>
      <c r="H128" s="615">
        <v>416</v>
      </c>
      <c r="I128" s="617" t="s">
        <v>319</v>
      </c>
      <c r="J128" s="615"/>
      <c r="K128" s="615"/>
      <c r="L128" s="615"/>
      <c r="M128" s="615"/>
      <c r="N128" s="615"/>
      <c r="O128" s="615">
        <v>3</v>
      </c>
      <c r="P128" s="615"/>
      <c r="Q128" s="617">
        <v>7.89</v>
      </c>
      <c r="R128" s="640">
        <f t="shared" si="6"/>
        <v>0</v>
      </c>
      <c r="S128" s="617"/>
      <c r="T128" s="618">
        <f t="shared" si="7"/>
        <v>0</v>
      </c>
    </row>
    <row r="129" spans="1:20" s="619" customFormat="1" ht="12">
      <c r="A129" s="64">
        <v>0</v>
      </c>
      <c r="B129" s="615" t="s">
        <v>141</v>
      </c>
      <c r="C129" s="615"/>
      <c r="D129" s="615" t="s">
        <v>441</v>
      </c>
      <c r="E129" s="615" t="s">
        <v>372</v>
      </c>
      <c r="F129" s="616" t="s">
        <v>405</v>
      </c>
      <c r="G129" s="615" t="s">
        <v>318</v>
      </c>
      <c r="H129" s="615">
        <v>416</v>
      </c>
      <c r="I129" s="617" t="s">
        <v>319</v>
      </c>
      <c r="J129" s="615"/>
      <c r="K129" s="615"/>
      <c r="L129" s="615"/>
      <c r="M129" s="615"/>
      <c r="N129" s="615"/>
      <c r="O129" s="615">
        <v>3</v>
      </c>
      <c r="P129" s="615"/>
      <c r="Q129" s="617">
        <v>7.89</v>
      </c>
      <c r="R129" s="640">
        <f t="shared" si="6"/>
        <v>0</v>
      </c>
      <c r="S129" s="617"/>
      <c r="T129" s="618">
        <f t="shared" si="7"/>
        <v>0</v>
      </c>
    </row>
    <row r="130" spans="1:20" s="619" customFormat="1" ht="12">
      <c r="A130" s="64">
        <v>0</v>
      </c>
      <c r="B130" s="615" t="s">
        <v>141</v>
      </c>
      <c r="C130" s="615"/>
      <c r="D130" s="615" t="s">
        <v>442</v>
      </c>
      <c r="E130" s="615" t="s">
        <v>372</v>
      </c>
      <c r="F130" s="616" t="s">
        <v>405</v>
      </c>
      <c r="G130" s="615" t="s">
        <v>318</v>
      </c>
      <c r="H130" s="615">
        <v>416</v>
      </c>
      <c r="I130" s="617" t="s">
        <v>319</v>
      </c>
      <c r="J130" s="615"/>
      <c r="K130" s="615"/>
      <c r="L130" s="615"/>
      <c r="M130" s="615"/>
      <c r="N130" s="615"/>
      <c r="O130" s="615">
        <v>3</v>
      </c>
      <c r="P130" s="615"/>
      <c r="Q130" s="617">
        <v>7.89</v>
      </c>
      <c r="R130" s="640">
        <f t="shared" si="6"/>
        <v>0</v>
      </c>
      <c r="S130" s="617"/>
      <c r="T130" s="618">
        <f t="shared" si="7"/>
        <v>0</v>
      </c>
    </row>
    <row r="131" spans="1:20" s="619" customFormat="1" ht="12">
      <c r="A131" s="64">
        <v>4</v>
      </c>
      <c r="B131" s="615" t="s">
        <v>141</v>
      </c>
      <c r="C131" s="615"/>
      <c r="D131" s="615" t="s">
        <v>443</v>
      </c>
      <c r="E131" s="615" t="s">
        <v>372</v>
      </c>
      <c r="F131" s="616" t="s">
        <v>444</v>
      </c>
      <c r="G131" s="615" t="s">
        <v>318</v>
      </c>
      <c r="H131" s="615">
        <v>416</v>
      </c>
      <c r="I131" s="617" t="s">
        <v>319</v>
      </c>
      <c r="J131" s="615"/>
      <c r="K131" s="615"/>
      <c r="L131" s="615"/>
      <c r="M131" s="615"/>
      <c r="N131" s="615"/>
      <c r="O131" s="615">
        <v>3</v>
      </c>
      <c r="P131" s="615"/>
      <c r="Q131" s="617">
        <v>10</v>
      </c>
      <c r="R131" s="640">
        <f t="shared" si="6"/>
        <v>40</v>
      </c>
      <c r="S131" s="617"/>
      <c r="T131" s="618">
        <f t="shared" si="7"/>
        <v>0</v>
      </c>
    </row>
    <row r="132" spans="1:20" s="619" customFormat="1" ht="12">
      <c r="A132" s="64">
        <v>2</v>
      </c>
      <c r="B132" s="615" t="s">
        <v>141</v>
      </c>
      <c r="C132" s="615"/>
      <c r="D132" s="615" t="s">
        <v>400</v>
      </c>
      <c r="E132" s="615" t="s">
        <v>372</v>
      </c>
      <c r="F132" s="616" t="s">
        <v>444</v>
      </c>
      <c r="G132" s="615" t="s">
        <v>318</v>
      </c>
      <c r="H132" s="615">
        <v>416</v>
      </c>
      <c r="I132" s="617" t="s">
        <v>319</v>
      </c>
      <c r="J132" s="615"/>
      <c r="K132" s="615"/>
      <c r="L132" s="615"/>
      <c r="M132" s="615"/>
      <c r="N132" s="615"/>
      <c r="O132" s="615">
        <v>3</v>
      </c>
      <c r="P132" s="615"/>
      <c r="Q132" s="617">
        <v>4</v>
      </c>
      <c r="R132" s="640">
        <f t="shared" si="6"/>
        <v>8</v>
      </c>
      <c r="S132" s="617"/>
      <c r="T132" s="618">
        <f t="shared" si="7"/>
        <v>0</v>
      </c>
    </row>
    <row r="133" spans="1:20" s="619" customFormat="1" ht="12">
      <c r="A133" s="64">
        <v>2</v>
      </c>
      <c r="B133" s="615" t="s">
        <v>141</v>
      </c>
      <c r="C133" s="615"/>
      <c r="D133" s="615" t="s">
        <v>404</v>
      </c>
      <c r="E133" s="615" t="s">
        <v>372</v>
      </c>
      <c r="F133" s="616" t="s">
        <v>444</v>
      </c>
      <c r="G133" s="615" t="s">
        <v>318</v>
      </c>
      <c r="H133" s="615">
        <v>416</v>
      </c>
      <c r="I133" s="617" t="s">
        <v>319</v>
      </c>
      <c r="J133" s="615"/>
      <c r="K133" s="615"/>
      <c r="L133" s="615"/>
      <c r="M133" s="615"/>
      <c r="N133" s="615"/>
      <c r="O133" s="615">
        <v>3</v>
      </c>
      <c r="P133" s="615"/>
      <c r="Q133" s="617">
        <v>3</v>
      </c>
      <c r="R133" s="640">
        <f t="shared" si="6"/>
        <v>6</v>
      </c>
      <c r="S133" s="617"/>
      <c r="T133" s="618">
        <f t="shared" si="7"/>
        <v>0</v>
      </c>
    </row>
    <row r="134" spans="1:20" s="619" customFormat="1" ht="12">
      <c r="A134" s="615">
        <v>1</v>
      </c>
      <c r="B134" s="615" t="s">
        <v>141</v>
      </c>
      <c r="C134" s="615"/>
      <c r="D134" s="615" t="s">
        <v>410</v>
      </c>
      <c r="E134" s="615" t="s">
        <v>372</v>
      </c>
      <c r="F134" s="616" t="s">
        <v>409</v>
      </c>
      <c r="G134" s="615" t="s">
        <v>318</v>
      </c>
      <c r="H134" s="615">
        <v>416</v>
      </c>
      <c r="I134" s="617" t="s">
        <v>319</v>
      </c>
      <c r="J134" s="615"/>
      <c r="K134" s="615"/>
      <c r="L134" s="615"/>
      <c r="M134" s="615"/>
      <c r="N134" s="615"/>
      <c r="O134" s="615">
        <v>3</v>
      </c>
      <c r="P134" s="615"/>
      <c r="Q134" s="617">
        <v>72.349999999999994</v>
      </c>
      <c r="R134" s="640">
        <f t="shared" si="6"/>
        <v>72.349999999999994</v>
      </c>
      <c r="S134" s="617"/>
      <c r="T134" s="618">
        <f t="shared" si="7"/>
        <v>0</v>
      </c>
    </row>
    <row r="135" spans="1:20" s="619" customFormat="1" ht="12">
      <c r="A135" s="615">
        <v>0</v>
      </c>
      <c r="B135" s="615" t="s">
        <v>141</v>
      </c>
      <c r="C135" s="615"/>
      <c r="D135" s="615" t="s">
        <v>445</v>
      </c>
      <c r="E135" s="615" t="s">
        <v>372</v>
      </c>
      <c r="F135" s="616" t="s">
        <v>444</v>
      </c>
      <c r="G135" s="615" t="s">
        <v>318</v>
      </c>
      <c r="H135" s="615">
        <v>416</v>
      </c>
      <c r="I135" s="617" t="s">
        <v>319</v>
      </c>
      <c r="J135" s="615"/>
      <c r="K135" s="615"/>
      <c r="L135" s="615"/>
      <c r="M135" s="615"/>
      <c r="N135" s="615"/>
      <c r="O135" s="615">
        <v>3</v>
      </c>
      <c r="P135" s="615"/>
      <c r="Q135" s="617">
        <v>4</v>
      </c>
      <c r="R135" s="640">
        <f t="shared" si="6"/>
        <v>0</v>
      </c>
      <c r="S135" s="617"/>
      <c r="T135" s="618">
        <f t="shared" si="7"/>
        <v>0</v>
      </c>
    </row>
    <row r="136" spans="1:20" s="619" customFormat="1" ht="12">
      <c r="A136" s="615">
        <v>1</v>
      </c>
      <c r="B136" s="615" t="s">
        <v>141</v>
      </c>
      <c r="C136" s="615"/>
      <c r="D136" s="615" t="s">
        <v>446</v>
      </c>
      <c r="E136" s="615" t="s">
        <v>372</v>
      </c>
      <c r="F136" s="616" t="s">
        <v>340</v>
      </c>
      <c r="G136" s="615" t="s">
        <v>318</v>
      </c>
      <c r="H136" s="615">
        <v>416</v>
      </c>
      <c r="I136" s="617" t="s">
        <v>319</v>
      </c>
      <c r="J136" s="615"/>
      <c r="K136" s="615"/>
      <c r="L136" s="615"/>
      <c r="M136" s="615"/>
      <c r="N136" s="615"/>
      <c r="O136" s="615">
        <v>3</v>
      </c>
      <c r="P136" s="615"/>
      <c r="Q136" s="617">
        <v>4</v>
      </c>
      <c r="R136" s="640">
        <f t="shared" si="6"/>
        <v>4</v>
      </c>
      <c r="S136" s="617"/>
      <c r="T136" s="618">
        <f t="shared" si="7"/>
        <v>0</v>
      </c>
    </row>
    <row r="137" spans="1:20" s="619" customFormat="1" ht="12">
      <c r="A137" s="615">
        <v>1</v>
      </c>
      <c r="B137" s="615" t="s">
        <v>141</v>
      </c>
      <c r="C137" s="615"/>
      <c r="D137" s="615" t="s">
        <v>447</v>
      </c>
      <c r="E137" s="615" t="s">
        <v>372</v>
      </c>
      <c r="F137" s="616" t="s">
        <v>448</v>
      </c>
      <c r="G137" s="615" t="s">
        <v>318</v>
      </c>
      <c r="H137" s="615">
        <v>416</v>
      </c>
      <c r="I137" s="617" t="s">
        <v>319</v>
      </c>
      <c r="J137" s="615"/>
      <c r="K137" s="615"/>
      <c r="L137" s="615"/>
      <c r="M137" s="615"/>
      <c r="N137" s="615"/>
      <c r="O137" s="615">
        <v>3</v>
      </c>
      <c r="P137" s="615"/>
      <c r="Q137" s="617">
        <v>3</v>
      </c>
      <c r="R137" s="640">
        <f t="shared" si="6"/>
        <v>3</v>
      </c>
      <c r="S137" s="617"/>
      <c r="T137" s="618">
        <f t="shared" si="7"/>
        <v>0</v>
      </c>
    </row>
    <row r="138" spans="1:20" s="619" customFormat="1" ht="12">
      <c r="A138" s="64">
        <v>1</v>
      </c>
      <c r="B138" s="615" t="s">
        <v>141</v>
      </c>
      <c r="C138" s="615"/>
      <c r="D138" s="615" t="s">
        <v>382</v>
      </c>
      <c r="E138" s="615" t="s">
        <v>372</v>
      </c>
      <c r="F138" s="616" t="s">
        <v>381</v>
      </c>
      <c r="G138" s="615" t="s">
        <v>318</v>
      </c>
      <c r="H138" s="615">
        <v>416</v>
      </c>
      <c r="I138" s="617" t="s">
        <v>319</v>
      </c>
      <c r="J138" s="615"/>
      <c r="K138" s="615"/>
      <c r="L138" s="615"/>
      <c r="M138" s="615"/>
      <c r="N138" s="615"/>
      <c r="O138" s="615">
        <v>3</v>
      </c>
      <c r="P138" s="615"/>
      <c r="Q138" s="617">
        <v>27.29</v>
      </c>
      <c r="R138" s="640">
        <f t="shared" si="6"/>
        <v>27.29</v>
      </c>
      <c r="S138" s="617"/>
      <c r="T138" s="618">
        <f t="shared" si="7"/>
        <v>0</v>
      </c>
    </row>
    <row r="139" spans="1:20" s="619" customFormat="1" ht="12">
      <c r="A139" s="615">
        <v>1</v>
      </c>
      <c r="B139" s="615" t="s">
        <v>141</v>
      </c>
      <c r="C139" s="615"/>
      <c r="D139" s="615" t="s">
        <v>449</v>
      </c>
      <c r="E139" s="615" t="s">
        <v>367</v>
      </c>
      <c r="F139" s="616" t="s">
        <v>450</v>
      </c>
      <c r="G139" s="615" t="s">
        <v>318</v>
      </c>
      <c r="H139" s="615">
        <v>416</v>
      </c>
      <c r="I139" s="617" t="s">
        <v>319</v>
      </c>
      <c r="J139" s="615"/>
      <c r="K139" s="615"/>
      <c r="L139" s="615"/>
      <c r="M139" s="615"/>
      <c r="N139" s="615"/>
      <c r="O139" s="615">
        <v>3</v>
      </c>
      <c r="P139" s="615"/>
      <c r="Q139" s="617">
        <v>457.71</v>
      </c>
      <c r="R139" s="640">
        <f t="shared" si="6"/>
        <v>457.71</v>
      </c>
      <c r="S139" s="617"/>
      <c r="T139" s="618">
        <f t="shared" si="7"/>
        <v>0</v>
      </c>
    </row>
    <row r="140" spans="1:20" s="619" customFormat="1" ht="12">
      <c r="A140" s="615">
        <v>0</v>
      </c>
      <c r="B140" s="615" t="s">
        <v>141</v>
      </c>
      <c r="C140" s="615"/>
      <c r="D140" s="615" t="s">
        <v>411</v>
      </c>
      <c r="E140" s="615" t="s">
        <v>367</v>
      </c>
      <c r="F140" s="616" t="s">
        <v>423</v>
      </c>
      <c r="G140" s="615" t="s">
        <v>318</v>
      </c>
      <c r="H140" s="615">
        <v>416</v>
      </c>
      <c r="I140" s="617" t="s">
        <v>319</v>
      </c>
      <c r="J140" s="615"/>
      <c r="K140" s="615"/>
      <c r="L140" s="615"/>
      <c r="M140" s="615"/>
      <c r="N140" s="615"/>
      <c r="O140" s="615">
        <v>3</v>
      </c>
      <c r="P140" s="615"/>
      <c r="Q140" s="617">
        <v>250</v>
      </c>
      <c r="R140" s="640">
        <f t="shared" si="6"/>
        <v>0</v>
      </c>
      <c r="S140" s="617"/>
      <c r="T140" s="618">
        <f t="shared" si="7"/>
        <v>0</v>
      </c>
    </row>
    <row r="141" spans="1:20" s="619" customFormat="1" ht="34.799999999999997">
      <c r="A141" s="615">
        <v>0</v>
      </c>
      <c r="B141" s="615" t="s">
        <v>141</v>
      </c>
      <c r="C141" s="615"/>
      <c r="D141" s="770" t="s">
        <v>413</v>
      </c>
      <c r="E141" s="615" t="s">
        <v>367</v>
      </c>
      <c r="F141" s="616" t="s">
        <v>412</v>
      </c>
      <c r="G141" s="615" t="s">
        <v>318</v>
      </c>
      <c r="H141" s="615">
        <v>416</v>
      </c>
      <c r="I141" s="617" t="s">
        <v>319</v>
      </c>
      <c r="J141" s="615"/>
      <c r="K141" s="615"/>
      <c r="L141" s="615"/>
      <c r="M141" s="615"/>
      <c r="N141" s="615"/>
      <c r="O141" s="615">
        <v>3</v>
      </c>
      <c r="P141" s="615"/>
      <c r="Q141" s="617">
        <v>205</v>
      </c>
      <c r="R141" s="640">
        <f t="shared" si="6"/>
        <v>0</v>
      </c>
      <c r="S141" s="617"/>
      <c r="T141" s="618">
        <f t="shared" si="7"/>
        <v>0</v>
      </c>
    </row>
    <row r="142" spans="1:20" s="619" customFormat="1" ht="12">
      <c r="A142" s="615">
        <v>0</v>
      </c>
      <c r="B142" s="615" t="s">
        <v>141</v>
      </c>
      <c r="C142" s="615"/>
      <c r="D142" s="615" t="s">
        <v>421</v>
      </c>
      <c r="E142" s="615" t="s">
        <v>367</v>
      </c>
      <c r="F142" s="616" t="s">
        <v>420</v>
      </c>
      <c r="G142" s="615" t="s">
        <v>318</v>
      </c>
      <c r="H142" s="615">
        <v>416</v>
      </c>
      <c r="I142" s="617" t="s">
        <v>319</v>
      </c>
      <c r="J142" s="615"/>
      <c r="K142" s="615"/>
      <c r="L142" s="615"/>
      <c r="M142" s="615"/>
      <c r="N142" s="615"/>
      <c r="O142" s="615">
        <v>3</v>
      </c>
      <c r="P142" s="615"/>
      <c r="Q142" s="617">
        <v>50</v>
      </c>
      <c r="R142" s="640">
        <f t="shared" si="6"/>
        <v>0</v>
      </c>
      <c r="S142" s="617"/>
      <c r="T142" s="618">
        <f t="shared" si="7"/>
        <v>0</v>
      </c>
    </row>
    <row r="143" spans="1:20" s="619" customFormat="1" ht="12">
      <c r="A143" s="615">
        <v>0</v>
      </c>
      <c r="B143" s="615" t="s">
        <v>141</v>
      </c>
      <c r="C143" s="615"/>
      <c r="D143" s="615" t="s">
        <v>415</v>
      </c>
      <c r="E143" s="615" t="s">
        <v>372</v>
      </c>
      <c r="F143" s="616" t="s">
        <v>414</v>
      </c>
      <c r="G143" s="615" t="s">
        <v>318</v>
      </c>
      <c r="H143" s="615">
        <v>416</v>
      </c>
      <c r="I143" s="617" t="s">
        <v>319</v>
      </c>
      <c r="J143" s="615"/>
      <c r="K143" s="615"/>
      <c r="L143" s="615"/>
      <c r="M143" s="615"/>
      <c r="N143" s="615"/>
      <c r="O143" s="615">
        <v>3</v>
      </c>
      <c r="P143" s="615"/>
      <c r="Q143" s="617">
        <v>2.2200000000000002</v>
      </c>
      <c r="R143" s="640">
        <f t="shared" si="6"/>
        <v>0</v>
      </c>
      <c r="S143" s="617"/>
      <c r="T143" s="618">
        <f t="shared" si="7"/>
        <v>0</v>
      </c>
    </row>
    <row r="144" spans="1:20" s="619" customFormat="1" ht="12">
      <c r="A144" s="615">
        <v>0</v>
      </c>
      <c r="B144" s="615" t="s">
        <v>141</v>
      </c>
      <c r="C144" s="615"/>
      <c r="D144" s="615" t="s">
        <v>417</v>
      </c>
      <c r="E144" s="615" t="s">
        <v>372</v>
      </c>
      <c r="F144" s="616" t="s">
        <v>416</v>
      </c>
      <c r="G144" s="615" t="s">
        <v>318</v>
      </c>
      <c r="H144" s="615">
        <v>416</v>
      </c>
      <c r="I144" s="617" t="s">
        <v>319</v>
      </c>
      <c r="J144" s="615"/>
      <c r="K144" s="615"/>
      <c r="L144" s="615"/>
      <c r="M144" s="615"/>
      <c r="N144" s="615"/>
      <c r="O144" s="615">
        <v>3</v>
      </c>
      <c r="P144" s="615"/>
      <c r="Q144" s="617">
        <v>1.05</v>
      </c>
      <c r="R144" s="640">
        <f t="shared" si="6"/>
        <v>0</v>
      </c>
      <c r="S144" s="617"/>
      <c r="T144" s="618">
        <f t="shared" si="7"/>
        <v>0</v>
      </c>
    </row>
    <row r="145" spans="1:42" s="619" customFormat="1" ht="12">
      <c r="A145" s="615">
        <v>1</v>
      </c>
      <c r="B145" s="615" t="s">
        <v>141</v>
      </c>
      <c r="C145" s="615"/>
      <c r="D145" s="615" t="s">
        <v>451</v>
      </c>
      <c r="E145" s="615" t="s">
        <v>422</v>
      </c>
      <c r="F145" s="616"/>
      <c r="G145" s="615" t="s">
        <v>318</v>
      </c>
      <c r="H145" s="615">
        <v>420</v>
      </c>
      <c r="I145" s="617" t="s">
        <v>319</v>
      </c>
      <c r="J145" s="615"/>
      <c r="K145" s="615"/>
      <c r="L145" s="615"/>
      <c r="M145" s="615"/>
      <c r="N145" s="615"/>
      <c r="O145" s="615">
        <v>3</v>
      </c>
      <c r="P145" s="615"/>
      <c r="Q145" s="617">
        <v>50</v>
      </c>
      <c r="R145" s="640">
        <f t="shared" si="6"/>
        <v>50</v>
      </c>
      <c r="S145" s="617"/>
      <c r="T145" s="618">
        <f t="shared" si="7"/>
        <v>0</v>
      </c>
    </row>
    <row r="146" spans="1:42" s="619" customFormat="1" ht="12">
      <c r="A146" s="615">
        <v>20</v>
      </c>
      <c r="B146" s="615" t="s">
        <v>141</v>
      </c>
      <c r="C146" s="615"/>
      <c r="D146" s="615" t="s">
        <v>452</v>
      </c>
      <c r="E146" s="615"/>
      <c r="F146" s="616"/>
      <c r="G146" s="615" t="s">
        <v>318</v>
      </c>
      <c r="H146" s="615">
        <v>420</v>
      </c>
      <c r="I146" s="617" t="s">
        <v>319</v>
      </c>
      <c r="J146" s="615"/>
      <c r="K146" s="615"/>
      <c r="L146" s="615"/>
      <c r="M146" s="615"/>
      <c r="N146" s="615"/>
      <c r="O146" s="615">
        <v>3</v>
      </c>
      <c r="P146" s="615"/>
      <c r="Q146" s="617">
        <v>1</v>
      </c>
      <c r="R146" s="640">
        <f t="shared" si="6"/>
        <v>20</v>
      </c>
      <c r="S146" s="617"/>
      <c r="T146" s="618">
        <f t="shared" si="7"/>
        <v>0</v>
      </c>
    </row>
    <row r="147" spans="1:42" s="619" customFormat="1" ht="12">
      <c r="A147" s="615">
        <v>0</v>
      </c>
      <c r="B147" s="615" t="s">
        <v>141</v>
      </c>
      <c r="C147" s="615"/>
      <c r="D147" s="615" t="s">
        <v>330</v>
      </c>
      <c r="E147" s="615" t="s">
        <v>422</v>
      </c>
      <c r="F147" s="616"/>
      <c r="G147" s="615" t="s">
        <v>318</v>
      </c>
      <c r="H147" s="615">
        <v>420</v>
      </c>
      <c r="I147" s="617" t="s">
        <v>319</v>
      </c>
      <c r="J147" s="615"/>
      <c r="K147" s="615"/>
      <c r="L147" s="615"/>
      <c r="M147" s="615"/>
      <c r="N147" s="615"/>
      <c r="O147" s="615">
        <v>3</v>
      </c>
      <c r="P147" s="615"/>
      <c r="Q147" s="617">
        <v>250</v>
      </c>
      <c r="R147" s="640">
        <f t="shared" si="6"/>
        <v>0</v>
      </c>
      <c r="S147" s="617"/>
      <c r="T147" s="618">
        <f t="shared" si="7"/>
        <v>0</v>
      </c>
    </row>
    <row r="148" spans="1:42" s="619" customFormat="1" ht="12">
      <c r="A148" s="615">
        <v>0</v>
      </c>
      <c r="B148" s="615" t="s">
        <v>141</v>
      </c>
      <c r="C148" s="615"/>
      <c r="D148" s="615" t="s">
        <v>330</v>
      </c>
      <c r="E148" s="615" t="s">
        <v>422</v>
      </c>
      <c r="F148" s="616"/>
      <c r="G148" s="615" t="s">
        <v>318</v>
      </c>
      <c r="H148" s="615">
        <v>420</v>
      </c>
      <c r="I148" s="617" t="s">
        <v>319</v>
      </c>
      <c r="J148" s="615"/>
      <c r="K148" s="615"/>
      <c r="L148" s="615"/>
      <c r="M148" s="615"/>
      <c r="N148" s="615"/>
      <c r="O148" s="615">
        <v>3</v>
      </c>
      <c r="P148" s="615"/>
      <c r="Q148" s="617">
        <v>250</v>
      </c>
      <c r="R148" s="640">
        <f t="shared" si="6"/>
        <v>0</v>
      </c>
      <c r="S148" s="617"/>
      <c r="T148" s="618">
        <f t="shared" si="7"/>
        <v>0</v>
      </c>
    </row>
    <row r="149" spans="1:42" s="619" customFormat="1" ht="12">
      <c r="A149" s="615">
        <v>0</v>
      </c>
      <c r="B149" s="615" t="s">
        <v>141</v>
      </c>
      <c r="C149" s="615"/>
      <c r="D149" s="615" t="s">
        <v>330</v>
      </c>
      <c r="E149" s="615" t="s">
        <v>422</v>
      </c>
      <c r="F149" s="616"/>
      <c r="G149" s="615" t="s">
        <v>318</v>
      </c>
      <c r="H149" s="615">
        <v>420</v>
      </c>
      <c r="I149" s="617" t="s">
        <v>319</v>
      </c>
      <c r="J149" s="615"/>
      <c r="K149" s="615"/>
      <c r="L149" s="615"/>
      <c r="M149" s="615"/>
      <c r="N149" s="615"/>
      <c r="O149" s="615">
        <v>3</v>
      </c>
      <c r="P149" s="615"/>
      <c r="Q149" s="617">
        <v>250</v>
      </c>
      <c r="R149" s="640">
        <f t="shared" si="6"/>
        <v>0</v>
      </c>
      <c r="S149" s="617"/>
      <c r="T149" s="618">
        <f t="shared" si="7"/>
        <v>0</v>
      </c>
    </row>
    <row r="150" spans="1:42" s="619" customFormat="1" ht="12">
      <c r="A150" s="615">
        <v>0</v>
      </c>
      <c r="B150" s="615" t="s">
        <v>141</v>
      </c>
      <c r="C150" s="615"/>
      <c r="D150" s="615" t="s">
        <v>330</v>
      </c>
      <c r="E150" s="615" t="s">
        <v>422</v>
      </c>
      <c r="F150" s="616"/>
      <c r="G150" s="615" t="s">
        <v>318</v>
      </c>
      <c r="H150" s="615">
        <v>420</v>
      </c>
      <c r="I150" s="617" t="s">
        <v>319</v>
      </c>
      <c r="J150" s="615"/>
      <c r="K150" s="615"/>
      <c r="L150" s="615"/>
      <c r="M150" s="615"/>
      <c r="N150" s="615"/>
      <c r="O150" s="615">
        <v>3</v>
      </c>
      <c r="P150" s="615"/>
      <c r="Q150" s="617">
        <v>250</v>
      </c>
      <c r="R150" s="640">
        <f t="shared" si="6"/>
        <v>0</v>
      </c>
      <c r="S150" s="617"/>
      <c r="T150" s="618">
        <f t="shared" si="7"/>
        <v>0</v>
      </c>
    </row>
    <row r="151" spans="1:42" s="619" customFormat="1" ht="12">
      <c r="A151" s="615"/>
      <c r="B151" s="615"/>
      <c r="C151" s="615"/>
      <c r="D151" s="615"/>
      <c r="E151" s="615"/>
      <c r="F151" s="616"/>
      <c r="G151" s="615"/>
      <c r="H151" s="615"/>
      <c r="I151" s="617"/>
      <c r="J151" s="615"/>
      <c r="K151" s="615"/>
      <c r="L151" s="615"/>
      <c r="M151" s="615"/>
      <c r="N151" s="615"/>
      <c r="O151" s="615"/>
      <c r="P151" s="615"/>
      <c r="Q151" s="617"/>
      <c r="R151" s="640"/>
      <c r="S151" s="617"/>
      <c r="T151" s="618"/>
    </row>
    <row r="152" spans="1:42" s="619" customFormat="1" ht="12.6" thickBot="1">
      <c r="A152" s="641" t="s">
        <v>145</v>
      </c>
      <c r="B152" s="642">
        <f>(R151+T151)</f>
        <v>0</v>
      </c>
      <c r="C152" s="643"/>
      <c r="D152" s="643"/>
      <c r="E152" s="643"/>
      <c r="F152" s="644"/>
      <c r="G152" s="643" t="s">
        <v>146</v>
      </c>
      <c r="H152" s="643"/>
      <c r="I152" s="645"/>
      <c r="J152" s="643"/>
      <c r="K152" s="643" t="s">
        <v>8</v>
      </c>
      <c r="L152" s="646" t="s">
        <v>143</v>
      </c>
      <c r="M152" s="646"/>
      <c r="N152" s="646"/>
      <c r="O152" s="646"/>
      <c r="P152" s="646"/>
      <c r="Q152" s="647"/>
      <c r="R152" s="648">
        <f>SUM(R110:R151)</f>
        <v>1061.9899999999998</v>
      </c>
      <c r="S152" s="643"/>
      <c r="T152" s="648">
        <f>SUM(T110:T151)</f>
        <v>0</v>
      </c>
      <c r="U152" s="649"/>
      <c r="V152" s="649"/>
      <c r="W152" s="649"/>
      <c r="X152" s="649"/>
      <c r="Y152" s="649"/>
      <c r="Z152" s="649"/>
      <c r="AA152" s="649"/>
      <c r="AB152" s="649"/>
      <c r="AC152" s="649"/>
      <c r="AD152" s="649"/>
      <c r="AE152" s="649"/>
      <c r="AF152" s="649"/>
      <c r="AG152" s="649"/>
      <c r="AH152" s="649"/>
      <c r="AI152" s="649"/>
      <c r="AJ152" s="649"/>
      <c r="AK152" s="649"/>
      <c r="AL152" s="649"/>
      <c r="AM152" s="649"/>
      <c r="AN152" s="649"/>
      <c r="AO152" s="649"/>
      <c r="AP152" s="649"/>
    </row>
    <row r="153" spans="1:42" s="619" customFormat="1" ht="12" thickTop="1">
      <c r="A153" s="64"/>
      <c r="B153" s="41"/>
      <c r="C153" s="64"/>
      <c r="E153" s="42" t="s">
        <v>138</v>
      </c>
      <c r="F153" s="42" t="s">
        <v>139</v>
      </c>
      <c r="G153" s="64"/>
      <c r="H153" s="64"/>
      <c r="I153" s="64"/>
      <c r="J153" s="64"/>
      <c r="K153" s="64" t="s">
        <v>140</v>
      </c>
      <c r="L153" s="64"/>
      <c r="M153" s="64"/>
      <c r="N153" s="64"/>
      <c r="O153" s="65"/>
      <c r="P153" s="64"/>
      <c r="Q153" s="64"/>
      <c r="R153" s="64"/>
      <c r="S153" s="64"/>
      <c r="T153" s="41"/>
      <c r="AG153" s="620" t="s">
        <v>286</v>
      </c>
      <c r="AH153" s="620" t="s">
        <v>287</v>
      </c>
      <c r="AI153" s="620" t="s">
        <v>288</v>
      </c>
      <c r="AJ153" s="620" t="s">
        <v>289</v>
      </c>
      <c r="AK153" s="620" t="s">
        <v>290</v>
      </c>
      <c r="AM153" s="611" t="s">
        <v>299</v>
      </c>
      <c r="AN153" s="612" t="s">
        <v>300</v>
      </c>
      <c r="AO153" s="621" t="s">
        <v>296</v>
      </c>
    </row>
    <row r="154" spans="1:42" s="619" customFormat="1" ht="12" customHeight="1">
      <c r="A154" s="622">
        <v>1</v>
      </c>
      <c r="B154" s="773" t="s">
        <v>141</v>
      </c>
      <c r="C154" s="624"/>
      <c r="D154" s="625" t="s">
        <v>303</v>
      </c>
      <c r="E154" s="626">
        <f>IF(AND($A154=0,$A$1="DIF"),0, ROUND(ROUND(($R173*$S$2+($T173*$T$2))/A154,2)*$C$2,2))</f>
        <v>0</v>
      </c>
      <c r="F154" s="627">
        <f>ROUND($A154*$E154,2)</f>
        <v>0</v>
      </c>
      <c r="G154" s="628" t="s">
        <v>142</v>
      </c>
      <c r="H154" s="616"/>
      <c r="I154" s="629"/>
      <c r="J154" s="616"/>
      <c r="K154" s="616" t="s">
        <v>3</v>
      </c>
      <c r="L154" s="630" t="s">
        <v>143</v>
      </c>
      <c r="M154" s="630"/>
      <c r="N154" s="630"/>
      <c r="O154" s="630"/>
      <c r="P154" s="630"/>
      <c r="Q154" s="64"/>
      <c r="T154" s="631" t="str">
        <f>IF(AND($R173=0,$T173=0),"0.00","mu :" &amp; ROUND($F154/$C$2/($R173+$T173*$D$9),2))</f>
        <v>0.00</v>
      </c>
      <c r="W154" s="632"/>
      <c r="AG154" s="560">
        <f>IF($E154=0,0,ROUND($R173*$S$2*$C$2/$A154,2))</f>
        <v>0</v>
      </c>
      <c r="AH154" s="560">
        <f>$AG154*$A154</f>
        <v>0</v>
      </c>
      <c r="AI154" s="633">
        <f>$E154-$AG154</f>
        <v>0</v>
      </c>
      <c r="AJ154" s="633">
        <f>$A154*$AI154</f>
        <v>0</v>
      </c>
      <c r="AK154" s="634">
        <f>ROUND(($AG154+$AI154)*$A154,2)</f>
        <v>0</v>
      </c>
      <c r="AM154" s="635">
        <f>ROUND(R173,2)</f>
        <v>0</v>
      </c>
      <c r="AN154" s="636">
        <f>ROUND(T173,2)</f>
        <v>0</v>
      </c>
      <c r="AO154" s="637">
        <f>ROUND(AM154+AN154,2)*A154</f>
        <v>0</v>
      </c>
    </row>
    <row r="155" spans="1:42" s="619" customFormat="1" ht="13.2">
      <c r="A155" s="624"/>
      <c r="B155" s="774"/>
      <c r="C155" s="624"/>
      <c r="D155" s="778" t="s">
        <v>468</v>
      </c>
      <c r="F155" s="616"/>
      <c r="G155" s="3"/>
      <c r="H155" s="616"/>
      <c r="I155" s="629"/>
      <c r="J155" s="616"/>
      <c r="K155" s="616" t="s">
        <v>144</v>
      </c>
      <c r="L155" s="616"/>
      <c r="M155" s="616"/>
      <c r="N155" s="616"/>
      <c r="O155" s="616"/>
      <c r="P155" s="616"/>
      <c r="Q155" s="64"/>
      <c r="R155" s="638"/>
      <c r="S155" s="639"/>
      <c r="T155" s="616"/>
    </row>
    <row r="156" spans="1:42" s="619" customFormat="1" ht="12">
      <c r="A156" s="64"/>
      <c r="B156" s="615"/>
      <c r="C156" s="615"/>
      <c r="D156" s="615"/>
      <c r="E156" s="615"/>
      <c r="F156" s="616"/>
      <c r="G156" s="615"/>
      <c r="H156" s="615"/>
      <c r="I156" s="617"/>
      <c r="J156" s="615"/>
      <c r="K156" s="615"/>
      <c r="L156" s="615"/>
      <c r="M156" s="615"/>
      <c r="N156" s="615"/>
      <c r="O156" s="615"/>
      <c r="P156" s="615"/>
      <c r="Q156" s="617"/>
      <c r="R156" s="640">
        <f t="shared" ref="R156:R170" si="8">$A156*Q156</f>
        <v>0</v>
      </c>
      <c r="S156" s="617"/>
      <c r="T156" s="618">
        <f t="shared" ref="T156:T170" si="9">$A156*S156*$T$1</f>
        <v>0</v>
      </c>
    </row>
    <row r="157" spans="1:42" s="619" customFormat="1" ht="46.2">
      <c r="A157" s="615">
        <v>1</v>
      </c>
      <c r="B157" s="615" t="s">
        <v>141</v>
      </c>
      <c r="C157" s="615"/>
      <c r="D157" s="770" t="s">
        <v>469</v>
      </c>
      <c r="E157" s="615" t="s">
        <v>367</v>
      </c>
      <c r="F157" s="616" t="s">
        <v>470</v>
      </c>
      <c r="G157" s="615" t="s">
        <v>318</v>
      </c>
      <c r="H157" s="615">
        <v>410</v>
      </c>
      <c r="I157" s="617" t="s">
        <v>319</v>
      </c>
      <c r="J157" s="615"/>
      <c r="K157" s="615"/>
      <c r="L157" s="615"/>
      <c r="M157" s="615"/>
      <c r="N157" s="615"/>
      <c r="O157" s="615">
        <v>3</v>
      </c>
      <c r="P157" s="615"/>
      <c r="Q157" s="617"/>
      <c r="R157" s="640">
        <f t="shared" si="8"/>
        <v>0</v>
      </c>
      <c r="S157" s="617"/>
      <c r="T157" s="618">
        <f t="shared" si="9"/>
        <v>0</v>
      </c>
    </row>
    <row r="158" spans="1:42" s="619" customFormat="1" ht="12">
      <c r="A158" s="615">
        <v>1</v>
      </c>
      <c r="B158" s="615" t="s">
        <v>141</v>
      </c>
      <c r="C158" s="615"/>
      <c r="D158" s="770" t="s">
        <v>471</v>
      </c>
      <c r="E158" s="615" t="s">
        <v>367</v>
      </c>
      <c r="F158" s="616" t="s">
        <v>472</v>
      </c>
      <c r="G158" s="615" t="s">
        <v>318</v>
      </c>
      <c r="H158" s="615">
        <v>416</v>
      </c>
      <c r="I158" s="617" t="s">
        <v>319</v>
      </c>
      <c r="J158" s="615"/>
      <c r="K158" s="615"/>
      <c r="L158" s="615"/>
      <c r="M158" s="615"/>
      <c r="N158" s="615"/>
      <c r="O158" s="615">
        <v>3</v>
      </c>
      <c r="P158" s="615"/>
      <c r="Q158" s="617"/>
      <c r="R158" s="640">
        <f t="shared" si="8"/>
        <v>0</v>
      </c>
      <c r="S158" s="617"/>
      <c r="T158" s="618">
        <f t="shared" si="9"/>
        <v>0</v>
      </c>
    </row>
    <row r="159" spans="1:42" s="619" customFormat="1" ht="12">
      <c r="A159" s="615"/>
      <c r="B159" s="615"/>
      <c r="C159" s="615"/>
      <c r="D159" s="770"/>
      <c r="E159" s="615"/>
      <c r="F159" s="616"/>
      <c r="G159" s="615" t="s">
        <v>318</v>
      </c>
      <c r="H159" s="615">
        <v>416</v>
      </c>
      <c r="I159" s="617" t="s">
        <v>319</v>
      </c>
      <c r="J159" s="615"/>
      <c r="K159" s="615"/>
      <c r="L159" s="615"/>
      <c r="M159" s="615"/>
      <c r="N159" s="615"/>
      <c r="O159" s="615">
        <v>3</v>
      </c>
      <c r="P159" s="615"/>
      <c r="Q159" s="617"/>
      <c r="R159" s="640">
        <f t="shared" si="8"/>
        <v>0</v>
      </c>
      <c r="S159" s="617"/>
      <c r="T159" s="618">
        <f t="shared" si="9"/>
        <v>0</v>
      </c>
    </row>
    <row r="160" spans="1:42" s="619" customFormat="1" ht="34.799999999999997">
      <c r="A160" s="615">
        <v>1</v>
      </c>
      <c r="B160" s="615" t="s">
        <v>141</v>
      </c>
      <c r="C160" s="615"/>
      <c r="D160" s="770" t="s">
        <v>411</v>
      </c>
      <c r="E160" s="615" t="s">
        <v>367</v>
      </c>
      <c r="F160" s="616" t="s">
        <v>423</v>
      </c>
      <c r="G160" s="615"/>
      <c r="H160" s="615">
        <v>410</v>
      </c>
      <c r="I160" s="617" t="s">
        <v>319</v>
      </c>
      <c r="J160" s="615"/>
      <c r="K160" s="615"/>
      <c r="L160" s="615"/>
      <c r="M160" s="615"/>
      <c r="N160" s="615"/>
      <c r="O160" s="615">
        <v>3</v>
      </c>
      <c r="P160" s="615"/>
      <c r="Q160" s="617"/>
      <c r="R160" s="640">
        <f t="shared" si="8"/>
        <v>0</v>
      </c>
      <c r="S160" s="617"/>
      <c r="T160" s="618">
        <f t="shared" si="9"/>
        <v>0</v>
      </c>
    </row>
    <row r="161" spans="1:41" s="619" customFormat="1" ht="34.799999999999997">
      <c r="A161" s="615">
        <v>1</v>
      </c>
      <c r="B161" s="615" t="s">
        <v>141</v>
      </c>
      <c r="C161" s="615"/>
      <c r="D161" s="770" t="s">
        <v>413</v>
      </c>
      <c r="E161" s="615" t="s">
        <v>367</v>
      </c>
      <c r="F161" s="616" t="s">
        <v>412</v>
      </c>
      <c r="G161" s="615" t="s">
        <v>318</v>
      </c>
      <c r="H161" s="615">
        <v>416</v>
      </c>
      <c r="I161" s="617" t="s">
        <v>319</v>
      </c>
      <c r="J161" s="615"/>
      <c r="K161" s="615"/>
      <c r="L161" s="615"/>
      <c r="M161" s="615"/>
      <c r="N161" s="615"/>
      <c r="O161" s="615">
        <v>3</v>
      </c>
      <c r="P161" s="615"/>
      <c r="Q161" s="617"/>
      <c r="R161" s="640">
        <f t="shared" si="8"/>
        <v>0</v>
      </c>
      <c r="S161" s="617"/>
      <c r="T161" s="618">
        <f t="shared" si="9"/>
        <v>0</v>
      </c>
    </row>
    <row r="162" spans="1:41" s="619" customFormat="1" ht="12">
      <c r="A162" s="615">
        <v>1</v>
      </c>
      <c r="B162" s="615" t="s">
        <v>141</v>
      </c>
      <c r="C162" s="615"/>
      <c r="D162" s="770" t="s">
        <v>421</v>
      </c>
      <c r="E162" s="615" t="s">
        <v>367</v>
      </c>
      <c r="F162" s="616" t="s">
        <v>420</v>
      </c>
      <c r="G162" s="615" t="s">
        <v>318</v>
      </c>
      <c r="H162" s="615">
        <v>416</v>
      </c>
      <c r="I162" s="617" t="s">
        <v>319</v>
      </c>
      <c r="J162" s="615"/>
      <c r="K162" s="615"/>
      <c r="L162" s="615"/>
      <c r="M162" s="615"/>
      <c r="N162" s="615"/>
      <c r="O162" s="615">
        <v>3</v>
      </c>
      <c r="P162" s="615"/>
      <c r="Q162" s="617"/>
      <c r="R162" s="640">
        <f t="shared" si="8"/>
        <v>0</v>
      </c>
      <c r="S162" s="617"/>
      <c r="T162" s="618">
        <f t="shared" si="9"/>
        <v>0</v>
      </c>
    </row>
    <row r="163" spans="1:41" s="619" customFormat="1" ht="12">
      <c r="A163" s="615"/>
      <c r="B163" s="615"/>
      <c r="C163" s="615"/>
      <c r="D163" s="770"/>
      <c r="E163" s="615"/>
      <c r="F163" s="616"/>
      <c r="G163" s="615" t="s">
        <v>318</v>
      </c>
      <c r="H163" s="615">
        <v>416</v>
      </c>
      <c r="I163" s="617" t="s">
        <v>319</v>
      </c>
      <c r="J163" s="615"/>
      <c r="K163" s="615"/>
      <c r="L163" s="615"/>
      <c r="M163" s="615"/>
      <c r="N163" s="615"/>
      <c r="O163" s="615">
        <v>3</v>
      </c>
      <c r="P163" s="615"/>
      <c r="Q163" s="617"/>
      <c r="R163" s="640">
        <f t="shared" si="8"/>
        <v>0</v>
      </c>
      <c r="S163" s="617"/>
      <c r="T163" s="618">
        <f t="shared" si="9"/>
        <v>0</v>
      </c>
    </row>
    <row r="164" spans="1:41" s="619" customFormat="1" ht="12">
      <c r="A164" s="615">
        <v>1</v>
      </c>
      <c r="B164" s="615" t="s">
        <v>141</v>
      </c>
      <c r="C164" s="615"/>
      <c r="D164" s="770" t="s">
        <v>473</v>
      </c>
      <c r="E164" s="615" t="s">
        <v>338</v>
      </c>
      <c r="F164" s="616" t="s">
        <v>474</v>
      </c>
      <c r="G164" s="615" t="s">
        <v>318</v>
      </c>
      <c r="H164" s="615">
        <v>416</v>
      </c>
      <c r="I164" s="617" t="s">
        <v>319</v>
      </c>
      <c r="J164" s="615"/>
      <c r="K164" s="615"/>
      <c r="L164" s="615"/>
      <c r="M164" s="615"/>
      <c r="N164" s="615"/>
      <c r="O164" s="615">
        <v>3</v>
      </c>
      <c r="P164" s="615"/>
      <c r="Q164" s="617"/>
      <c r="R164" s="640">
        <f t="shared" si="8"/>
        <v>0</v>
      </c>
      <c r="S164" s="617"/>
      <c r="T164" s="618">
        <f t="shared" si="9"/>
        <v>0</v>
      </c>
    </row>
    <row r="165" spans="1:41" s="619" customFormat="1" ht="12">
      <c r="A165" s="615">
        <v>1</v>
      </c>
      <c r="B165" s="615" t="s">
        <v>141</v>
      </c>
      <c r="C165" s="615"/>
      <c r="D165" s="770" t="s">
        <v>475</v>
      </c>
      <c r="E165" s="615" t="s">
        <v>338</v>
      </c>
      <c r="F165" s="616" t="s">
        <v>476</v>
      </c>
      <c r="G165" s="615" t="s">
        <v>318</v>
      </c>
      <c r="H165" s="615">
        <v>416</v>
      </c>
      <c r="I165" s="617" t="s">
        <v>319</v>
      </c>
      <c r="J165" s="615"/>
      <c r="K165" s="615"/>
      <c r="L165" s="615"/>
      <c r="M165" s="615"/>
      <c r="N165" s="615"/>
      <c r="O165" s="615">
        <v>3</v>
      </c>
      <c r="P165" s="615"/>
      <c r="Q165" s="617"/>
      <c r="R165" s="640">
        <f t="shared" si="8"/>
        <v>0</v>
      </c>
      <c r="S165" s="617"/>
      <c r="T165" s="618">
        <f t="shared" si="9"/>
        <v>0</v>
      </c>
    </row>
    <row r="166" spans="1:41" s="619" customFormat="1" ht="12">
      <c r="A166" s="615">
        <v>1</v>
      </c>
      <c r="B166" s="615" t="s">
        <v>141</v>
      </c>
      <c r="C166" s="615"/>
      <c r="D166" s="770" t="s">
        <v>477</v>
      </c>
      <c r="E166" s="615" t="s">
        <v>338</v>
      </c>
      <c r="F166" s="616" t="s">
        <v>478</v>
      </c>
      <c r="G166" s="615" t="s">
        <v>318</v>
      </c>
      <c r="H166" s="615">
        <v>416</v>
      </c>
      <c r="I166" s="617" t="s">
        <v>319</v>
      </c>
      <c r="J166" s="615"/>
      <c r="K166" s="615"/>
      <c r="L166" s="615"/>
      <c r="M166" s="615"/>
      <c r="N166" s="615"/>
      <c r="O166" s="615">
        <v>3</v>
      </c>
      <c r="P166" s="615"/>
      <c r="Q166" s="617"/>
      <c r="R166" s="640">
        <f t="shared" si="8"/>
        <v>0</v>
      </c>
      <c r="S166" s="617"/>
      <c r="T166" s="618">
        <f t="shared" si="9"/>
        <v>0</v>
      </c>
    </row>
    <row r="167" spans="1:41" s="619" customFormat="1" ht="12">
      <c r="A167" s="615">
        <v>1</v>
      </c>
      <c r="B167" s="615" t="s">
        <v>141</v>
      </c>
      <c r="C167" s="615"/>
      <c r="D167" s="770" t="s">
        <v>479</v>
      </c>
      <c r="E167" s="615" t="s">
        <v>338</v>
      </c>
      <c r="F167" s="616" t="s">
        <v>456</v>
      </c>
      <c r="G167" s="615" t="s">
        <v>318</v>
      </c>
      <c r="H167" s="615">
        <v>416</v>
      </c>
      <c r="I167" s="617" t="s">
        <v>319</v>
      </c>
      <c r="J167" s="615"/>
      <c r="K167" s="615"/>
      <c r="L167" s="615"/>
      <c r="M167" s="615"/>
      <c r="N167" s="615"/>
      <c r="O167" s="615">
        <v>3</v>
      </c>
      <c r="P167" s="615"/>
      <c r="Q167" s="617"/>
      <c r="R167" s="640">
        <f t="shared" si="8"/>
        <v>0</v>
      </c>
      <c r="S167" s="617"/>
      <c r="T167" s="618">
        <f t="shared" si="9"/>
        <v>0</v>
      </c>
    </row>
    <row r="168" spans="1:41" s="619" customFormat="1" ht="12">
      <c r="A168" s="615">
        <v>1</v>
      </c>
      <c r="B168" s="615" t="s">
        <v>141</v>
      </c>
      <c r="C168" s="615"/>
      <c r="D168" s="770" t="s">
        <v>480</v>
      </c>
      <c r="E168" s="615" t="s">
        <v>338</v>
      </c>
      <c r="F168" s="616" t="s">
        <v>481</v>
      </c>
      <c r="G168" s="615" t="s">
        <v>318</v>
      </c>
      <c r="H168" s="615">
        <v>416</v>
      </c>
      <c r="I168" s="617" t="s">
        <v>319</v>
      </c>
      <c r="J168" s="615"/>
      <c r="K168" s="615"/>
      <c r="L168" s="615"/>
      <c r="M168" s="615"/>
      <c r="N168" s="615"/>
      <c r="O168" s="615">
        <v>3</v>
      </c>
      <c r="P168" s="615"/>
      <c r="Q168" s="617"/>
      <c r="R168" s="640">
        <f t="shared" si="8"/>
        <v>0</v>
      </c>
      <c r="S168" s="617"/>
      <c r="T168" s="618">
        <f t="shared" si="9"/>
        <v>0</v>
      </c>
    </row>
    <row r="169" spans="1:41" s="619" customFormat="1" ht="12">
      <c r="A169" s="615">
        <v>1</v>
      </c>
      <c r="B169" s="615" t="s">
        <v>141</v>
      </c>
      <c r="C169" s="615"/>
      <c r="D169" s="770" t="s">
        <v>482</v>
      </c>
      <c r="E169" s="615" t="s">
        <v>338</v>
      </c>
      <c r="F169" s="616"/>
      <c r="G169" s="615" t="s">
        <v>318</v>
      </c>
      <c r="H169" s="615">
        <v>416</v>
      </c>
      <c r="I169" s="617" t="s">
        <v>319</v>
      </c>
      <c r="J169" s="615"/>
      <c r="K169" s="615"/>
      <c r="L169" s="615"/>
      <c r="M169" s="615"/>
      <c r="N169" s="615"/>
      <c r="O169" s="615">
        <v>3</v>
      </c>
      <c r="P169" s="615"/>
      <c r="Q169" s="617"/>
      <c r="R169" s="640">
        <f t="shared" si="8"/>
        <v>0</v>
      </c>
      <c r="S169" s="617"/>
      <c r="T169" s="618">
        <f t="shared" si="9"/>
        <v>0</v>
      </c>
    </row>
    <row r="170" spans="1:41" s="619" customFormat="1" ht="12">
      <c r="A170" s="615">
        <v>1</v>
      </c>
      <c r="B170" s="615" t="s">
        <v>141</v>
      </c>
      <c r="C170" s="615"/>
      <c r="D170" s="770" t="s">
        <v>483</v>
      </c>
      <c r="E170" s="615" t="s">
        <v>338</v>
      </c>
      <c r="F170" s="616"/>
      <c r="G170" s="615" t="s">
        <v>318</v>
      </c>
      <c r="H170" s="615">
        <v>416</v>
      </c>
      <c r="I170" s="617" t="s">
        <v>319</v>
      </c>
      <c r="J170" s="615"/>
      <c r="K170" s="615"/>
      <c r="L170" s="615"/>
      <c r="M170" s="615"/>
      <c r="N170" s="615"/>
      <c r="O170" s="615">
        <v>3</v>
      </c>
      <c r="P170" s="615"/>
      <c r="Q170" s="617"/>
      <c r="R170" s="640">
        <f t="shared" si="8"/>
        <v>0</v>
      </c>
      <c r="S170" s="617"/>
      <c r="T170" s="618">
        <f t="shared" si="9"/>
        <v>0</v>
      </c>
    </row>
    <row r="171" spans="1:41" s="619" customFormat="1" ht="12">
      <c r="A171" s="615">
        <v>1</v>
      </c>
      <c r="B171" s="615" t="s">
        <v>141</v>
      </c>
      <c r="C171" s="615"/>
      <c r="D171" s="770" t="s">
        <v>484</v>
      </c>
      <c r="E171" s="615" t="s">
        <v>338</v>
      </c>
      <c r="F171" s="616"/>
      <c r="G171" s="615" t="s">
        <v>318</v>
      </c>
      <c r="H171" s="615">
        <v>416</v>
      </c>
      <c r="I171" s="617" t="s">
        <v>319</v>
      </c>
      <c r="J171" s="615"/>
      <c r="K171" s="615"/>
      <c r="L171" s="615"/>
      <c r="M171" s="615"/>
      <c r="N171" s="615"/>
      <c r="O171" s="615">
        <v>3</v>
      </c>
      <c r="P171" s="615"/>
      <c r="Q171" s="617"/>
      <c r="R171" s="640"/>
      <c r="S171" s="617"/>
      <c r="T171" s="618"/>
    </row>
    <row r="172" spans="1:41" s="619" customFormat="1" ht="12">
      <c r="A172" s="615"/>
      <c r="B172" s="615"/>
      <c r="C172" s="615"/>
      <c r="D172" s="615"/>
      <c r="E172" s="615"/>
      <c r="F172" s="616"/>
      <c r="G172" s="615"/>
      <c r="H172" s="615"/>
      <c r="I172" s="617"/>
      <c r="J172" s="615"/>
      <c r="K172" s="615"/>
      <c r="L172" s="615"/>
      <c r="M172" s="615"/>
      <c r="N172" s="615"/>
      <c r="O172" s="615"/>
      <c r="P172" s="615"/>
      <c r="Q172" s="617"/>
      <c r="R172" s="640">
        <f>$A172*Q172</f>
        <v>0</v>
      </c>
      <c r="S172" s="617"/>
      <c r="T172" s="618">
        <f>$A172*S172*$T$1</f>
        <v>0</v>
      </c>
    </row>
    <row r="173" spans="1:41" s="619" customFormat="1" ht="12.6" thickBot="1">
      <c r="A173" s="641" t="s">
        <v>145</v>
      </c>
      <c r="B173" s="642">
        <f>(R172+T172)</f>
        <v>0</v>
      </c>
      <c r="C173" s="643"/>
      <c r="D173" s="643"/>
      <c r="E173" s="643"/>
      <c r="F173" s="644"/>
      <c r="G173" s="643" t="s">
        <v>146</v>
      </c>
      <c r="H173" s="643"/>
      <c r="I173" s="645"/>
      <c r="J173" s="643"/>
      <c r="K173" s="643" t="s">
        <v>3</v>
      </c>
      <c r="L173" s="646" t="s">
        <v>143</v>
      </c>
      <c r="M173" s="646"/>
      <c r="N173" s="646"/>
      <c r="O173" s="646"/>
      <c r="P173" s="646"/>
      <c r="Q173" s="647"/>
      <c r="R173" s="648">
        <f>SUM(R155:R172)</f>
        <v>0</v>
      </c>
      <c r="S173" s="643"/>
      <c r="T173" s="648">
        <f>SUM(T155:T172)</f>
        <v>0</v>
      </c>
      <c r="U173" s="649"/>
      <c r="V173" s="649"/>
      <c r="W173" s="649"/>
      <c r="X173" s="649"/>
      <c r="Y173" s="649"/>
      <c r="Z173" s="649"/>
      <c r="AA173" s="649"/>
      <c r="AB173" s="649"/>
      <c r="AC173" s="649"/>
      <c r="AD173" s="649"/>
      <c r="AE173" s="649"/>
      <c r="AF173" s="649"/>
      <c r="AG173" s="649"/>
      <c r="AH173" s="649"/>
      <c r="AI173" s="649"/>
      <c r="AJ173" s="649"/>
      <c r="AK173" s="649"/>
      <c r="AL173" s="649"/>
      <c r="AM173" s="649"/>
      <c r="AN173" s="649"/>
      <c r="AO173" s="649"/>
    </row>
    <row r="174" spans="1:41" s="619" customFormat="1" ht="12" thickTop="1">
      <c r="A174" s="64"/>
      <c r="B174" s="41"/>
      <c r="C174" s="64"/>
      <c r="E174" s="42" t="s">
        <v>138</v>
      </c>
      <c r="F174" s="42" t="s">
        <v>139</v>
      </c>
      <c r="G174" s="64"/>
      <c r="H174" s="64"/>
      <c r="I174" s="64"/>
      <c r="J174" s="64"/>
      <c r="K174" s="64" t="s">
        <v>140</v>
      </c>
      <c r="L174" s="64"/>
      <c r="M174" s="64"/>
      <c r="N174" s="64"/>
      <c r="O174" s="65"/>
      <c r="P174" s="64"/>
      <c r="Q174" s="64"/>
      <c r="R174" s="64"/>
      <c r="S174" s="64"/>
      <c r="T174" s="41"/>
      <c r="AG174" s="620" t="s">
        <v>286</v>
      </c>
      <c r="AH174" s="620" t="s">
        <v>287</v>
      </c>
      <c r="AI174" s="620" t="s">
        <v>288</v>
      </c>
      <c r="AJ174" s="620" t="s">
        <v>289</v>
      </c>
      <c r="AK174" s="620" t="s">
        <v>290</v>
      </c>
      <c r="AM174" s="611" t="s">
        <v>299</v>
      </c>
      <c r="AN174" s="612" t="s">
        <v>300</v>
      </c>
      <c r="AO174" s="621" t="s">
        <v>296</v>
      </c>
    </row>
    <row r="175" spans="1:41" s="619" customFormat="1" ht="12" customHeight="1">
      <c r="A175" s="622">
        <v>1</v>
      </c>
      <c r="B175" s="773" t="s">
        <v>141</v>
      </c>
      <c r="C175" s="624"/>
      <c r="D175" s="625" t="s">
        <v>303</v>
      </c>
      <c r="E175" s="626">
        <f>IF(AND($A175=0,$A$1="DIF"),0, ROUND(ROUND(($R189*$S$2+($T189*$T$2))/A175,2)*$C$2,2))</f>
        <v>284.92</v>
      </c>
      <c r="F175" s="627">
        <f>ROUND($A175*$E175,2)</f>
        <v>284.92</v>
      </c>
      <c r="G175" s="628" t="s">
        <v>142</v>
      </c>
      <c r="H175" s="616"/>
      <c r="I175" s="629"/>
      <c r="J175" s="616"/>
      <c r="K175" s="616" t="s">
        <v>3</v>
      </c>
      <c r="L175" s="630" t="s">
        <v>143</v>
      </c>
      <c r="M175" s="630"/>
      <c r="N175" s="630"/>
      <c r="O175" s="630"/>
      <c r="P175" s="630"/>
      <c r="Q175" s="64"/>
      <c r="T175" s="631" t="str">
        <f>IF(AND($R189=0,$T189=0),"0.00","mu :" &amp; ROUND($F175/$C$2/($R189+$T189*$D$9),2))</f>
        <v>mu :1</v>
      </c>
      <c r="W175" s="632"/>
      <c r="AG175" s="560">
        <f>IF($E175=0,0,ROUND($R189*$S$2*$C$2/$A175,2))</f>
        <v>284.92</v>
      </c>
      <c r="AH175" s="560">
        <f>$AG175*$A175</f>
        <v>284.92</v>
      </c>
      <c r="AI175" s="633">
        <f>$E175-$AG175</f>
        <v>0</v>
      </c>
      <c r="AJ175" s="633">
        <f>$A175*$AI175</f>
        <v>0</v>
      </c>
      <c r="AK175" s="634">
        <f>ROUND(($AG175+$AI175)*$A175,2)</f>
        <v>284.92</v>
      </c>
      <c r="AM175" s="635">
        <f>ROUND(R189,2)</f>
        <v>284.92</v>
      </c>
      <c r="AN175" s="636">
        <f>ROUND(T189,2)</f>
        <v>0</v>
      </c>
      <c r="AO175" s="637">
        <f>ROUND(AM175+AN175,2)*A175</f>
        <v>284.92</v>
      </c>
    </row>
    <row r="176" spans="1:41" s="619" customFormat="1" ht="13.2">
      <c r="A176" s="624"/>
      <c r="B176" s="774"/>
      <c r="C176" s="624"/>
      <c r="D176" s="778" t="s">
        <v>485</v>
      </c>
      <c r="F176" s="616"/>
      <c r="G176" s="3"/>
      <c r="H176" s="616"/>
      <c r="I176" s="629"/>
      <c r="J176" s="616"/>
      <c r="K176" s="616" t="s">
        <v>144</v>
      </c>
      <c r="L176" s="616"/>
      <c r="M176" s="616"/>
      <c r="N176" s="616"/>
      <c r="O176" s="616"/>
      <c r="P176" s="616"/>
      <c r="Q176" s="64"/>
      <c r="R176" s="638"/>
      <c r="S176" s="639"/>
      <c r="T176" s="616"/>
    </row>
    <row r="177" spans="1:41" s="619" customFormat="1" ht="12">
      <c r="A177" s="64"/>
      <c r="B177" s="615"/>
      <c r="C177" s="615"/>
      <c r="D177" s="615"/>
      <c r="E177" s="615"/>
      <c r="F177" s="616"/>
      <c r="G177" s="615"/>
      <c r="H177" s="615"/>
      <c r="I177" s="617"/>
      <c r="J177" s="615"/>
      <c r="K177" s="615"/>
      <c r="L177" s="615"/>
      <c r="M177" s="615"/>
      <c r="N177" s="615"/>
      <c r="O177" s="615"/>
      <c r="P177" s="615"/>
      <c r="Q177" s="617"/>
      <c r="R177" s="640"/>
      <c r="S177" s="617"/>
      <c r="T177" s="618"/>
    </row>
    <row r="178" spans="1:41" s="619" customFormat="1" ht="12">
      <c r="A178" s="64">
        <v>1</v>
      </c>
      <c r="B178" s="615" t="s">
        <v>141</v>
      </c>
      <c r="C178" s="615"/>
      <c r="D178" s="615" t="s">
        <v>463</v>
      </c>
      <c r="E178" s="615" t="s">
        <v>338</v>
      </c>
      <c r="F178" s="616" t="s">
        <v>464</v>
      </c>
      <c r="G178" s="615" t="s">
        <v>318</v>
      </c>
      <c r="H178" s="615">
        <v>415</v>
      </c>
      <c r="I178" s="617" t="s">
        <v>319</v>
      </c>
      <c r="J178" s="615"/>
      <c r="K178" s="615"/>
      <c r="L178" s="615"/>
      <c r="M178" s="615"/>
      <c r="N178" s="615"/>
      <c r="O178" s="615">
        <v>3</v>
      </c>
      <c r="P178" s="615"/>
      <c r="Q178" s="617">
        <v>8</v>
      </c>
      <c r="R178" s="640">
        <f t="shared" ref="R178:R186" si="10">$A178*Q178</f>
        <v>8</v>
      </c>
      <c r="S178" s="617"/>
      <c r="T178" s="618">
        <f t="shared" ref="T178:T186" si="11">$A178*S178*$T$1</f>
        <v>0</v>
      </c>
    </row>
    <row r="179" spans="1:41" s="619" customFormat="1" ht="12">
      <c r="A179" s="615">
        <v>3</v>
      </c>
      <c r="B179" s="615" t="s">
        <v>141</v>
      </c>
      <c r="C179" s="615"/>
      <c r="D179" s="615" t="s">
        <v>355</v>
      </c>
      <c r="E179" s="615" t="s">
        <v>338</v>
      </c>
      <c r="F179" s="616" t="s">
        <v>356</v>
      </c>
      <c r="G179" s="615" t="s">
        <v>318</v>
      </c>
      <c r="H179" s="615">
        <v>415</v>
      </c>
      <c r="I179" s="617" t="s">
        <v>319</v>
      </c>
      <c r="J179" s="615"/>
      <c r="K179" s="615"/>
      <c r="L179" s="615"/>
      <c r="M179" s="615"/>
      <c r="N179" s="615"/>
      <c r="O179" s="615">
        <v>3</v>
      </c>
      <c r="P179" s="615"/>
      <c r="Q179" s="617">
        <v>0.98</v>
      </c>
      <c r="R179" s="640">
        <f t="shared" si="10"/>
        <v>2.94</v>
      </c>
      <c r="S179" s="617"/>
      <c r="T179" s="618">
        <f t="shared" si="11"/>
        <v>0</v>
      </c>
    </row>
    <row r="180" spans="1:41" s="619" customFormat="1" ht="12">
      <c r="A180" s="64">
        <v>1</v>
      </c>
      <c r="B180" s="615" t="s">
        <v>141</v>
      </c>
      <c r="C180" s="615"/>
      <c r="D180" s="615" t="s">
        <v>392</v>
      </c>
      <c r="E180" s="615" t="s">
        <v>372</v>
      </c>
      <c r="F180" s="616" t="s">
        <v>391</v>
      </c>
      <c r="G180" s="615" t="s">
        <v>318</v>
      </c>
      <c r="H180" s="615">
        <v>416</v>
      </c>
      <c r="I180" s="617" t="s">
        <v>319</v>
      </c>
      <c r="J180" s="615"/>
      <c r="K180" s="615"/>
      <c r="L180" s="615"/>
      <c r="M180" s="615"/>
      <c r="N180" s="615"/>
      <c r="O180" s="615">
        <v>3</v>
      </c>
      <c r="P180" s="615"/>
      <c r="Q180" s="617">
        <v>12.15</v>
      </c>
      <c r="R180" s="640">
        <f t="shared" si="10"/>
        <v>12.15</v>
      </c>
      <c r="S180" s="617"/>
      <c r="T180" s="618">
        <f t="shared" si="11"/>
        <v>0</v>
      </c>
    </row>
    <row r="181" spans="1:41" s="619" customFormat="1" ht="12">
      <c r="A181" s="64">
        <v>1</v>
      </c>
      <c r="B181" s="615" t="s">
        <v>141</v>
      </c>
      <c r="C181" s="615"/>
      <c r="D181" s="615" t="s">
        <v>398</v>
      </c>
      <c r="E181" s="615" t="s">
        <v>372</v>
      </c>
      <c r="F181" s="616" t="s">
        <v>397</v>
      </c>
      <c r="G181" s="615" t="s">
        <v>318</v>
      </c>
      <c r="H181" s="615">
        <v>416</v>
      </c>
      <c r="I181" s="617" t="s">
        <v>319</v>
      </c>
      <c r="J181" s="615"/>
      <c r="K181" s="615"/>
      <c r="L181" s="615"/>
      <c r="M181" s="615"/>
      <c r="N181" s="615"/>
      <c r="O181" s="615">
        <v>3</v>
      </c>
      <c r="P181" s="615"/>
      <c r="Q181" s="617">
        <v>8.5</v>
      </c>
      <c r="R181" s="640">
        <f t="shared" si="10"/>
        <v>8.5</v>
      </c>
      <c r="S181" s="617"/>
      <c r="T181" s="618">
        <f t="shared" si="11"/>
        <v>0</v>
      </c>
    </row>
    <row r="182" spans="1:41" s="619" customFormat="1" ht="12">
      <c r="A182" s="615">
        <v>1</v>
      </c>
      <c r="B182" s="615" t="s">
        <v>141</v>
      </c>
      <c r="C182" s="615"/>
      <c r="D182" s="615" t="s">
        <v>410</v>
      </c>
      <c r="E182" s="615" t="s">
        <v>372</v>
      </c>
      <c r="F182" s="616" t="s">
        <v>409</v>
      </c>
      <c r="G182" s="615" t="s">
        <v>318</v>
      </c>
      <c r="H182" s="615">
        <v>416</v>
      </c>
      <c r="I182" s="617" t="s">
        <v>319</v>
      </c>
      <c r="J182" s="615"/>
      <c r="K182" s="615"/>
      <c r="L182" s="615"/>
      <c r="M182" s="615"/>
      <c r="N182" s="615"/>
      <c r="O182" s="615">
        <v>3</v>
      </c>
      <c r="P182" s="615"/>
      <c r="Q182" s="617">
        <v>72.349999999999994</v>
      </c>
      <c r="R182" s="640">
        <f t="shared" si="10"/>
        <v>72.349999999999994</v>
      </c>
      <c r="S182" s="617"/>
      <c r="T182" s="618">
        <f t="shared" si="11"/>
        <v>0</v>
      </c>
    </row>
    <row r="183" spans="1:41" s="619" customFormat="1" ht="12">
      <c r="A183" s="64">
        <v>1</v>
      </c>
      <c r="B183" s="615" t="s">
        <v>141</v>
      </c>
      <c r="C183" s="615"/>
      <c r="D183" s="615" t="s">
        <v>339</v>
      </c>
      <c r="E183" s="615" t="s">
        <v>338</v>
      </c>
      <c r="F183" s="616" t="s">
        <v>340</v>
      </c>
      <c r="G183" s="615" t="s">
        <v>318</v>
      </c>
      <c r="H183" s="615">
        <v>415</v>
      </c>
      <c r="I183" s="617" t="s">
        <v>319</v>
      </c>
      <c r="J183" s="615"/>
      <c r="K183" s="615"/>
      <c r="L183" s="615"/>
      <c r="M183" s="615"/>
      <c r="N183" s="615"/>
      <c r="O183" s="615">
        <v>3</v>
      </c>
      <c r="P183" s="615"/>
      <c r="Q183" s="617">
        <v>3.43</v>
      </c>
      <c r="R183" s="640">
        <f t="shared" si="10"/>
        <v>3.43</v>
      </c>
      <c r="S183" s="617"/>
      <c r="T183" s="618">
        <f t="shared" si="11"/>
        <v>0</v>
      </c>
    </row>
    <row r="184" spans="1:41" s="619" customFormat="1" ht="12">
      <c r="A184" s="64">
        <v>1</v>
      </c>
      <c r="B184" s="615" t="s">
        <v>141</v>
      </c>
      <c r="C184" s="615"/>
      <c r="D184" s="615" t="s">
        <v>341</v>
      </c>
      <c r="E184" s="615" t="s">
        <v>338</v>
      </c>
      <c r="F184" s="616" t="s">
        <v>342</v>
      </c>
      <c r="G184" s="615" t="s">
        <v>318</v>
      </c>
      <c r="H184" s="615">
        <v>415</v>
      </c>
      <c r="I184" s="617" t="s">
        <v>319</v>
      </c>
      <c r="J184" s="615"/>
      <c r="K184" s="615"/>
      <c r="L184" s="615"/>
      <c r="M184" s="615"/>
      <c r="N184" s="615"/>
      <c r="O184" s="615">
        <v>3</v>
      </c>
      <c r="P184" s="615"/>
      <c r="Q184" s="617">
        <v>2.5499999999999998</v>
      </c>
      <c r="R184" s="640">
        <f t="shared" si="10"/>
        <v>2.5499999999999998</v>
      </c>
      <c r="S184" s="617"/>
      <c r="T184" s="618">
        <f t="shared" si="11"/>
        <v>0</v>
      </c>
    </row>
    <row r="185" spans="1:41" s="619" customFormat="1" ht="12">
      <c r="A185" s="615">
        <v>1</v>
      </c>
      <c r="B185" s="615" t="s">
        <v>141</v>
      </c>
      <c r="C185" s="615"/>
      <c r="D185" s="770" t="s">
        <v>486</v>
      </c>
      <c r="E185" s="615"/>
      <c r="F185" s="616"/>
      <c r="G185" s="615"/>
      <c r="H185" s="615"/>
      <c r="I185" s="617"/>
      <c r="J185" s="615"/>
      <c r="K185" s="615"/>
      <c r="L185" s="615"/>
      <c r="M185" s="615"/>
      <c r="N185" s="615"/>
      <c r="O185" s="615"/>
      <c r="P185" s="615"/>
      <c r="Q185" s="617">
        <v>25</v>
      </c>
      <c r="R185" s="640">
        <f t="shared" si="10"/>
        <v>25</v>
      </c>
      <c r="S185" s="617"/>
      <c r="T185" s="618">
        <f t="shared" si="11"/>
        <v>0</v>
      </c>
    </row>
    <row r="186" spans="1:41" s="619" customFormat="1" ht="12">
      <c r="A186" s="615">
        <v>1</v>
      </c>
      <c r="B186" s="615" t="s">
        <v>141</v>
      </c>
      <c r="C186" s="615"/>
      <c r="D186" s="770" t="s">
        <v>330</v>
      </c>
      <c r="E186" s="615"/>
      <c r="F186" s="616"/>
      <c r="G186" s="615"/>
      <c r="H186" s="615"/>
      <c r="I186" s="617"/>
      <c r="J186" s="615"/>
      <c r="K186" s="615"/>
      <c r="L186" s="615"/>
      <c r="M186" s="615"/>
      <c r="N186" s="615"/>
      <c r="O186" s="615"/>
      <c r="P186" s="615"/>
      <c r="Q186" s="617">
        <v>150</v>
      </c>
      <c r="R186" s="640">
        <f t="shared" si="10"/>
        <v>150</v>
      </c>
      <c r="S186" s="617"/>
      <c r="T186" s="618">
        <f t="shared" si="11"/>
        <v>0</v>
      </c>
    </row>
    <row r="187" spans="1:41" s="619" customFormat="1" ht="12">
      <c r="A187" s="615"/>
      <c r="B187" s="615"/>
      <c r="C187" s="615"/>
      <c r="D187" s="770"/>
      <c r="E187" s="615"/>
      <c r="F187" s="616"/>
      <c r="G187" s="615"/>
      <c r="H187" s="615"/>
      <c r="I187" s="617"/>
      <c r="J187" s="615"/>
      <c r="K187" s="615"/>
      <c r="L187" s="615"/>
      <c r="M187" s="615"/>
      <c r="N187" s="615"/>
      <c r="O187" s="615"/>
      <c r="P187" s="615"/>
      <c r="Q187" s="617"/>
      <c r="R187" s="640"/>
      <c r="S187" s="617"/>
      <c r="T187" s="618"/>
    </row>
    <row r="188" spans="1:41" s="619" customFormat="1" ht="12">
      <c r="A188" s="615"/>
      <c r="B188" s="615"/>
      <c r="C188" s="615"/>
      <c r="D188" s="615"/>
      <c r="E188" s="615"/>
      <c r="F188" s="616"/>
      <c r="G188" s="615"/>
      <c r="H188" s="615"/>
      <c r="I188" s="617"/>
      <c r="J188" s="615"/>
      <c r="K188" s="615"/>
      <c r="L188" s="615"/>
      <c r="M188" s="615"/>
      <c r="N188" s="615"/>
      <c r="O188" s="615"/>
      <c r="P188" s="615"/>
      <c r="Q188" s="617"/>
      <c r="R188" s="640">
        <f>$A188*Q188</f>
        <v>0</v>
      </c>
      <c r="S188" s="617"/>
      <c r="T188" s="618">
        <f>$A188*S188*$T$1</f>
        <v>0</v>
      </c>
    </row>
    <row r="189" spans="1:41" s="619" customFormat="1" ht="12.6" thickBot="1">
      <c r="A189" s="641" t="s">
        <v>145</v>
      </c>
      <c r="B189" s="642">
        <f>(R188+T188)</f>
        <v>0</v>
      </c>
      <c r="C189" s="643"/>
      <c r="D189" s="643"/>
      <c r="E189" s="643"/>
      <c r="F189" s="644"/>
      <c r="G189" s="643" t="s">
        <v>146</v>
      </c>
      <c r="H189" s="643"/>
      <c r="I189" s="645"/>
      <c r="J189" s="643"/>
      <c r="K189" s="643" t="s">
        <v>3</v>
      </c>
      <c r="L189" s="646" t="s">
        <v>143</v>
      </c>
      <c r="M189" s="646"/>
      <c r="N189" s="646"/>
      <c r="O189" s="646"/>
      <c r="P189" s="646"/>
      <c r="Q189" s="647"/>
      <c r="R189" s="648">
        <f>SUM(R176:R188)</f>
        <v>284.92</v>
      </c>
      <c r="S189" s="643"/>
      <c r="T189" s="648">
        <f>SUM(T176:T188)</f>
        <v>0</v>
      </c>
      <c r="U189" s="649"/>
      <c r="V189" s="649"/>
      <c r="W189" s="649"/>
      <c r="X189" s="649"/>
      <c r="Y189" s="649"/>
      <c r="Z189" s="649"/>
      <c r="AA189" s="649"/>
      <c r="AB189" s="649"/>
      <c r="AC189" s="649"/>
      <c r="AD189" s="649"/>
      <c r="AE189" s="649"/>
      <c r="AF189" s="649"/>
      <c r="AG189" s="649"/>
      <c r="AH189" s="649"/>
      <c r="AI189" s="649"/>
      <c r="AJ189" s="649"/>
      <c r="AK189" s="649"/>
      <c r="AL189" s="649"/>
      <c r="AM189" s="649"/>
      <c r="AN189" s="649"/>
      <c r="AO189" s="649"/>
    </row>
    <row r="190" spans="1:41" s="619" customFormat="1" ht="12" thickTop="1">
      <c r="A190" s="64"/>
      <c r="B190" s="41"/>
      <c r="C190" s="64"/>
      <c r="E190" s="42" t="s">
        <v>138</v>
      </c>
      <c r="F190" s="42" t="s">
        <v>139</v>
      </c>
      <c r="G190" s="64"/>
      <c r="H190" s="64"/>
      <c r="I190" s="64"/>
      <c r="J190" s="64"/>
      <c r="K190" s="64" t="s">
        <v>140</v>
      </c>
      <c r="L190" s="64"/>
      <c r="M190" s="64"/>
      <c r="N190" s="64"/>
      <c r="O190" s="65"/>
      <c r="P190" s="64"/>
      <c r="Q190" s="64"/>
      <c r="R190" s="64"/>
      <c r="S190" s="64"/>
      <c r="T190" s="41"/>
      <c r="AG190" s="620" t="s">
        <v>286</v>
      </c>
      <c r="AH190" s="620" t="s">
        <v>287</v>
      </c>
      <c r="AI190" s="620" t="s">
        <v>288</v>
      </c>
      <c r="AJ190" s="620" t="s">
        <v>289</v>
      </c>
      <c r="AK190" s="620" t="s">
        <v>290</v>
      </c>
      <c r="AM190" s="611" t="s">
        <v>299</v>
      </c>
      <c r="AN190" s="612" t="s">
        <v>300</v>
      </c>
      <c r="AO190" s="621" t="s">
        <v>296</v>
      </c>
    </row>
    <row r="191" spans="1:41" s="619" customFormat="1" ht="12" customHeight="1">
      <c r="A191" s="622">
        <v>1</v>
      </c>
      <c r="B191" s="773" t="s">
        <v>141</v>
      </c>
      <c r="C191" s="624"/>
      <c r="D191" s="625" t="s">
        <v>487</v>
      </c>
      <c r="E191" s="626">
        <f>IF(AND($A191=0,$A$1="DIF"),0, ROUND(ROUND(($R217*$S$2+($T217*$T$2))/A191,2)*$C$2,2))</f>
        <v>160042</v>
      </c>
      <c r="F191" s="627">
        <f>ROUND($A191*$E191,2)</f>
        <v>160042</v>
      </c>
      <c r="G191" s="628" t="s">
        <v>142</v>
      </c>
      <c r="H191" s="616"/>
      <c r="I191" s="629"/>
      <c r="J191" s="616"/>
      <c r="K191" s="616" t="s">
        <v>3</v>
      </c>
      <c r="L191" s="630" t="s">
        <v>143</v>
      </c>
      <c r="M191" s="630"/>
      <c r="N191" s="630"/>
      <c r="O191" s="630"/>
      <c r="P191" s="630"/>
      <c r="Q191" s="64"/>
      <c r="T191" s="631" t="str">
        <f>IF(AND($R217=0,$T217=0),"0.00","mu :" &amp; ROUND($F191/$C$2/($R217+$T217*$D$9),2))</f>
        <v>mu :1</v>
      </c>
      <c r="W191" s="632"/>
      <c r="AG191" s="560">
        <f>IF($E191=0,0,ROUND($R217*$S$2*$C$2/$A191,2))</f>
        <v>139447</v>
      </c>
      <c r="AH191" s="560">
        <f>$AG191*$A191</f>
        <v>139447</v>
      </c>
      <c r="AI191" s="633">
        <f>$E191-$AG191</f>
        <v>20595</v>
      </c>
      <c r="AJ191" s="633">
        <f>$A191*$AI191</f>
        <v>20595</v>
      </c>
      <c r="AK191" s="634">
        <f>ROUND(($AG191+$AI191)*$A191,2)</f>
        <v>160042</v>
      </c>
      <c r="AM191" s="635">
        <f>ROUND(R217,2)</f>
        <v>139447</v>
      </c>
      <c r="AN191" s="636">
        <f>ROUND(T217,2)</f>
        <v>750</v>
      </c>
      <c r="AO191" s="637">
        <f>ROUND(AM191+AN191,2)*A191</f>
        <v>140197</v>
      </c>
    </row>
    <row r="192" spans="1:41" s="619" customFormat="1" ht="13.2">
      <c r="A192" s="624"/>
      <c r="B192" s="774"/>
      <c r="C192" s="624"/>
      <c r="D192" s="778" t="s">
        <v>488</v>
      </c>
      <c r="F192" s="616"/>
      <c r="G192" s="3"/>
      <c r="H192" s="616"/>
      <c r="I192" s="629"/>
      <c r="J192" s="616"/>
      <c r="K192" s="616" t="s">
        <v>144</v>
      </c>
      <c r="L192" s="616"/>
      <c r="M192" s="616"/>
      <c r="N192" s="616"/>
      <c r="O192" s="616"/>
      <c r="P192" s="616"/>
      <c r="Q192" s="64"/>
      <c r="R192" s="638"/>
      <c r="S192" s="639"/>
      <c r="T192" s="616"/>
    </row>
    <row r="193" spans="1:20" s="619" customFormat="1" ht="12">
      <c r="A193" s="64"/>
      <c r="B193" s="615"/>
      <c r="C193" s="615"/>
      <c r="D193" s="615"/>
      <c r="E193" s="615"/>
      <c r="F193" s="616"/>
      <c r="G193" s="615"/>
      <c r="H193" s="615"/>
      <c r="I193" s="617"/>
      <c r="J193" s="615"/>
      <c r="K193" s="615"/>
      <c r="L193" s="615"/>
      <c r="M193" s="615"/>
      <c r="N193" s="615"/>
      <c r="O193" s="615"/>
      <c r="P193" s="615"/>
      <c r="Q193" s="617"/>
      <c r="R193" s="640"/>
      <c r="S193" s="617"/>
      <c r="T193" s="618"/>
    </row>
    <row r="194" spans="1:20" s="619" customFormat="1" ht="12">
      <c r="A194" s="882">
        <f>$Q$140 *(1)</f>
        <v>250</v>
      </c>
      <c r="B194" s="615" t="s">
        <v>141</v>
      </c>
      <c r="C194" s="615"/>
      <c r="D194" s="615" t="s">
        <v>461</v>
      </c>
      <c r="E194" s="615" t="s">
        <v>338</v>
      </c>
      <c r="F194" s="616" t="s">
        <v>462</v>
      </c>
      <c r="G194" s="615" t="s">
        <v>318</v>
      </c>
      <c r="H194" s="615">
        <v>415</v>
      </c>
      <c r="I194" s="617" t="s">
        <v>319</v>
      </c>
      <c r="J194" s="615"/>
      <c r="K194" s="615"/>
      <c r="L194" s="615"/>
      <c r="M194" s="615"/>
      <c r="N194" s="615"/>
      <c r="O194" s="615">
        <v>3</v>
      </c>
      <c r="P194" s="615"/>
      <c r="Q194" s="617">
        <v>80.91</v>
      </c>
      <c r="R194" s="640">
        <f t="shared" ref="R194:R214" si="12">$A194*Q194</f>
        <v>20227.5</v>
      </c>
      <c r="S194" s="617"/>
      <c r="T194" s="618">
        <f t="shared" ref="T194:T214" si="13">$A194*S194*$T$1</f>
        <v>0</v>
      </c>
    </row>
    <row r="195" spans="1:20" s="619" customFormat="1" ht="12">
      <c r="A195" s="882">
        <f>$Q$140 *(1)</f>
        <v>250</v>
      </c>
      <c r="B195" s="615" t="s">
        <v>141</v>
      </c>
      <c r="C195" s="615"/>
      <c r="D195" s="615" t="s">
        <v>339</v>
      </c>
      <c r="E195" s="615" t="s">
        <v>338</v>
      </c>
      <c r="F195" s="616" t="s">
        <v>340</v>
      </c>
      <c r="G195" s="615" t="s">
        <v>318</v>
      </c>
      <c r="H195" s="615">
        <v>415</v>
      </c>
      <c r="I195" s="617" t="s">
        <v>319</v>
      </c>
      <c r="J195" s="615"/>
      <c r="K195" s="615"/>
      <c r="L195" s="615"/>
      <c r="M195" s="615"/>
      <c r="N195" s="615"/>
      <c r="O195" s="615">
        <v>3</v>
      </c>
      <c r="P195" s="615"/>
      <c r="Q195" s="617">
        <v>3.43</v>
      </c>
      <c r="R195" s="640">
        <f t="shared" si="12"/>
        <v>857.5</v>
      </c>
      <c r="S195" s="617"/>
      <c r="T195" s="618">
        <f t="shared" si="13"/>
        <v>0</v>
      </c>
    </row>
    <row r="196" spans="1:20" s="619" customFormat="1" ht="12">
      <c r="A196" s="882">
        <f>$Q$140 *(1)</f>
        <v>250</v>
      </c>
      <c r="B196" s="615" t="s">
        <v>141</v>
      </c>
      <c r="C196" s="615"/>
      <c r="D196" s="615" t="s">
        <v>341</v>
      </c>
      <c r="E196" s="615" t="s">
        <v>338</v>
      </c>
      <c r="F196" s="616" t="s">
        <v>342</v>
      </c>
      <c r="G196" s="615" t="s">
        <v>318</v>
      </c>
      <c r="H196" s="615">
        <v>415</v>
      </c>
      <c r="I196" s="617" t="s">
        <v>319</v>
      </c>
      <c r="J196" s="615"/>
      <c r="K196" s="615"/>
      <c r="L196" s="615"/>
      <c r="M196" s="615"/>
      <c r="N196" s="615"/>
      <c r="O196" s="615">
        <v>3</v>
      </c>
      <c r="P196" s="615"/>
      <c r="Q196" s="617">
        <v>2.5499999999999998</v>
      </c>
      <c r="R196" s="640">
        <f t="shared" si="12"/>
        <v>637.5</v>
      </c>
      <c r="S196" s="617"/>
      <c r="T196" s="618">
        <f t="shared" si="13"/>
        <v>0</v>
      </c>
    </row>
    <row r="197" spans="1:20" s="619" customFormat="1" ht="12">
      <c r="A197" s="882">
        <f>$Q$140 *(1)</f>
        <v>250</v>
      </c>
      <c r="B197" s="615" t="s">
        <v>141</v>
      </c>
      <c r="C197" s="615"/>
      <c r="D197" s="615" t="s">
        <v>463</v>
      </c>
      <c r="E197" s="615" t="s">
        <v>338</v>
      </c>
      <c r="F197" s="616" t="s">
        <v>464</v>
      </c>
      <c r="G197" s="615" t="s">
        <v>318</v>
      </c>
      <c r="H197" s="615">
        <v>415</v>
      </c>
      <c r="I197" s="617" t="s">
        <v>319</v>
      </c>
      <c r="J197" s="615"/>
      <c r="K197" s="615"/>
      <c r="L197" s="615"/>
      <c r="M197" s="615"/>
      <c r="N197" s="615"/>
      <c r="O197" s="615">
        <v>3</v>
      </c>
      <c r="P197" s="615"/>
      <c r="Q197" s="617">
        <v>8</v>
      </c>
      <c r="R197" s="640">
        <f t="shared" si="12"/>
        <v>2000</v>
      </c>
      <c r="S197" s="617"/>
      <c r="T197" s="618">
        <f t="shared" si="13"/>
        <v>0</v>
      </c>
    </row>
    <row r="198" spans="1:20" s="619" customFormat="1" ht="12">
      <c r="A198" s="882">
        <f>$Q$140 *(1)</f>
        <v>250</v>
      </c>
      <c r="B198" s="615" t="s">
        <v>141</v>
      </c>
      <c r="C198" s="615"/>
      <c r="D198" s="615" t="s">
        <v>343</v>
      </c>
      <c r="E198" s="615" t="s">
        <v>338</v>
      </c>
      <c r="F198" s="616" t="s">
        <v>344</v>
      </c>
      <c r="G198" s="615" t="s">
        <v>318</v>
      </c>
      <c r="H198" s="615">
        <v>415</v>
      </c>
      <c r="I198" s="617" t="s">
        <v>319</v>
      </c>
      <c r="J198" s="615"/>
      <c r="K198" s="615"/>
      <c r="L198" s="615"/>
      <c r="M198" s="615"/>
      <c r="N198" s="615"/>
      <c r="O198" s="615">
        <v>3</v>
      </c>
      <c r="P198" s="615"/>
      <c r="Q198" s="617">
        <v>9.5500000000000007</v>
      </c>
      <c r="R198" s="640">
        <f t="shared" si="12"/>
        <v>2387.5</v>
      </c>
      <c r="S198" s="617"/>
      <c r="T198" s="618">
        <f t="shared" si="13"/>
        <v>0</v>
      </c>
    </row>
    <row r="199" spans="1:20" s="619" customFormat="1" ht="12">
      <c r="A199" s="882">
        <f>$Q$140 *(2)</f>
        <v>500</v>
      </c>
      <c r="B199" s="615" t="s">
        <v>141</v>
      </c>
      <c r="C199" s="615"/>
      <c r="D199" s="615" t="s">
        <v>453</v>
      </c>
      <c r="E199" s="615" t="s">
        <v>338</v>
      </c>
      <c r="F199" s="616" t="s">
        <v>454</v>
      </c>
      <c r="G199" s="615" t="s">
        <v>318</v>
      </c>
      <c r="H199" s="615">
        <v>415</v>
      </c>
      <c r="I199" s="617" t="s">
        <v>319</v>
      </c>
      <c r="J199" s="615"/>
      <c r="K199" s="615"/>
      <c r="L199" s="615"/>
      <c r="M199" s="615"/>
      <c r="N199" s="615"/>
      <c r="O199" s="615">
        <v>3</v>
      </c>
      <c r="P199" s="615"/>
      <c r="Q199" s="617">
        <v>1.25</v>
      </c>
      <c r="R199" s="640">
        <f t="shared" si="12"/>
        <v>625</v>
      </c>
      <c r="S199" s="617"/>
      <c r="T199" s="618">
        <f t="shared" si="13"/>
        <v>0</v>
      </c>
    </row>
    <row r="200" spans="1:20" s="619" customFormat="1" ht="12">
      <c r="A200" s="882">
        <f>$Q$140 *(2)</f>
        <v>500</v>
      </c>
      <c r="B200" s="615" t="s">
        <v>141</v>
      </c>
      <c r="C200" s="615"/>
      <c r="D200" s="615" t="s">
        <v>345</v>
      </c>
      <c r="E200" s="615" t="s">
        <v>338</v>
      </c>
      <c r="F200" s="616" t="s">
        <v>346</v>
      </c>
      <c r="G200" s="615" t="s">
        <v>318</v>
      </c>
      <c r="H200" s="615">
        <v>415</v>
      </c>
      <c r="I200" s="617" t="s">
        <v>319</v>
      </c>
      <c r="J200" s="615"/>
      <c r="K200" s="615"/>
      <c r="L200" s="615"/>
      <c r="M200" s="615"/>
      <c r="N200" s="615"/>
      <c r="O200" s="615">
        <v>3</v>
      </c>
      <c r="P200" s="615"/>
      <c r="Q200" s="617">
        <v>9.4E-2</v>
      </c>
      <c r="R200" s="640">
        <f t="shared" si="12"/>
        <v>47</v>
      </c>
      <c r="S200" s="617"/>
      <c r="T200" s="618">
        <f t="shared" si="13"/>
        <v>0</v>
      </c>
    </row>
    <row r="201" spans="1:20" s="619" customFormat="1" ht="12">
      <c r="A201" s="882">
        <f t="shared" ref="A201:A206" si="14">$Q$140 *(1)</f>
        <v>250</v>
      </c>
      <c r="B201" s="615" t="s">
        <v>141</v>
      </c>
      <c r="C201" s="615"/>
      <c r="D201" s="615" t="s">
        <v>347</v>
      </c>
      <c r="E201" s="615" t="s">
        <v>338</v>
      </c>
      <c r="F201" s="616" t="s">
        <v>348</v>
      </c>
      <c r="G201" s="615" t="s">
        <v>318</v>
      </c>
      <c r="H201" s="615">
        <v>415</v>
      </c>
      <c r="I201" s="617" t="s">
        <v>319</v>
      </c>
      <c r="J201" s="615"/>
      <c r="K201" s="615"/>
      <c r="L201" s="615"/>
      <c r="M201" s="615"/>
      <c r="N201" s="615"/>
      <c r="O201" s="615">
        <v>3</v>
      </c>
      <c r="P201" s="615"/>
      <c r="Q201" s="617">
        <v>16.91</v>
      </c>
      <c r="R201" s="640">
        <f t="shared" si="12"/>
        <v>4227.5</v>
      </c>
      <c r="S201" s="617"/>
      <c r="T201" s="618">
        <f t="shared" si="13"/>
        <v>0</v>
      </c>
    </row>
    <row r="202" spans="1:20" s="619" customFormat="1" ht="12">
      <c r="A202" s="882">
        <f t="shared" si="14"/>
        <v>250</v>
      </c>
      <c r="B202" s="615" t="s">
        <v>141</v>
      </c>
      <c r="C202" s="615"/>
      <c r="D202" s="615" t="s">
        <v>349</v>
      </c>
      <c r="E202" s="615" t="s">
        <v>338</v>
      </c>
      <c r="F202" s="616" t="s">
        <v>350</v>
      </c>
      <c r="G202" s="615" t="s">
        <v>318</v>
      </c>
      <c r="H202" s="615">
        <v>415</v>
      </c>
      <c r="I202" s="617" t="s">
        <v>319</v>
      </c>
      <c r="J202" s="615"/>
      <c r="K202" s="615"/>
      <c r="L202" s="615"/>
      <c r="M202" s="615"/>
      <c r="N202" s="615"/>
      <c r="O202" s="615">
        <v>3</v>
      </c>
      <c r="P202" s="615"/>
      <c r="Q202" s="617">
        <v>5.57</v>
      </c>
      <c r="R202" s="640">
        <f t="shared" si="12"/>
        <v>1392.5</v>
      </c>
      <c r="S202" s="617"/>
      <c r="T202" s="618">
        <f t="shared" si="13"/>
        <v>0</v>
      </c>
    </row>
    <row r="203" spans="1:20" s="619" customFormat="1" ht="12">
      <c r="A203" s="882">
        <f t="shared" si="14"/>
        <v>250</v>
      </c>
      <c r="B203" s="615" t="s">
        <v>141</v>
      </c>
      <c r="C203" s="615"/>
      <c r="D203" s="615" t="s">
        <v>351</v>
      </c>
      <c r="E203" s="615" t="s">
        <v>338</v>
      </c>
      <c r="F203" s="616" t="s">
        <v>352</v>
      </c>
      <c r="G203" s="615" t="s">
        <v>318</v>
      </c>
      <c r="H203" s="615">
        <v>415</v>
      </c>
      <c r="I203" s="617" t="s">
        <v>319</v>
      </c>
      <c r="J203" s="615"/>
      <c r="K203" s="615"/>
      <c r="L203" s="615"/>
      <c r="M203" s="615"/>
      <c r="N203" s="615"/>
      <c r="O203" s="615">
        <v>3</v>
      </c>
      <c r="P203" s="615"/>
      <c r="Q203" s="617">
        <v>5.7</v>
      </c>
      <c r="R203" s="640">
        <f t="shared" si="12"/>
        <v>1425</v>
      </c>
      <c r="S203" s="617"/>
      <c r="T203" s="618">
        <f t="shared" si="13"/>
        <v>0</v>
      </c>
    </row>
    <row r="204" spans="1:20" s="619" customFormat="1" ht="12">
      <c r="A204" s="882">
        <f t="shared" si="14"/>
        <v>250</v>
      </c>
      <c r="B204" s="615" t="s">
        <v>141</v>
      </c>
      <c r="C204" s="615"/>
      <c r="D204" s="615" t="s">
        <v>353</v>
      </c>
      <c r="E204" s="615" t="s">
        <v>338</v>
      </c>
      <c r="F204" s="616" t="s">
        <v>354</v>
      </c>
      <c r="G204" s="615" t="s">
        <v>318</v>
      </c>
      <c r="H204" s="615">
        <v>415</v>
      </c>
      <c r="I204" s="617" t="s">
        <v>319</v>
      </c>
      <c r="J204" s="615"/>
      <c r="K204" s="615"/>
      <c r="L204" s="615"/>
      <c r="M204" s="615"/>
      <c r="N204" s="615"/>
      <c r="O204" s="615">
        <v>3</v>
      </c>
      <c r="P204" s="615"/>
      <c r="Q204" s="617">
        <v>7.4</v>
      </c>
      <c r="R204" s="640">
        <f t="shared" si="12"/>
        <v>1850</v>
      </c>
      <c r="S204" s="617"/>
      <c r="T204" s="618">
        <f t="shared" si="13"/>
        <v>0</v>
      </c>
    </row>
    <row r="205" spans="1:20" s="619" customFormat="1" ht="12">
      <c r="A205" s="882">
        <f t="shared" si="14"/>
        <v>250</v>
      </c>
      <c r="B205" s="615" t="s">
        <v>141</v>
      </c>
      <c r="C205" s="615"/>
      <c r="D205" s="615" t="s">
        <v>355</v>
      </c>
      <c r="E205" s="615" t="s">
        <v>338</v>
      </c>
      <c r="F205" s="616" t="s">
        <v>356</v>
      </c>
      <c r="G205" s="615" t="s">
        <v>318</v>
      </c>
      <c r="H205" s="615">
        <v>415</v>
      </c>
      <c r="I205" s="617" t="s">
        <v>319</v>
      </c>
      <c r="J205" s="615"/>
      <c r="K205" s="615"/>
      <c r="L205" s="615"/>
      <c r="M205" s="615"/>
      <c r="N205" s="615"/>
      <c r="O205" s="615">
        <v>3</v>
      </c>
      <c r="P205" s="615"/>
      <c r="Q205" s="617">
        <v>0.98</v>
      </c>
      <c r="R205" s="640">
        <f t="shared" si="12"/>
        <v>245</v>
      </c>
      <c r="S205" s="617"/>
      <c r="T205" s="618">
        <f t="shared" si="13"/>
        <v>0</v>
      </c>
    </row>
    <row r="206" spans="1:20" s="619" customFormat="1" ht="12">
      <c r="A206" s="882">
        <f t="shared" si="14"/>
        <v>250</v>
      </c>
      <c r="B206" s="615" t="s">
        <v>141</v>
      </c>
      <c r="C206" s="615"/>
      <c r="D206" s="615" t="s">
        <v>357</v>
      </c>
      <c r="E206" s="615" t="s">
        <v>338</v>
      </c>
      <c r="F206" s="616" t="s">
        <v>358</v>
      </c>
      <c r="G206" s="615" t="s">
        <v>318</v>
      </c>
      <c r="H206" s="615">
        <v>415</v>
      </c>
      <c r="I206" s="617" t="s">
        <v>319</v>
      </c>
      <c r="J206" s="615"/>
      <c r="K206" s="615"/>
      <c r="L206" s="615"/>
      <c r="M206" s="615"/>
      <c r="N206" s="615"/>
      <c r="O206" s="615">
        <v>3</v>
      </c>
      <c r="P206" s="615"/>
      <c r="Q206" s="617">
        <v>0.98</v>
      </c>
      <c r="R206" s="640">
        <f t="shared" si="12"/>
        <v>245</v>
      </c>
      <c r="S206" s="617"/>
      <c r="T206" s="618">
        <f t="shared" si="13"/>
        <v>0</v>
      </c>
    </row>
    <row r="207" spans="1:20" s="619" customFormat="1" ht="12">
      <c r="A207" s="882">
        <f>$Q$140 *(3)</f>
        <v>750</v>
      </c>
      <c r="B207" s="615" t="s">
        <v>141</v>
      </c>
      <c r="C207" s="615"/>
      <c r="D207" s="615" t="s">
        <v>455</v>
      </c>
      <c r="E207" s="615" t="s">
        <v>338</v>
      </c>
      <c r="F207" s="616" t="s">
        <v>456</v>
      </c>
      <c r="G207" s="615" t="s">
        <v>318</v>
      </c>
      <c r="H207" s="615">
        <v>415</v>
      </c>
      <c r="I207" s="617" t="s">
        <v>319</v>
      </c>
      <c r="J207" s="615"/>
      <c r="K207" s="615"/>
      <c r="L207" s="615"/>
      <c r="M207" s="615"/>
      <c r="N207" s="615"/>
      <c r="O207" s="615">
        <v>3</v>
      </c>
      <c r="P207" s="615"/>
      <c r="Q207" s="617">
        <v>0.98</v>
      </c>
      <c r="R207" s="640">
        <f t="shared" si="12"/>
        <v>735</v>
      </c>
      <c r="S207" s="617"/>
      <c r="T207" s="618">
        <f t="shared" si="13"/>
        <v>0</v>
      </c>
    </row>
    <row r="208" spans="1:20" s="619" customFormat="1" ht="12">
      <c r="A208" s="883">
        <v>0</v>
      </c>
      <c r="B208" s="615" t="s">
        <v>141</v>
      </c>
      <c r="C208" s="615"/>
      <c r="D208" s="615" t="s">
        <v>359</v>
      </c>
      <c r="E208" s="615" t="s">
        <v>338</v>
      </c>
      <c r="F208" s="616" t="s">
        <v>360</v>
      </c>
      <c r="G208" s="615" t="s">
        <v>318</v>
      </c>
      <c r="H208" s="615">
        <v>415</v>
      </c>
      <c r="I208" s="617" t="s">
        <v>319</v>
      </c>
      <c r="J208" s="615"/>
      <c r="K208" s="615"/>
      <c r="L208" s="615"/>
      <c r="M208" s="615"/>
      <c r="N208" s="615"/>
      <c r="O208" s="615">
        <v>3</v>
      </c>
      <c r="P208" s="615"/>
      <c r="Q208" s="617">
        <v>24.4</v>
      </c>
      <c r="R208" s="640">
        <f t="shared" si="12"/>
        <v>0</v>
      </c>
      <c r="S208" s="617"/>
      <c r="T208" s="618">
        <f t="shared" si="13"/>
        <v>0</v>
      </c>
    </row>
    <row r="209" spans="1:41" s="619" customFormat="1" ht="12">
      <c r="A209" s="882">
        <f>$Q$140 *(5)</f>
        <v>1250</v>
      </c>
      <c r="B209" s="615" t="s">
        <v>141</v>
      </c>
      <c r="C209" s="615"/>
      <c r="D209" s="615" t="s">
        <v>361</v>
      </c>
      <c r="E209" s="615" t="s">
        <v>338</v>
      </c>
      <c r="F209" s="616" t="s">
        <v>362</v>
      </c>
      <c r="G209" s="615" t="s">
        <v>318</v>
      </c>
      <c r="H209" s="615">
        <v>415</v>
      </c>
      <c r="I209" s="617" t="s">
        <v>319</v>
      </c>
      <c r="J209" s="615"/>
      <c r="K209" s="615"/>
      <c r="L209" s="615"/>
      <c r="M209" s="615"/>
      <c r="N209" s="615"/>
      <c r="O209" s="615">
        <v>3</v>
      </c>
      <c r="P209" s="615"/>
      <c r="Q209" s="617">
        <v>2.42</v>
      </c>
      <c r="R209" s="640">
        <f t="shared" si="12"/>
        <v>3025</v>
      </c>
      <c r="S209" s="617"/>
      <c r="T209" s="618">
        <f t="shared" si="13"/>
        <v>0</v>
      </c>
    </row>
    <row r="210" spans="1:41" s="619" customFormat="1" ht="12">
      <c r="A210" s="882">
        <f>$Q$140 *(1)</f>
        <v>250</v>
      </c>
      <c r="B210" s="615" t="s">
        <v>141</v>
      </c>
      <c r="C210" s="615"/>
      <c r="D210" s="615" t="s">
        <v>382</v>
      </c>
      <c r="E210" s="615" t="s">
        <v>338</v>
      </c>
      <c r="F210" s="616" t="s">
        <v>457</v>
      </c>
      <c r="G210" s="615" t="s">
        <v>318</v>
      </c>
      <c r="H210" s="615">
        <v>415</v>
      </c>
      <c r="I210" s="617" t="s">
        <v>319</v>
      </c>
      <c r="J210" s="615"/>
      <c r="K210" s="615"/>
      <c r="L210" s="615"/>
      <c r="M210" s="615"/>
      <c r="N210" s="615"/>
      <c r="O210" s="615">
        <v>3</v>
      </c>
      <c r="P210" s="615"/>
      <c r="Q210" s="617">
        <v>30</v>
      </c>
      <c r="R210" s="640">
        <f t="shared" si="12"/>
        <v>7500</v>
      </c>
      <c r="S210" s="617"/>
      <c r="T210" s="618">
        <f t="shared" si="13"/>
        <v>0</v>
      </c>
    </row>
    <row r="211" spans="1:41" s="619" customFormat="1" ht="12">
      <c r="A211" s="882">
        <f>$Q$140 *(1)</f>
        <v>250</v>
      </c>
      <c r="B211" s="615" t="s">
        <v>141</v>
      </c>
      <c r="C211" s="615"/>
      <c r="D211" s="615" t="s">
        <v>489</v>
      </c>
      <c r="E211" s="615" t="s">
        <v>467</v>
      </c>
      <c r="F211" s="616" t="s">
        <v>490</v>
      </c>
      <c r="G211" s="615" t="s">
        <v>318</v>
      </c>
      <c r="H211" s="615">
        <v>415</v>
      </c>
      <c r="I211" s="617" t="s">
        <v>319</v>
      </c>
      <c r="J211" s="615"/>
      <c r="K211" s="615"/>
      <c r="L211" s="615"/>
      <c r="M211" s="615"/>
      <c r="N211" s="615"/>
      <c r="O211" s="615">
        <v>3</v>
      </c>
      <c r="P211" s="615"/>
      <c r="Q211" s="617">
        <v>68.08</v>
      </c>
      <c r="R211" s="640">
        <f t="shared" si="12"/>
        <v>17020</v>
      </c>
      <c r="S211" s="617">
        <v>2</v>
      </c>
      <c r="T211" s="618">
        <f t="shared" si="13"/>
        <v>500</v>
      </c>
    </row>
    <row r="212" spans="1:41" s="619" customFormat="1" ht="12">
      <c r="A212" s="882">
        <f>$Q$140 *(1)</f>
        <v>250</v>
      </c>
      <c r="B212" s="615" t="s">
        <v>141</v>
      </c>
      <c r="C212" s="615"/>
      <c r="D212" s="615" t="s">
        <v>363</v>
      </c>
      <c r="E212" s="615" t="s">
        <v>364</v>
      </c>
      <c r="F212" s="616"/>
      <c r="G212" s="615" t="s">
        <v>318</v>
      </c>
      <c r="H212" s="615">
        <v>415</v>
      </c>
      <c r="I212" s="617" t="s">
        <v>319</v>
      </c>
      <c r="J212" s="615"/>
      <c r="K212" s="615"/>
      <c r="L212" s="615"/>
      <c r="M212" s="615"/>
      <c r="N212" s="615"/>
      <c r="O212" s="615">
        <v>3</v>
      </c>
      <c r="P212" s="615"/>
      <c r="Q212" s="617">
        <v>50</v>
      </c>
      <c r="R212" s="640">
        <f t="shared" si="12"/>
        <v>12500</v>
      </c>
      <c r="S212" s="617"/>
      <c r="T212" s="618">
        <f t="shared" si="13"/>
        <v>0</v>
      </c>
    </row>
    <row r="213" spans="1:41" s="619" customFormat="1" ht="12">
      <c r="A213" s="882">
        <f>$Q$140 *(1)</f>
        <v>250</v>
      </c>
      <c r="B213" s="615" t="s">
        <v>141</v>
      </c>
      <c r="C213" s="615"/>
      <c r="D213" s="615" t="s">
        <v>330</v>
      </c>
      <c r="E213" s="615" t="s">
        <v>365</v>
      </c>
      <c r="F213" s="616"/>
      <c r="G213" s="615" t="s">
        <v>318</v>
      </c>
      <c r="H213" s="615">
        <v>420</v>
      </c>
      <c r="I213" s="617" t="s">
        <v>319</v>
      </c>
      <c r="J213" s="615"/>
      <c r="K213" s="615"/>
      <c r="L213" s="615"/>
      <c r="M213" s="615"/>
      <c r="N213" s="615"/>
      <c r="O213" s="615">
        <v>3</v>
      </c>
      <c r="P213" s="615"/>
      <c r="Q213" s="617">
        <v>250</v>
      </c>
      <c r="R213" s="640">
        <f t="shared" si="12"/>
        <v>62500</v>
      </c>
      <c r="S213" s="617"/>
      <c r="T213" s="618">
        <f t="shared" si="13"/>
        <v>0</v>
      </c>
    </row>
    <row r="214" spans="1:41" s="619" customFormat="1" ht="12">
      <c r="A214" s="882">
        <f>$Q$140 *(1)</f>
        <v>250</v>
      </c>
      <c r="B214" s="615" t="s">
        <v>141</v>
      </c>
      <c r="C214" s="615"/>
      <c r="D214" s="615" t="s">
        <v>491</v>
      </c>
      <c r="E214" s="615" t="s">
        <v>492</v>
      </c>
      <c r="F214" s="616"/>
      <c r="G214" s="615" t="s">
        <v>318</v>
      </c>
      <c r="H214" s="615">
        <v>420</v>
      </c>
      <c r="I214" s="617" t="s">
        <v>319</v>
      </c>
      <c r="J214" s="615"/>
      <c r="K214" s="615"/>
      <c r="L214" s="615"/>
      <c r="M214" s="615"/>
      <c r="N214" s="615"/>
      <c r="O214" s="615">
        <v>3</v>
      </c>
      <c r="P214" s="615"/>
      <c r="Q214" s="617">
        <v>0</v>
      </c>
      <c r="R214" s="640">
        <f t="shared" si="12"/>
        <v>0</v>
      </c>
      <c r="S214" s="617">
        <v>1</v>
      </c>
      <c r="T214" s="618">
        <f t="shared" si="13"/>
        <v>250</v>
      </c>
    </row>
    <row r="215" spans="1:41" s="619" customFormat="1" ht="12">
      <c r="A215" s="615"/>
      <c r="B215" s="615"/>
      <c r="C215" s="615"/>
      <c r="D215" s="770"/>
      <c r="E215" s="615"/>
      <c r="F215" s="616"/>
      <c r="G215" s="615"/>
      <c r="H215" s="615"/>
      <c r="I215" s="617"/>
      <c r="J215" s="615"/>
      <c r="K215" s="615"/>
      <c r="L215" s="615"/>
      <c r="M215" s="615"/>
      <c r="N215" s="615"/>
      <c r="O215" s="615"/>
      <c r="P215" s="615"/>
      <c r="Q215" s="617"/>
      <c r="R215" s="640"/>
      <c r="S215" s="617"/>
      <c r="T215" s="618"/>
    </row>
    <row r="216" spans="1:41" s="619" customFormat="1" ht="12">
      <c r="A216" s="615"/>
      <c r="B216" s="615"/>
      <c r="C216" s="615"/>
      <c r="D216" s="615"/>
      <c r="E216" s="615"/>
      <c r="F216" s="616"/>
      <c r="G216" s="615"/>
      <c r="H216" s="615"/>
      <c r="I216" s="617"/>
      <c r="J216" s="615"/>
      <c r="K216" s="615"/>
      <c r="L216" s="615"/>
      <c r="M216" s="615"/>
      <c r="N216" s="615"/>
      <c r="O216" s="615"/>
      <c r="P216" s="615"/>
      <c r="Q216" s="617"/>
      <c r="R216" s="640">
        <f>$A216*Q216</f>
        <v>0</v>
      </c>
      <c r="S216" s="617"/>
      <c r="T216" s="618">
        <f>$A216*S216*$T$1</f>
        <v>0</v>
      </c>
    </row>
    <row r="217" spans="1:41" s="619" customFormat="1" ht="12.6" thickBot="1">
      <c r="A217" s="641" t="s">
        <v>145</v>
      </c>
      <c r="B217" s="642">
        <f>(R216+T216)</f>
        <v>0</v>
      </c>
      <c r="C217" s="643"/>
      <c r="D217" s="643"/>
      <c r="E217" s="643"/>
      <c r="F217" s="644"/>
      <c r="G217" s="643" t="s">
        <v>146</v>
      </c>
      <c r="H217" s="643"/>
      <c r="I217" s="645"/>
      <c r="J217" s="643"/>
      <c r="K217" s="643" t="s">
        <v>3</v>
      </c>
      <c r="L217" s="646" t="s">
        <v>143</v>
      </c>
      <c r="M217" s="646"/>
      <c r="N217" s="646"/>
      <c r="O217" s="646"/>
      <c r="P217" s="646"/>
      <c r="Q217" s="647"/>
      <c r="R217" s="648">
        <f>SUM(R192:R216)</f>
        <v>139447</v>
      </c>
      <c r="S217" s="643"/>
      <c r="T217" s="648">
        <f>SUM(T192:T216)</f>
        <v>750</v>
      </c>
      <c r="U217" s="649"/>
      <c r="V217" s="649"/>
      <c r="W217" s="649"/>
      <c r="X217" s="649"/>
      <c r="Y217" s="649"/>
      <c r="Z217" s="649"/>
      <c r="AA217" s="649"/>
      <c r="AB217" s="649"/>
      <c r="AC217" s="649"/>
      <c r="AD217" s="649"/>
      <c r="AE217" s="649"/>
      <c r="AF217" s="649"/>
      <c r="AG217" s="649"/>
      <c r="AH217" s="649"/>
      <c r="AI217" s="649"/>
      <c r="AJ217" s="649"/>
      <c r="AK217" s="649"/>
      <c r="AL217" s="649"/>
      <c r="AM217" s="649"/>
      <c r="AN217" s="649"/>
      <c r="AO217" s="649"/>
    </row>
    <row r="218" spans="1:41" ht="14.4" thickTop="1">
      <c r="A218" s="51" t="s">
        <v>154</v>
      </c>
      <c r="B218" s="64"/>
      <c r="C218" s="64"/>
      <c r="D218" s="64"/>
      <c r="E218" s="64"/>
      <c r="F218" s="64"/>
      <c r="G218" s="64"/>
      <c r="H218" s="64"/>
      <c r="I218" s="64"/>
      <c r="J218" s="64"/>
      <c r="K218" s="64"/>
      <c r="L218" s="64"/>
      <c r="M218" s="64"/>
      <c r="N218" s="64"/>
      <c r="O218" s="65"/>
      <c r="P218" s="64"/>
      <c r="Q218" s="64"/>
      <c r="R218" s="64"/>
      <c r="S218" s="64"/>
      <c r="T218" s="64"/>
    </row>
    <row r="219" spans="1:41">
      <c r="A219" s="64"/>
      <c r="B219" s="34"/>
      <c r="C219" s="64"/>
      <c r="D219" s="64"/>
      <c r="E219" s="64"/>
      <c r="F219" s="64"/>
      <c r="G219" s="64"/>
      <c r="H219" s="64"/>
      <c r="I219" s="64"/>
      <c r="J219" s="64"/>
      <c r="K219" s="64"/>
      <c r="L219" s="64"/>
      <c r="M219" s="64"/>
      <c r="N219" s="64"/>
      <c r="O219" s="65"/>
      <c r="P219" s="64"/>
      <c r="Q219" s="64"/>
      <c r="R219" s="64"/>
      <c r="S219" s="64"/>
      <c r="T219" s="64"/>
    </row>
    <row r="220" spans="1:41">
      <c r="A220" s="64"/>
      <c r="B220" s="809">
        <f>($R221*$S$2+$T221*$T$2)-$F220</f>
        <v>-5055.5840000000026</v>
      </c>
      <c r="C220" s="64"/>
      <c r="D220" s="810" t="s">
        <v>165</v>
      </c>
      <c r="E220" s="481"/>
      <c r="F220" s="811">
        <f>SUMIF($L14:$L218,"ITEM",F14:F218)</f>
        <v>175452.77</v>
      </c>
      <c r="G220" s="615"/>
      <c r="H220" s="615"/>
      <c r="I220" s="617"/>
      <c r="J220" s="615"/>
      <c r="K220" s="615"/>
      <c r="L220" s="616" t="s">
        <v>166</v>
      </c>
      <c r="M220" s="616"/>
      <c r="N220" s="616"/>
      <c r="O220" s="616"/>
      <c r="P220" s="616"/>
      <c r="Q220" s="64"/>
      <c r="R220" s="64"/>
      <c r="S220" s="64"/>
      <c r="T220" s="64"/>
    </row>
    <row r="221" spans="1:41">
      <c r="A221" s="64"/>
      <c r="B221" s="56" t="s">
        <v>167</v>
      </c>
      <c r="C221" s="64"/>
      <c r="D221" s="34"/>
      <c r="E221" s="64"/>
      <c r="F221" s="38" t="s">
        <v>168</v>
      </c>
      <c r="G221" s="615"/>
      <c r="H221" s="615"/>
      <c r="I221" s="617"/>
      <c r="J221" s="615"/>
      <c r="K221" s="615"/>
      <c r="L221" s="615"/>
      <c r="M221" s="615"/>
      <c r="N221" s="615"/>
      <c r="O221" s="615"/>
      <c r="P221" s="615"/>
      <c r="Q221" s="779"/>
      <c r="R221" s="812">
        <f>SUMIF($L14:$L218,"ITEM",R14:R219)</f>
        <v>142937.18599999999</v>
      </c>
      <c r="S221" s="72"/>
      <c r="T221" s="812">
        <f>SUMIF($L14:$L218,"ITEM",T14:T219)</f>
        <v>1000</v>
      </c>
    </row>
    <row r="222" spans="1:41" ht="16.5" customHeight="1">
      <c r="A222" s="615"/>
      <c r="B222" s="34"/>
      <c r="C222" s="615"/>
      <c r="D222" s="34"/>
      <c r="E222" s="34"/>
      <c r="F222" s="34"/>
      <c r="G222" s="34"/>
      <c r="H222" s="34"/>
      <c r="I222" s="34"/>
      <c r="J222" s="34"/>
      <c r="K222" s="34"/>
      <c r="L222" s="34"/>
      <c r="M222" s="34"/>
      <c r="N222" s="34"/>
      <c r="O222" s="40"/>
      <c r="P222" s="34"/>
      <c r="Q222" s="34"/>
      <c r="R222" s="38" t="s">
        <v>169</v>
      </c>
      <c r="S222" s="38"/>
      <c r="T222" s="38" t="s">
        <v>170</v>
      </c>
    </row>
    <row r="223" spans="1:41" ht="14.4" thickBot="1">
      <c r="A223" s="39"/>
      <c r="B223" s="643"/>
      <c r="C223" s="643"/>
      <c r="D223" s="39"/>
      <c r="E223" s="39"/>
      <c r="F223" s="813"/>
      <c r="G223" s="643"/>
      <c r="H223" s="643"/>
      <c r="I223" s="645"/>
      <c r="J223" s="643"/>
      <c r="K223" s="643"/>
      <c r="L223" s="643"/>
      <c r="M223" s="643"/>
      <c r="N223" s="643"/>
      <c r="O223" s="643"/>
      <c r="P223" s="643"/>
      <c r="Q223" s="647"/>
      <c r="R223" s="34"/>
      <c r="S223" s="34"/>
      <c r="T223" s="34"/>
    </row>
    <row r="224" spans="1:41" ht="15" thickTop="1" thickBot="1">
      <c r="A224" s="814" t="s">
        <v>147</v>
      </c>
      <c r="B224" s="615"/>
      <c r="C224" s="615"/>
      <c r="D224" s="615"/>
      <c r="E224" s="615"/>
      <c r="F224" s="616"/>
      <c r="G224" s="628"/>
      <c r="H224" s="64"/>
      <c r="I224" s="64"/>
      <c r="J224" s="64"/>
      <c r="K224" s="64"/>
      <c r="L224" s="615"/>
      <c r="M224" s="615"/>
      <c r="N224" s="615"/>
      <c r="O224" s="615"/>
      <c r="P224" s="615"/>
      <c r="Q224" s="779"/>
      <c r="R224" s="813"/>
      <c r="S224" s="815"/>
      <c r="T224" s="813"/>
      <c r="U224" s="816"/>
      <c r="V224" s="817"/>
      <c r="W224" s="817"/>
      <c r="X224" s="817"/>
      <c r="Y224" s="817"/>
      <c r="Z224" s="817"/>
      <c r="AA224" s="817"/>
      <c r="AB224" s="817"/>
      <c r="AC224" s="816"/>
      <c r="AD224" s="816"/>
      <c r="AE224" s="816"/>
      <c r="AF224" s="816"/>
      <c r="AG224" s="598"/>
      <c r="AH224" s="598" t="s">
        <v>287</v>
      </c>
      <c r="AI224" s="598"/>
      <c r="AJ224" s="598" t="s">
        <v>289</v>
      </c>
      <c r="AK224" s="598" t="s">
        <v>290</v>
      </c>
    </row>
    <row r="225" spans="1:37" ht="15" thickTop="1" thickBot="1">
      <c r="A225" s="64"/>
      <c r="B225" s="62">
        <f>$F225/$C$2-($R226*$S$2+$T226*$T$2)</f>
        <v>0</v>
      </c>
      <c r="C225" s="64" t="s">
        <v>73</v>
      </c>
      <c r="D225" s="63"/>
      <c r="E225" s="63" t="str">
        <f>$F$2 &amp; " (mu_A) :"</f>
        <v>Controls (mu_A) :</v>
      </c>
      <c r="F225" s="818">
        <f>SUMIF($K$13:$K224,"mu_A",F$13:F224)</f>
        <v>160326.92000000001</v>
      </c>
      <c r="G225" s="64"/>
      <c r="H225" s="64"/>
      <c r="I225" s="64"/>
      <c r="J225" s="64"/>
      <c r="K225" s="64"/>
      <c r="L225" s="64"/>
      <c r="M225" s="64"/>
      <c r="N225" s="64"/>
      <c r="O225" s="65"/>
      <c r="P225" s="64"/>
      <c r="Q225" s="64"/>
      <c r="R225" s="64"/>
      <c r="S225" s="64"/>
      <c r="T225" s="64"/>
      <c r="AH225" s="601">
        <f>SUM(AH$15:AH224)</f>
        <v>143898.76999999999</v>
      </c>
      <c r="AJ225" s="601">
        <f>SUM(AJ$15:AJ224)</f>
        <v>31554</v>
      </c>
      <c r="AK225" s="601">
        <f>SUM(AK$15:AK224)</f>
        <v>175452.77</v>
      </c>
    </row>
    <row r="226" spans="1:37" ht="14.4" thickTop="1">
      <c r="A226" s="64"/>
      <c r="B226" s="62">
        <f>$F226/$C$3-($R227*$S$3+$T227*$T$3)</f>
        <v>0</v>
      </c>
      <c r="C226" s="64" t="s">
        <v>73</v>
      </c>
      <c r="D226" s="63"/>
      <c r="E226" s="63" t="str">
        <f>$F$3&amp; " (mu_B) :"</f>
        <v>Preliminaries (mu_B) :</v>
      </c>
      <c r="F226" s="545">
        <f>SUMIF($K$13:$K224,"mu_B",F$13:F224)</f>
        <v>0</v>
      </c>
      <c r="G226" s="615"/>
      <c r="H226" s="615"/>
      <c r="I226" s="617"/>
      <c r="J226" s="615"/>
      <c r="K226" s="615"/>
      <c r="L226" s="615"/>
      <c r="M226" s="615"/>
      <c r="N226" s="615"/>
      <c r="O226" s="615"/>
      <c r="P226" s="615"/>
      <c r="Q226" s="779"/>
      <c r="R226" s="819">
        <f>SUMIF($K$13:$K224,"mu_A",R$13:R$225)</f>
        <v>139731.92000000001</v>
      </c>
      <c r="S226" s="64"/>
      <c r="T226" s="819">
        <f>SUMIF($K$13:$K224,"mu_A",T$13:T$225)</f>
        <v>750</v>
      </c>
      <c r="AG226" s="619"/>
      <c r="AH226" s="818">
        <f>R226*$S$2</f>
        <v>139731.92000000001</v>
      </c>
      <c r="AI226" s="619"/>
      <c r="AJ226" s="818">
        <f>T226*$T$2</f>
        <v>20595</v>
      </c>
      <c r="AK226" s="619"/>
    </row>
    <row r="227" spans="1:37">
      <c r="A227" s="64"/>
      <c r="B227" s="62">
        <f>$F227/$C$4-($R228*$S$4+$T228*$T$4)</f>
        <v>4.2000000012194505E-3</v>
      </c>
      <c r="C227" s="64" t="s">
        <v>73</v>
      </c>
      <c r="D227" s="63"/>
      <c r="E227" s="63" t="str">
        <f>$F$4&amp; " (mu_C) :"</f>
        <v>BMS - Pair (mu_C) :</v>
      </c>
      <c r="F227" s="546">
        <f>SUMIF($K$13:$K224,"mu_C",F$13:F224)</f>
        <v>15125.85</v>
      </c>
      <c r="G227" s="615"/>
      <c r="H227" s="615"/>
      <c r="I227" s="617"/>
      <c r="J227" s="615"/>
      <c r="K227" s="615"/>
      <c r="L227" s="615"/>
      <c r="M227" s="615"/>
      <c r="N227" s="615"/>
      <c r="O227" s="615"/>
      <c r="P227" s="615"/>
      <c r="Q227" s="64"/>
      <c r="R227" s="70">
        <f>SUMIF($K$13:$K224,"mu_B",R$13:R225)</f>
        <v>0</v>
      </c>
      <c r="S227" s="71"/>
      <c r="T227" s="70">
        <f>SUMIF($K$13:$K224,"mu_B",T$13:T225)</f>
        <v>0</v>
      </c>
      <c r="AG227" s="619"/>
      <c r="AH227" s="545">
        <f>R227*$S$3</f>
        <v>0</v>
      </c>
      <c r="AI227" s="619"/>
      <c r="AJ227" s="545">
        <f>T227*$T$3</f>
        <v>0</v>
      </c>
      <c r="AK227" s="619"/>
    </row>
    <row r="228" spans="1:37">
      <c r="A228" s="64"/>
      <c r="B228" s="62">
        <f>$F228/$C$5-($R229*$S$5+$T229*$T$5)</f>
        <v>0</v>
      </c>
      <c r="C228" s="64" t="s">
        <v>73</v>
      </c>
      <c r="D228" s="63"/>
      <c r="E228" s="63" t="str">
        <f>$F$5&amp; " (mu_D) :"</f>
        <v>BMS - Tech (mu_D) :</v>
      </c>
      <c r="F228" s="547">
        <f>SUMIF($K$13:$K224,"mu_D",F$13:F224)</f>
        <v>0</v>
      </c>
      <c r="G228" s="615"/>
      <c r="H228" s="615"/>
      <c r="I228" s="617"/>
      <c r="J228" s="615"/>
      <c r="K228" s="615"/>
      <c r="L228" s="615"/>
      <c r="M228" s="615"/>
      <c r="N228" s="615"/>
      <c r="O228" s="615"/>
      <c r="P228" s="615"/>
      <c r="Q228" s="64"/>
      <c r="R228" s="70">
        <f>SUMIF($K$13:$K224,"mu_C",R$13:R225)</f>
        <v>3205.2659999999996</v>
      </c>
      <c r="S228" s="72"/>
      <c r="T228" s="70">
        <f>SUMIF($K$13:$K224,"mu_C",T$13:T225)</f>
        <v>250</v>
      </c>
      <c r="AG228" s="619"/>
      <c r="AH228" s="546">
        <f>R228*$S$4</f>
        <v>4166.8458000000001</v>
      </c>
      <c r="AI228" s="619"/>
      <c r="AJ228" s="546">
        <f>T228*$T$4</f>
        <v>10959</v>
      </c>
      <c r="AK228" s="619"/>
    </row>
    <row r="229" spans="1:37">
      <c r="A229" s="64"/>
      <c r="B229" s="62">
        <f>$F229/$C$6-($R230*$S$6+$T230*$T$6)</f>
        <v>0</v>
      </c>
      <c r="C229" s="64" t="s">
        <v>73</v>
      </c>
      <c r="D229" s="63"/>
      <c r="E229" s="63" t="str">
        <f>$F$6&amp; " (mu_E) :"</f>
        <v>BMS - Engineer (mu_E) :</v>
      </c>
      <c r="F229" s="548">
        <f>SUMIF($K$13:$K224,"mu_E",F$13:F224)</f>
        <v>0</v>
      </c>
      <c r="G229" s="615"/>
      <c r="H229" s="615"/>
      <c r="I229" s="617"/>
      <c r="J229" s="615"/>
      <c r="K229" s="615"/>
      <c r="L229" s="615"/>
      <c r="M229" s="615"/>
      <c r="N229" s="615"/>
      <c r="O229" s="615"/>
      <c r="P229" s="615"/>
      <c r="Q229" s="64"/>
      <c r="R229" s="70">
        <f>SUMIF($K$13:$K224,"mu_D",R$13:R225)</f>
        <v>0</v>
      </c>
      <c r="S229" s="72"/>
      <c r="T229" s="70">
        <f>SUMIF($K$13:$K224,"mu_D",T$13:T225)</f>
        <v>0</v>
      </c>
      <c r="AG229" s="619"/>
      <c r="AH229" s="547">
        <f>R229*$S$5</f>
        <v>0</v>
      </c>
      <c r="AI229" s="619"/>
      <c r="AJ229" s="547">
        <f>T229*$T$5</f>
        <v>0</v>
      </c>
      <c r="AK229" s="619"/>
    </row>
    <row r="230" spans="1:37">
      <c r="A230" s="64"/>
      <c r="B230" s="62">
        <f>$F230/$C$7-($R231*$S$7+$T231*$T$7)</f>
        <v>0</v>
      </c>
      <c r="C230" s="64" t="s">
        <v>73</v>
      </c>
      <c r="D230" s="63"/>
      <c r="E230" s="63" t="str">
        <f>$F$7&amp; " (mu_F) :"</f>
        <v>0 (mu_F) :</v>
      </c>
      <c r="F230" s="549">
        <f>SUMIF($K$13:$K224,"mu_F",F$13:F224)</f>
        <v>0</v>
      </c>
      <c r="G230" s="615"/>
      <c r="H230" s="615"/>
      <c r="I230" s="617"/>
      <c r="J230" s="615"/>
      <c r="K230" s="615"/>
      <c r="L230" s="615"/>
      <c r="M230" s="615"/>
      <c r="N230" s="615"/>
      <c r="O230" s="615"/>
      <c r="P230" s="615"/>
      <c r="Q230" s="64"/>
      <c r="R230" s="70">
        <f>SUMIF($K$13:$K224,"mu_E",R$13:R225)</f>
        <v>0</v>
      </c>
      <c r="S230" s="72"/>
      <c r="T230" s="70">
        <f>SUMIF($K$13:$K224,"mu_E",T$13:T225)</f>
        <v>0</v>
      </c>
      <c r="AG230" s="619"/>
      <c r="AH230" s="548">
        <f>R230*$S$6</f>
        <v>0</v>
      </c>
      <c r="AI230" s="619"/>
      <c r="AJ230" s="548">
        <f>T230*$T$6</f>
        <v>0</v>
      </c>
      <c r="AK230" s="619"/>
    </row>
    <row r="231" spans="1:37">
      <c r="A231" s="64"/>
      <c r="B231" s="62">
        <f>$F231/$C$8-($R232*$S$8+$T232*$T$8)</f>
        <v>0</v>
      </c>
      <c r="C231" s="64" t="s">
        <v>73</v>
      </c>
      <c r="D231" s="63"/>
      <c r="E231" s="63" t="str">
        <f>$F$8&amp; " (mu_G) :"</f>
        <v>0 (mu_G) :</v>
      </c>
      <c r="F231" s="820">
        <f>SUMIF($K$13:$K224,"mu_G",F$13:F224)</f>
        <v>0</v>
      </c>
      <c r="G231" s="615"/>
      <c r="H231" s="615"/>
      <c r="I231" s="617"/>
      <c r="J231" s="615"/>
      <c r="K231" s="615"/>
      <c r="L231" s="615"/>
      <c r="M231" s="615"/>
      <c r="N231" s="615"/>
      <c r="O231" s="615"/>
      <c r="P231" s="615"/>
      <c r="Q231" s="64"/>
      <c r="R231" s="70">
        <f>SUMIF($K$13:$K224,"mu_F",R$13:R225)</f>
        <v>0</v>
      </c>
      <c r="S231" s="72"/>
      <c r="T231" s="70">
        <f>SUMIF($K$13:$K224,"mu_F",T$13:T225)</f>
        <v>0</v>
      </c>
      <c r="AG231" s="619"/>
      <c r="AH231" s="549">
        <f>R231*$S$7</f>
        <v>0</v>
      </c>
      <c r="AI231" s="619"/>
      <c r="AJ231" s="549">
        <f>T231*$T$7</f>
        <v>0</v>
      </c>
      <c r="AK231" s="619"/>
    </row>
    <row r="232" spans="1:37">
      <c r="A232" s="64"/>
      <c r="B232" s="62">
        <f>$F232/$C$9-($R233*$S$9+$T233*$T$9)</f>
        <v>0</v>
      </c>
      <c r="C232" s="64" t="s">
        <v>73</v>
      </c>
      <c r="D232" s="63"/>
      <c r="E232" s="63" t="str">
        <f>$F$9&amp; " (mu_H) :"</f>
        <v>0 (mu_H) :</v>
      </c>
      <c r="F232" s="821">
        <f>SUMIF($K$13:$K224,"mu_H",F$13:F224)</f>
        <v>0</v>
      </c>
      <c r="G232" s="615"/>
      <c r="H232" s="615"/>
      <c r="I232" s="617"/>
      <c r="J232" s="615"/>
      <c r="K232" s="615"/>
      <c r="L232" s="615"/>
      <c r="M232" s="615"/>
      <c r="N232" s="615"/>
      <c r="O232" s="615"/>
      <c r="P232" s="615"/>
      <c r="Q232" s="64"/>
      <c r="R232" s="70">
        <f>SUMIF($K$13:$K224,"mu_G",R$13:R225)</f>
        <v>0</v>
      </c>
      <c r="S232" s="72"/>
      <c r="T232" s="70">
        <f>SUMIF($K$13:$K224,"mu_G",T$13:T225)</f>
        <v>0</v>
      </c>
      <c r="AG232" s="619"/>
      <c r="AH232" s="820">
        <f>R232*$S$8</f>
        <v>0</v>
      </c>
      <c r="AI232" s="619"/>
      <c r="AJ232" s="820">
        <f>T232*$T$8</f>
        <v>0</v>
      </c>
      <c r="AK232" s="619"/>
    </row>
    <row r="233" spans="1:37">
      <c r="A233" s="64"/>
      <c r="B233" s="62">
        <f>$F233/$C$10-($R234*$S$10+$T234*$T$10)</f>
        <v>0</v>
      </c>
      <c r="C233" s="64" t="s">
        <v>73</v>
      </c>
      <c r="D233" s="63"/>
      <c r="E233" s="63" t="str">
        <f>$F$10&amp; " (mu_I) :"</f>
        <v>0 (mu_I) :</v>
      </c>
      <c r="F233" s="822">
        <f>SUMIF($K$13:$K224,"mu_I",F$13:F224)</f>
        <v>0</v>
      </c>
      <c r="G233" s="615"/>
      <c r="H233" s="615"/>
      <c r="I233" s="617"/>
      <c r="J233" s="615"/>
      <c r="K233" s="615"/>
      <c r="L233" s="615"/>
      <c r="M233" s="615"/>
      <c r="N233" s="615"/>
      <c r="O233" s="615"/>
      <c r="P233" s="615"/>
      <c r="Q233" s="64"/>
      <c r="R233" s="70">
        <f>SUMIF($K$13:$K224,"mu_H",R$13:R225)</f>
        <v>0</v>
      </c>
      <c r="S233" s="72"/>
      <c r="T233" s="70">
        <f>SUMIF($K$13:$K224,"mu_H",T$13:T225)</f>
        <v>0</v>
      </c>
      <c r="AG233" s="619"/>
      <c r="AH233" s="821">
        <f>R233*$S$9</f>
        <v>0</v>
      </c>
      <c r="AI233" s="619"/>
      <c r="AJ233" s="821">
        <f>T233*$T$9</f>
        <v>0</v>
      </c>
      <c r="AK233" s="619"/>
    </row>
    <row r="234" spans="1:37">
      <c r="A234" s="64"/>
      <c r="B234" s="62">
        <f>$F234/$C$11-($R235*$S$11+$T235*$T$11)</f>
        <v>0</v>
      </c>
      <c r="C234" s="64"/>
      <c r="D234" s="63"/>
      <c r="E234" s="63" t="str">
        <f>$F$11&amp; " (mu_J) :"</f>
        <v>0 (mu_J) :</v>
      </c>
      <c r="F234" s="823">
        <f>SUMIF($K$13:$K225,"mu_J",F$13:F225)</f>
        <v>0</v>
      </c>
      <c r="G234" s="615"/>
      <c r="H234" s="615"/>
      <c r="I234" s="617"/>
      <c r="J234" s="615"/>
      <c r="K234" s="615"/>
      <c r="L234" s="615"/>
      <c r="M234" s="615"/>
      <c r="N234" s="615"/>
      <c r="O234" s="615"/>
      <c r="P234" s="615"/>
      <c r="Q234" s="64"/>
      <c r="R234" s="70">
        <f>SUMIF($K$13:$K224,"mu_I",R$13:R225)</f>
        <v>0</v>
      </c>
      <c r="S234" s="72"/>
      <c r="T234" s="70">
        <f>SUMIF($K$13:$K224,"mu_I",T$13:T225)</f>
        <v>0</v>
      </c>
      <c r="AG234" s="619"/>
      <c r="AH234" s="822">
        <f>R234*$S$10</f>
        <v>0</v>
      </c>
      <c r="AI234" s="619"/>
      <c r="AJ234" s="822">
        <f>T234*$T$10</f>
        <v>0</v>
      </c>
      <c r="AK234" s="619"/>
    </row>
    <row r="235" spans="1:37" ht="15" thickBot="1">
      <c r="A235" s="824"/>
      <c r="B235" s="824"/>
      <c r="C235" s="74" t="s">
        <v>148</v>
      </c>
      <c r="D235" s="75"/>
      <c r="E235" s="172" t="s">
        <v>149</v>
      </c>
      <c r="F235" s="825">
        <f>SUM(F225:F234)</f>
        <v>175452.77000000002</v>
      </c>
      <c r="G235" s="826" t="s">
        <v>142</v>
      </c>
      <c r="H235" s="827"/>
      <c r="I235" s="828"/>
      <c r="J235" s="827"/>
      <c r="K235" s="827"/>
      <c r="L235" s="827"/>
      <c r="M235" s="827"/>
      <c r="N235" s="827"/>
      <c r="O235" s="827"/>
      <c r="P235" s="827"/>
      <c r="Q235" s="829"/>
      <c r="R235" s="70">
        <f>SUMIF($K$13:$K225,"mu_J",R$13:R225)</f>
        <v>0</v>
      </c>
      <c r="S235" s="72"/>
      <c r="T235" s="70">
        <f>SUMIF($K$13:$K225,"mu_J",T$13:T226)</f>
        <v>0</v>
      </c>
      <c r="AG235" s="619"/>
      <c r="AH235" s="823">
        <f>R235*$S$11</f>
        <v>0</v>
      </c>
      <c r="AI235" s="619"/>
      <c r="AJ235" s="823">
        <f>T235*$T$11</f>
        <v>0</v>
      </c>
      <c r="AK235" s="619"/>
    </row>
    <row r="236" spans="1:37" ht="15.6" thickTop="1" thickBot="1">
      <c r="A236" s="830"/>
      <c r="B236" s="830"/>
      <c r="C236" s="82"/>
      <c r="D236" s="83"/>
      <c r="E236" s="38"/>
      <c r="F236" s="91"/>
      <c r="G236" s="629"/>
      <c r="H236" s="629"/>
      <c r="I236" s="629"/>
      <c r="J236" s="629"/>
      <c r="K236" s="629"/>
      <c r="L236" s="629"/>
      <c r="M236" s="629"/>
      <c r="N236" s="629"/>
      <c r="O236" s="629"/>
      <c r="P236" s="629"/>
      <c r="Q236" s="91"/>
      <c r="R236" s="829">
        <f>SUM(R226:R235)</f>
        <v>142937.18600000002</v>
      </c>
      <c r="S236" s="80"/>
      <c r="T236" s="829">
        <f>SUM(T226:T235)</f>
        <v>1000</v>
      </c>
      <c r="U236" s="816"/>
      <c r="V236" s="817"/>
      <c r="W236" s="817"/>
      <c r="X236" s="817"/>
      <c r="Y236" s="817"/>
      <c r="Z236" s="817"/>
      <c r="AA236" s="817"/>
      <c r="AB236" s="817"/>
      <c r="AC236" s="816"/>
      <c r="AD236" s="816"/>
      <c r="AE236" s="816"/>
      <c r="AF236" s="816"/>
      <c r="AG236" s="600"/>
      <c r="AH236" s="601">
        <f>SUM(AH226:AH235)</f>
        <v>143898.76580000002</v>
      </c>
      <c r="AI236" s="600"/>
      <c r="AJ236" s="601">
        <f>SUM(AJ226:AJ235)</f>
        <v>31554</v>
      </c>
      <c r="AK236" s="601">
        <f>AH236+AJ236</f>
        <v>175452.76580000002</v>
      </c>
    </row>
    <row r="237" spans="1:37" ht="14.4" thickTop="1">
      <c r="A237" s="93"/>
      <c r="B237" s="94" t="s">
        <v>233</v>
      </c>
      <c r="C237" s="64"/>
      <c r="D237" s="90"/>
      <c r="E237" s="38" t="s">
        <v>172</v>
      </c>
      <c r="F237" s="638"/>
      <c r="G237" s="638"/>
      <c r="H237" s="638"/>
      <c r="I237" s="638"/>
      <c r="J237" s="638"/>
      <c r="K237" s="638"/>
      <c r="L237" s="91" t="s">
        <v>150</v>
      </c>
      <c r="M237" s="91"/>
      <c r="N237" s="91"/>
      <c r="O237" s="91"/>
      <c r="P237" s="91"/>
      <c r="Q237" s="638"/>
      <c r="R237" s="91"/>
      <c r="S237" s="87"/>
      <c r="T237" s="91"/>
      <c r="AH237" s="599">
        <f>AH225-AH236</f>
        <v>4.1999999666586518E-3</v>
      </c>
      <c r="AJ237" s="599">
        <f>AJ225-AJ236</f>
        <v>0</v>
      </c>
      <c r="AK237" s="599">
        <f>AK225-AK236</f>
        <v>4.1999999666586518E-3</v>
      </c>
    </row>
    <row r="238" spans="1:37" ht="14.4" thickBot="1">
      <c r="A238" s="93"/>
      <c r="B238" s="94" t="s">
        <v>232</v>
      </c>
      <c r="C238" s="64"/>
      <c r="D238" s="64"/>
      <c r="E238" s="71"/>
      <c r="F238" s="638"/>
      <c r="G238" s="638"/>
      <c r="H238" s="638"/>
      <c r="I238" s="638"/>
      <c r="J238" s="638"/>
      <c r="K238" s="638"/>
      <c r="L238" s="638"/>
      <c r="M238" s="638"/>
      <c r="N238" s="638"/>
      <c r="O238" s="638"/>
      <c r="P238" s="638"/>
      <c r="Q238" s="638"/>
      <c r="R238" s="831">
        <f>SUMIF($L$13:$L224,"",R$13:R225)</f>
        <v>285874.37199999997</v>
      </c>
      <c r="S238" s="831"/>
      <c r="T238" s="831">
        <f>SUMIF($L$13:$L224,"",T$13:T225)</f>
        <v>2000</v>
      </c>
    </row>
    <row r="239" spans="1:37" ht="14.4" thickBot="1">
      <c r="A239" s="377"/>
      <c r="B239" s="832">
        <f>$F239/$C$2-($R240*$S$2+$T240*$T$2)</f>
        <v>5055.5840000000026</v>
      </c>
      <c r="C239" s="64"/>
      <c r="D239" s="90"/>
      <c r="E239" s="38" t="s">
        <v>171</v>
      </c>
      <c r="F239" s="833">
        <f>SUMIF($L$13:$L224,"ITEM",F$13:F224)</f>
        <v>175452.77</v>
      </c>
      <c r="G239" s="638"/>
      <c r="H239" s="638"/>
      <c r="I239" s="638"/>
      <c r="J239" s="638"/>
      <c r="K239" s="638"/>
      <c r="L239" s="91" t="s">
        <v>151</v>
      </c>
      <c r="M239" s="91"/>
      <c r="N239" s="91"/>
      <c r="O239" s="91"/>
      <c r="P239" s="91"/>
      <c r="Q239" s="831"/>
      <c r="R239" s="638"/>
      <c r="S239" s="638"/>
      <c r="T239" s="638"/>
    </row>
    <row r="240" spans="1:37" ht="14.4" thickBot="1">
      <c r="A240" s="377"/>
      <c r="B240" s="834"/>
      <c r="C240" s="615"/>
      <c r="D240" s="64"/>
      <c r="E240" s="71"/>
      <c r="F240" s="638"/>
      <c r="G240" s="638"/>
      <c r="H240" s="638"/>
      <c r="I240" s="638"/>
      <c r="J240" s="638"/>
      <c r="K240" s="638"/>
      <c r="L240" s="638"/>
      <c r="M240" s="638"/>
      <c r="N240" s="638"/>
      <c r="O240" s="638"/>
      <c r="P240" s="638"/>
      <c r="Q240" s="638"/>
      <c r="R240" s="835">
        <f>SUMIF($L$13:$L224,"ITEM",R$13:R225)</f>
        <v>142937.18599999999</v>
      </c>
      <c r="S240" s="836"/>
      <c r="T240" s="835">
        <f>SUMIF($L$13:$L224,"ITEM",T$13:T225)</f>
        <v>1000</v>
      </c>
    </row>
    <row r="241" spans="1:37" ht="14.4" thickBot="1">
      <c r="A241" s="377"/>
      <c r="B241" s="832">
        <f>$F241/$C$2-($R242*$S$2+$T242*$T$2)</f>
        <v>175452.77</v>
      </c>
      <c r="C241" s="64"/>
      <c r="D241" s="837"/>
      <c r="E241" s="838" t="s">
        <v>152</v>
      </c>
      <c r="F241" s="839">
        <f>SUMIF($L$13:$L224,"PAGE",F$13:F224)</f>
        <v>175452.77</v>
      </c>
      <c r="G241" s="617"/>
      <c r="H241" s="617"/>
      <c r="I241" s="617"/>
      <c r="J241" s="617"/>
      <c r="K241" s="638"/>
      <c r="L241" s="629" t="s">
        <v>153</v>
      </c>
      <c r="M241" s="629"/>
      <c r="N241" s="629"/>
      <c r="O241" s="629"/>
      <c r="P241" s="629"/>
      <c r="Q241" s="831"/>
      <c r="R241" s="638"/>
      <c r="S241" s="638"/>
      <c r="T241" s="638"/>
    </row>
    <row r="242" spans="1:37" ht="14.4" thickBot="1">
      <c r="A242" s="377"/>
      <c r="B242" s="832"/>
      <c r="C242" s="64"/>
      <c r="D242" s="64"/>
      <c r="E242" s="71"/>
      <c r="F242" s="638"/>
      <c r="G242" s="638"/>
      <c r="H242" s="638"/>
      <c r="I242" s="638"/>
      <c r="J242" s="638"/>
      <c r="K242" s="638"/>
      <c r="L242" s="638"/>
      <c r="M242" s="638"/>
      <c r="N242" s="638"/>
      <c r="O242" s="638"/>
      <c r="P242" s="638"/>
      <c r="Q242" s="638"/>
      <c r="R242" s="840">
        <f>SUMIF($L$13:$L224,"PAGE",R$13:R225)</f>
        <v>0</v>
      </c>
      <c r="S242" s="841"/>
      <c r="T242" s="840">
        <f>SUMIF($L$13:$L224,"PAGE",T$13:T225)</f>
        <v>0</v>
      </c>
    </row>
    <row r="243" spans="1:37" ht="14.4" thickBot="1">
      <c r="A243" s="378" t="s">
        <v>154</v>
      </c>
      <c r="B243" s="832">
        <f>$F243/$C$2-($R244*$S$2+$T244*$T$2)</f>
        <v>0</v>
      </c>
      <c r="C243" s="64"/>
      <c r="D243" s="616"/>
      <c r="E243" s="838" t="s">
        <v>155</v>
      </c>
      <c r="F243" s="842">
        <f>SUMIF($L$13:$L224,"SECT",F$13:F224)</f>
        <v>0</v>
      </c>
      <c r="G243" s="617"/>
      <c r="H243" s="617"/>
      <c r="I243" s="617"/>
      <c r="J243" s="617"/>
      <c r="K243" s="638"/>
      <c r="L243" s="91" t="s">
        <v>156</v>
      </c>
      <c r="M243" s="91"/>
      <c r="N243" s="91"/>
      <c r="O243" s="91"/>
      <c r="P243" s="91"/>
      <c r="Q243" s="831"/>
      <c r="R243" s="638"/>
      <c r="S243" s="638"/>
      <c r="T243" s="638"/>
    </row>
    <row r="244" spans="1:37" ht="14.4" thickBot="1">
      <c r="A244" s="104" t="s">
        <v>157</v>
      </c>
      <c r="B244" s="39"/>
      <c r="C244" s="34"/>
      <c r="D244" s="39"/>
      <c r="E244" s="39"/>
      <c r="F244" s="105"/>
      <c r="G244" s="813"/>
      <c r="H244" s="813"/>
      <c r="I244" s="813"/>
      <c r="J244" s="813"/>
      <c r="K244" s="813"/>
      <c r="L244" s="813"/>
      <c r="M244" s="813"/>
      <c r="N244" s="813"/>
      <c r="O244" s="813"/>
      <c r="P244" s="813"/>
      <c r="Q244" s="813"/>
      <c r="R244" s="843">
        <f>SUMIF($L$13:$L224,"SECT",R$13:R225)</f>
        <v>0</v>
      </c>
      <c r="S244" s="831"/>
      <c r="T244" s="843">
        <f>SUMIF($L$13:$L224,"SECT",T$13:T225)</f>
        <v>0</v>
      </c>
    </row>
    <row r="245" spans="1:37" ht="15" thickTop="1" thickBot="1">
      <c r="A245" s="844"/>
      <c r="B245" s="845" t="s">
        <v>71</v>
      </c>
      <c r="C245" s="846"/>
      <c r="D245" s="847"/>
      <c r="E245" s="848" t="s">
        <v>158</v>
      </c>
      <c r="F245" s="849"/>
      <c r="G245" s="849"/>
      <c r="H245" s="849"/>
      <c r="I245" s="849"/>
      <c r="J245" s="849"/>
      <c r="K245" s="849"/>
      <c r="L245" s="849"/>
      <c r="M245" s="849"/>
      <c r="N245" s="849"/>
      <c r="O245" s="850"/>
      <c r="P245" s="849"/>
      <c r="Q245" s="851"/>
      <c r="R245" s="105"/>
      <c r="S245" s="105"/>
      <c r="T245" s="105"/>
      <c r="U245" s="816"/>
      <c r="V245" s="817"/>
      <c r="W245" s="817"/>
      <c r="X245" s="817"/>
      <c r="Y245" s="817"/>
      <c r="Z245" s="817"/>
      <c r="AA245" s="817"/>
      <c r="AB245" s="817"/>
      <c r="AC245" s="816"/>
      <c r="AD245" s="816"/>
      <c r="AE245" s="816"/>
      <c r="AF245" s="816"/>
      <c r="AG245" s="816"/>
      <c r="AH245" s="816"/>
      <c r="AI245" s="816"/>
      <c r="AJ245" s="816"/>
      <c r="AK245" s="816"/>
    </row>
    <row r="246" spans="1:37" ht="14.4" thickTop="1">
      <c r="A246" s="852"/>
      <c r="B246" s="853">
        <v>1</v>
      </c>
      <c r="C246" s="846" t="s">
        <v>73</v>
      </c>
      <c r="D246" s="808" t="s">
        <v>74</v>
      </c>
      <c r="F246" s="854">
        <v>501</v>
      </c>
      <c r="O246" s="855"/>
      <c r="P246" s="808">
        <v>1</v>
      </c>
      <c r="R246" s="856">
        <f>SUM(R247:R314)</f>
        <v>142762.18599999999</v>
      </c>
      <c r="S246" s="857"/>
      <c r="T246" s="856">
        <f>SUM(T247:T314)</f>
        <v>1000</v>
      </c>
    </row>
    <row r="247" spans="1:37">
      <c r="A247" s="852"/>
      <c r="B247" s="853">
        <v>2</v>
      </c>
      <c r="C247" s="846" t="s">
        <v>73</v>
      </c>
      <c r="D247" s="808" t="s">
        <v>75</v>
      </c>
      <c r="F247" s="854">
        <v>505</v>
      </c>
      <c r="O247" s="855"/>
      <c r="P247" s="808">
        <v>1</v>
      </c>
      <c r="R247" s="858">
        <f>SUMIF($H$13:$H$224,$F246,R$13:R$225)+[2]Elec_Rates!R131</f>
        <v>0</v>
      </c>
      <c r="S247" s="859"/>
      <c r="T247" s="858">
        <f>SUMIF($H$13:$H$224,$F246,T$13:T$225)+[2]Elec_Rates!T131</f>
        <v>0</v>
      </c>
    </row>
    <row r="248" spans="1:37">
      <c r="A248" s="852"/>
      <c r="B248" s="853">
        <v>3</v>
      </c>
      <c r="C248" s="846" t="s">
        <v>73</v>
      </c>
      <c r="D248" s="808" t="s">
        <v>76</v>
      </c>
      <c r="F248" s="854">
        <v>510</v>
      </c>
      <c r="O248" s="855"/>
      <c r="P248" s="808">
        <v>2</v>
      </c>
      <c r="R248" s="858">
        <f>SUMIF($H$13:$H$224,$F247,R$13:R$225)+[2]Elec_Rates!R132</f>
        <v>0</v>
      </c>
      <c r="S248" s="859"/>
      <c r="T248" s="858">
        <f>SUMIF($H$13:$H$224,$F247,T$13:T$225)+[2]Elec_Rates!T132</f>
        <v>0</v>
      </c>
    </row>
    <row r="249" spans="1:37">
      <c r="A249" s="852"/>
      <c r="B249" s="853">
        <v>4</v>
      </c>
      <c r="C249" s="846" t="s">
        <v>73</v>
      </c>
      <c r="D249" s="808" t="s">
        <v>77</v>
      </c>
      <c r="F249" s="854">
        <v>511</v>
      </c>
      <c r="O249" s="855"/>
      <c r="P249" s="808">
        <v>2</v>
      </c>
      <c r="R249" s="858">
        <f>SUMIF($H$13:$H$224,$F248,R$13:R$225)+[2]Elec_Rates!R133</f>
        <v>0</v>
      </c>
      <c r="S249" s="859"/>
      <c r="T249" s="858">
        <f>SUMIF($H$13:$H$224,$F248,T$13:T$225)+[2]Elec_Rates!T133</f>
        <v>0</v>
      </c>
    </row>
    <row r="250" spans="1:37">
      <c r="A250" s="852"/>
      <c r="B250" s="853">
        <v>5</v>
      </c>
      <c r="C250" s="846" t="s">
        <v>73</v>
      </c>
      <c r="D250" s="808" t="s">
        <v>78</v>
      </c>
      <c r="F250" s="854">
        <v>512</v>
      </c>
      <c r="O250" s="855"/>
      <c r="P250" s="808">
        <v>2</v>
      </c>
      <c r="R250" s="858">
        <f>SUMIF($H$13:$H$224,$F249,R$13:R$225)+[2]Elec_Rates!R134</f>
        <v>0</v>
      </c>
      <c r="S250" s="859"/>
      <c r="T250" s="858">
        <f>SUMIF($H$13:$H$224,$F249,T$13:T$225)+[2]Elec_Rates!T134</f>
        <v>0</v>
      </c>
    </row>
    <row r="251" spans="1:37">
      <c r="A251" s="852"/>
      <c r="B251" s="853">
        <v>6</v>
      </c>
      <c r="C251" s="846" t="s">
        <v>73</v>
      </c>
      <c r="D251" s="808" t="s">
        <v>79</v>
      </c>
      <c r="F251" s="854">
        <v>520</v>
      </c>
      <c r="O251" s="855"/>
      <c r="P251" s="808">
        <v>1</v>
      </c>
      <c r="R251" s="858">
        <f>SUMIF($H$13:$H$224,$F250,R$13:R$225)+[2]Elec_Rates!R135</f>
        <v>0</v>
      </c>
      <c r="S251" s="859"/>
      <c r="T251" s="858">
        <f>SUMIF($H$13:$H$224,$F250,T$13:T$225)+[2]Elec_Rates!T135</f>
        <v>0</v>
      </c>
    </row>
    <row r="252" spans="1:37">
      <c r="A252" s="852"/>
      <c r="B252" s="853">
        <v>7</v>
      </c>
      <c r="C252" s="846" t="s">
        <v>73</v>
      </c>
      <c r="D252" s="808" t="s">
        <v>80</v>
      </c>
      <c r="F252" s="854">
        <v>530</v>
      </c>
      <c r="O252" s="855"/>
      <c r="P252" s="808">
        <v>2</v>
      </c>
      <c r="R252" s="858">
        <f>SUMIF($H$13:$H$224,$F251,R$13:R$225)+[2]Elec_Rates!R136</f>
        <v>0</v>
      </c>
      <c r="S252" s="859"/>
      <c r="T252" s="858">
        <f>SUMIF($H$13:$H$224,$F251,T$13:T$225)+[2]Elec_Rates!T136</f>
        <v>0</v>
      </c>
    </row>
    <row r="253" spans="1:37">
      <c r="A253" s="852"/>
      <c r="B253" s="853">
        <v>8</v>
      </c>
      <c r="C253" s="846" t="s">
        <v>73</v>
      </c>
      <c r="D253" s="808" t="s">
        <v>81</v>
      </c>
      <c r="F253" s="854">
        <v>550</v>
      </c>
      <c r="O253" s="855"/>
      <c r="P253" s="808">
        <v>2</v>
      </c>
      <c r="R253" s="858">
        <f>SUMIF($H$13:$H$224,$F252,R$13:R$225)+[2]Elec_Rates!R137</f>
        <v>0</v>
      </c>
      <c r="S253" s="859"/>
      <c r="T253" s="858">
        <f>SUMIF($H$13:$H$224,$F252,T$13:T$225)+[2]Elec_Rates!T137</f>
        <v>0</v>
      </c>
    </row>
    <row r="254" spans="1:37">
      <c r="A254" s="852"/>
      <c r="B254" s="853">
        <v>9</v>
      </c>
      <c r="C254" s="846" t="s">
        <v>73</v>
      </c>
      <c r="D254" s="808" t="s">
        <v>82</v>
      </c>
      <c r="F254" s="854">
        <v>570</v>
      </c>
      <c r="O254" s="855"/>
      <c r="P254" s="808">
        <v>2</v>
      </c>
      <c r="R254" s="858">
        <f>SUMIF($H$13:$H$224,$F253,R$13:R$225)+[2]Elec_Rates!R138</f>
        <v>0</v>
      </c>
      <c r="S254" s="859"/>
      <c r="T254" s="858">
        <f>SUMIF($H$13:$H$224,$F253,T$13:T$225)+[2]Elec_Rates!T138</f>
        <v>0</v>
      </c>
    </row>
    <row r="255" spans="1:37">
      <c r="A255" s="852"/>
      <c r="B255" s="853">
        <v>10</v>
      </c>
      <c r="C255" s="846" t="s">
        <v>73</v>
      </c>
      <c r="D255" s="808" t="s">
        <v>83</v>
      </c>
      <c r="F255" s="854">
        <v>615</v>
      </c>
      <c r="O255" s="855"/>
      <c r="P255" s="808">
        <v>2</v>
      </c>
      <c r="R255" s="858">
        <f>SUMIF($H$13:$H$224,$F254,R$13:R$225)+[2]Elec_Rates!R139</f>
        <v>0</v>
      </c>
      <c r="S255" s="859"/>
      <c r="T255" s="858">
        <f>SUMIF($H$13:$H$224,$F254,T$13:T$225)+[2]Elec_Rates!T139</f>
        <v>0</v>
      </c>
    </row>
    <row r="256" spans="1:37">
      <c r="A256" s="852"/>
      <c r="B256" s="853">
        <v>11</v>
      </c>
      <c r="C256" s="846" t="s">
        <v>73</v>
      </c>
      <c r="D256" s="808" t="s">
        <v>85</v>
      </c>
      <c r="F256" s="854">
        <v>616</v>
      </c>
      <c r="O256" s="855"/>
      <c r="P256" s="808">
        <v>2</v>
      </c>
      <c r="R256" s="858">
        <f>SUMIF($H$13:$H$224,$F255,R$13:R$225)+[2]Elec_Rates!R140</f>
        <v>0</v>
      </c>
      <c r="S256" s="859"/>
      <c r="T256" s="858">
        <f>SUMIF($H$13:$H$224,$F255,T$13:T$225)+[2]Elec_Rates!T140</f>
        <v>0</v>
      </c>
    </row>
    <row r="257" spans="1:20">
      <c r="A257" s="852"/>
      <c r="B257" s="853">
        <v>12</v>
      </c>
      <c r="C257" s="846" t="s">
        <v>73</v>
      </c>
      <c r="D257" s="808" t="s">
        <v>86</v>
      </c>
      <c r="F257" s="854">
        <v>617</v>
      </c>
      <c r="O257" s="855"/>
      <c r="P257" s="808">
        <v>2</v>
      </c>
      <c r="R257" s="858">
        <f>SUMIF($H$13:$H$224,$F256,R$13:R$225)+[2]Elec_Rates!R141</f>
        <v>0</v>
      </c>
      <c r="S257" s="859"/>
      <c r="T257" s="858">
        <f>SUMIF($H$13:$H$224,$F256,T$13:T$225)+[2]Elec_Rates!T141</f>
        <v>0</v>
      </c>
    </row>
    <row r="258" spans="1:20">
      <c r="A258" s="852"/>
      <c r="B258" s="853">
        <v>13</v>
      </c>
      <c r="C258" s="846" t="s">
        <v>73</v>
      </c>
      <c r="D258" s="808" t="s">
        <v>159</v>
      </c>
      <c r="F258" s="854">
        <v>620</v>
      </c>
      <c r="O258" s="855"/>
      <c r="P258" s="808">
        <v>2</v>
      </c>
      <c r="R258" s="858">
        <f>SUMIF($H$13:$H$224,$F257,R$13:R$225)+[2]Elec_Rates!R142</f>
        <v>0</v>
      </c>
      <c r="S258" s="859"/>
      <c r="T258" s="858">
        <f>SUMIF($H$13:$H$224,$F257,T$13:T$225)+[2]Elec_Rates!T142</f>
        <v>0</v>
      </c>
    </row>
    <row r="259" spans="1:20">
      <c r="A259" s="852"/>
      <c r="B259" s="853">
        <v>14</v>
      </c>
      <c r="C259" s="846" t="s">
        <v>73</v>
      </c>
      <c r="D259" s="808" t="s">
        <v>88</v>
      </c>
      <c r="F259" s="854">
        <v>650</v>
      </c>
      <c r="O259" s="855"/>
      <c r="P259" s="808">
        <v>1</v>
      </c>
      <c r="R259" s="858">
        <f>SUMIF($H$13:$H$224,$F258,R$13:R$225)+[2]Elec_Rates!R143</f>
        <v>0</v>
      </c>
      <c r="S259" s="859"/>
      <c r="T259" s="858">
        <f>SUMIF($H$13:$H$224,$F258,T$13:T$225)+[2]Elec_Rates!T143</f>
        <v>0</v>
      </c>
    </row>
    <row r="260" spans="1:20">
      <c r="A260" s="852"/>
      <c r="B260" s="853">
        <v>15</v>
      </c>
      <c r="C260" s="846" t="s">
        <v>73</v>
      </c>
      <c r="D260" s="808" t="s">
        <v>89</v>
      </c>
      <c r="F260" s="854">
        <v>651</v>
      </c>
      <c r="O260" s="855"/>
      <c r="P260" s="808">
        <v>1</v>
      </c>
      <c r="R260" s="858">
        <f>SUMIF($H$13:$H$224,$F259,R$13:R$225)+[2]Elec_Rates!R144</f>
        <v>0</v>
      </c>
      <c r="S260" s="859"/>
      <c r="T260" s="858">
        <f>SUMIF($H$13:$H$224,$F259,T$13:T$225)+[2]Elec_Rates!T144</f>
        <v>0</v>
      </c>
    </row>
    <row r="261" spans="1:20">
      <c r="A261" s="852"/>
      <c r="B261" s="853">
        <v>16</v>
      </c>
      <c r="C261" s="846" t="s">
        <v>73</v>
      </c>
      <c r="D261" s="808" t="s">
        <v>90</v>
      </c>
      <c r="F261" s="854">
        <v>652</v>
      </c>
      <c r="O261" s="855"/>
      <c r="P261" s="808">
        <v>1</v>
      </c>
      <c r="R261" s="858">
        <f>SUMIF($H$13:$H$224,$F260,R$13:R$225)+[2]Elec_Rates!R145</f>
        <v>0</v>
      </c>
      <c r="S261" s="859"/>
      <c r="T261" s="858">
        <f>SUMIF($H$13:$H$224,$F260,T$13:T$225)+[2]Elec_Rates!T145</f>
        <v>0</v>
      </c>
    </row>
    <row r="262" spans="1:20">
      <c r="A262" s="852"/>
      <c r="B262" s="853">
        <v>17</v>
      </c>
      <c r="C262" s="846" t="s">
        <v>73</v>
      </c>
      <c r="D262" s="808" t="s">
        <v>91</v>
      </c>
      <c r="F262" s="854">
        <v>654</v>
      </c>
      <c r="O262" s="855"/>
      <c r="P262" s="808">
        <v>1</v>
      </c>
      <c r="R262" s="858">
        <f>SUMIF($H$13:$H$224,$F261,R$13:R$225)+[2]Elec_Rates!R146</f>
        <v>0</v>
      </c>
      <c r="S262" s="859"/>
      <c r="T262" s="858">
        <f>SUMIF($H$13:$H$224,$F261,T$13:T$225)+[2]Elec_Rates!T146</f>
        <v>0</v>
      </c>
    </row>
    <row r="263" spans="1:20">
      <c r="A263" s="852"/>
      <c r="B263" s="853">
        <v>18</v>
      </c>
      <c r="C263" s="846" t="s">
        <v>73</v>
      </c>
      <c r="D263" s="808" t="s">
        <v>92</v>
      </c>
      <c r="F263" s="854">
        <v>675</v>
      </c>
      <c r="O263" s="855"/>
      <c r="P263" s="808">
        <v>1</v>
      </c>
      <c r="R263" s="858">
        <f>SUMIF($H$13:$H$224,$F262,R$13:R$225)+[2]Elec_Rates!R147</f>
        <v>0</v>
      </c>
      <c r="S263" s="859"/>
      <c r="T263" s="858">
        <f>SUMIF($H$13:$H$224,$F262,T$13:T$225)+[2]Elec_Rates!T147</f>
        <v>0</v>
      </c>
    </row>
    <row r="264" spans="1:20">
      <c r="A264" s="852"/>
      <c r="B264" s="853">
        <v>19</v>
      </c>
      <c r="C264" s="846" t="s">
        <v>73</v>
      </c>
      <c r="D264" s="808" t="s">
        <v>93</v>
      </c>
      <c r="F264" s="854">
        <v>676</v>
      </c>
      <c r="O264" s="855"/>
      <c r="P264" s="808">
        <v>1</v>
      </c>
      <c r="R264" s="858">
        <f>SUMIF($H$13:$H$224,$F263,R$13:R$225)+[2]Elec_Rates!R148</f>
        <v>0</v>
      </c>
      <c r="S264" s="859"/>
      <c r="T264" s="858">
        <f>SUMIF($H$13:$H$224,$F263,T$13:T$225)+[2]Elec_Rates!T148</f>
        <v>0</v>
      </c>
    </row>
    <row r="265" spans="1:20">
      <c r="A265" s="852"/>
      <c r="B265" s="853">
        <v>20</v>
      </c>
      <c r="C265" s="846" t="s">
        <v>73</v>
      </c>
      <c r="D265" s="808" t="s">
        <v>94</v>
      </c>
      <c r="F265" s="854">
        <v>680</v>
      </c>
      <c r="O265" s="855"/>
      <c r="P265" s="808">
        <v>1</v>
      </c>
      <c r="R265" s="858">
        <f>SUMIF($H$13:$H$224,$F264,R$13:R$225)+[2]Elec_Rates!R149</f>
        <v>0</v>
      </c>
      <c r="S265" s="859"/>
      <c r="T265" s="858">
        <f>SUMIF($H$13:$H$224,$F264,T$13:T$225)+[2]Elec_Rates!T149</f>
        <v>0</v>
      </c>
    </row>
    <row r="266" spans="1:20">
      <c r="A266" s="852"/>
      <c r="B266" s="853">
        <v>21</v>
      </c>
      <c r="C266" s="846" t="s">
        <v>73</v>
      </c>
      <c r="D266" s="808" t="s">
        <v>96</v>
      </c>
      <c r="F266" s="854">
        <v>681</v>
      </c>
      <c r="O266" s="855"/>
      <c r="P266" s="808">
        <v>1</v>
      </c>
      <c r="R266" s="858">
        <f>SUMIF($H$13:$H$224,$F265,R$13:R$225)+[2]Elec_Rates!R150</f>
        <v>0</v>
      </c>
      <c r="S266" s="859"/>
      <c r="T266" s="858">
        <f>SUMIF($H$13:$H$224,$F265,T$13:T$225)+[2]Elec_Rates!T150</f>
        <v>0</v>
      </c>
    </row>
    <row r="267" spans="1:20">
      <c r="A267" s="852"/>
      <c r="B267" s="853">
        <v>22</v>
      </c>
      <c r="C267" s="846" t="s">
        <v>73</v>
      </c>
      <c r="D267" s="808" t="s">
        <v>97</v>
      </c>
      <c r="F267" s="854">
        <v>690</v>
      </c>
      <c r="O267" s="855"/>
      <c r="P267" s="808">
        <v>1</v>
      </c>
      <c r="R267" s="858">
        <f>SUMIF($H$13:$H$224,$F266,R$13:R$225)+[2]Elec_Rates!R151</f>
        <v>0</v>
      </c>
      <c r="S267" s="859"/>
      <c r="T267" s="858">
        <f>SUMIF($H$13:$H$224,$F266,T$13:T$225)+[2]Elec_Rates!T151</f>
        <v>0</v>
      </c>
    </row>
    <row r="268" spans="1:20">
      <c r="A268" s="852"/>
      <c r="B268" s="853">
        <v>23</v>
      </c>
      <c r="C268" s="846" t="s">
        <v>73</v>
      </c>
      <c r="D268" s="808" t="s">
        <v>98</v>
      </c>
      <c r="F268" s="854">
        <v>700</v>
      </c>
      <c r="O268" s="855"/>
      <c r="P268" s="808">
        <v>1</v>
      </c>
      <c r="R268" s="858">
        <f>SUMIF($H$13:$H$224,$F267,R$13:R$225)+[2]Elec_Rates!R152</f>
        <v>0</v>
      </c>
      <c r="S268" s="859"/>
      <c r="T268" s="858">
        <f>SUMIF($H$13:$H$224,$F267,T$13:T$225)+[2]Elec_Rates!T152</f>
        <v>0</v>
      </c>
    </row>
    <row r="269" spans="1:20">
      <c r="A269" s="852"/>
      <c r="B269" s="853">
        <v>24</v>
      </c>
      <c r="C269" s="846" t="s">
        <v>73</v>
      </c>
      <c r="D269" s="808" t="s">
        <v>99</v>
      </c>
      <c r="F269" s="854">
        <v>705</v>
      </c>
      <c r="O269" s="855"/>
      <c r="P269" s="808">
        <v>3</v>
      </c>
      <c r="R269" s="858">
        <f>SUMIF($H$13:$H$224,$F268,R$13:R$225)+[2]Elec_Rates!R153</f>
        <v>0</v>
      </c>
      <c r="S269" s="859"/>
      <c r="T269" s="858">
        <f>SUMIF($H$13:$H$224,$F268,T$13:T$225)+[2]Elec_Rates!T153</f>
        <v>0</v>
      </c>
    </row>
    <row r="270" spans="1:20">
      <c r="A270" s="852"/>
      <c r="B270" s="853">
        <v>25</v>
      </c>
      <c r="C270" s="846" t="s">
        <v>73</v>
      </c>
      <c r="D270" s="808" t="s">
        <v>100</v>
      </c>
      <c r="F270" s="854">
        <v>706</v>
      </c>
      <c r="O270" s="855"/>
      <c r="P270" s="808">
        <v>3</v>
      </c>
      <c r="R270" s="858">
        <f>SUMIF($H$13:$H$224,$F269,R$13:R$225)+[2]Elec_Rates!R154</f>
        <v>0</v>
      </c>
      <c r="S270" s="859"/>
      <c r="T270" s="858">
        <f>SUMIF($H$13:$H$224,$F269,T$13:T$225)+[2]Elec_Rates!T154</f>
        <v>0</v>
      </c>
    </row>
    <row r="271" spans="1:20">
      <c r="A271" s="852"/>
      <c r="B271" s="853">
        <v>26</v>
      </c>
      <c r="C271" s="846" t="s">
        <v>73</v>
      </c>
      <c r="D271" s="808" t="s">
        <v>101</v>
      </c>
      <c r="F271" s="854">
        <v>725</v>
      </c>
      <c r="O271" s="855"/>
      <c r="P271" s="808">
        <v>3</v>
      </c>
      <c r="R271" s="858">
        <f>SUMIF($H$13:$H$224,$F270,R$13:R$225)+[2]Elec_Rates!R155</f>
        <v>0</v>
      </c>
      <c r="S271" s="859"/>
      <c r="T271" s="858">
        <f>SUMIF($H$13:$H$224,$F270,T$13:T$225)+[2]Elec_Rates!T155</f>
        <v>0</v>
      </c>
    </row>
    <row r="272" spans="1:20">
      <c r="A272" s="852"/>
      <c r="B272" s="853">
        <v>27</v>
      </c>
      <c r="C272" s="846" t="s">
        <v>73</v>
      </c>
      <c r="D272" s="808" t="s">
        <v>102</v>
      </c>
      <c r="F272" s="854">
        <v>726</v>
      </c>
      <c r="O272" s="855"/>
      <c r="P272" s="808">
        <v>3</v>
      </c>
      <c r="R272" s="858">
        <f>SUMIF($H$13:$H$224,$F271,R$13:R$225)+[2]Elec_Rates!R156</f>
        <v>0</v>
      </c>
      <c r="S272" s="859"/>
      <c r="T272" s="858">
        <f>SUMIF($H$13:$H$224,$F271,T$13:T$225)+[2]Elec_Rates!T156</f>
        <v>0</v>
      </c>
    </row>
    <row r="273" spans="1:20">
      <c r="A273" s="852"/>
      <c r="B273" s="853">
        <v>28</v>
      </c>
      <c r="C273" s="846" t="s">
        <v>73</v>
      </c>
      <c r="D273" s="808" t="s">
        <v>103</v>
      </c>
      <c r="F273" s="854">
        <v>750</v>
      </c>
      <c r="O273" s="855"/>
      <c r="P273" s="808">
        <v>3</v>
      </c>
      <c r="R273" s="858">
        <f>SUMIF($H$13:$H$224,$F272,R$13:R$225)+[2]Elec_Rates!R157</f>
        <v>0</v>
      </c>
      <c r="S273" s="859"/>
      <c r="T273" s="858">
        <f>SUMIF($H$13:$H$224,$F272,T$13:T$225)+[2]Elec_Rates!T157</f>
        <v>0</v>
      </c>
    </row>
    <row r="274" spans="1:20">
      <c r="A274" s="852"/>
      <c r="B274" s="853">
        <v>29</v>
      </c>
      <c r="C274" s="846" t="s">
        <v>73</v>
      </c>
      <c r="D274" s="808" t="s">
        <v>104</v>
      </c>
      <c r="F274" s="854">
        <v>751</v>
      </c>
      <c r="O274" s="855"/>
      <c r="P274" s="808">
        <v>3</v>
      </c>
      <c r="R274" s="858">
        <f>SUMIF($H$13:$H$224,$F273,R$13:R$225)+[2]Elec_Rates!R158</f>
        <v>0</v>
      </c>
      <c r="S274" s="859"/>
      <c r="T274" s="858">
        <f>SUMIF($H$13:$H$224,$F273,T$13:T$225)+[2]Elec_Rates!T158</f>
        <v>0</v>
      </c>
    </row>
    <row r="275" spans="1:20">
      <c r="A275" s="852"/>
      <c r="B275" s="853">
        <v>30</v>
      </c>
      <c r="C275" s="846" t="s">
        <v>73</v>
      </c>
      <c r="D275" s="808" t="s">
        <v>105</v>
      </c>
      <c r="F275" s="854">
        <v>752</v>
      </c>
      <c r="O275" s="855"/>
      <c r="P275" s="808">
        <v>3</v>
      </c>
      <c r="R275" s="858">
        <f>SUMIF($H$13:$H$224,$F274,R$13:R$225)+[2]Elec_Rates!R159</f>
        <v>0</v>
      </c>
      <c r="S275" s="859"/>
      <c r="T275" s="858">
        <f>SUMIF($H$13:$H$224,$F274,T$13:T$225)+[2]Elec_Rates!T159</f>
        <v>0</v>
      </c>
    </row>
    <row r="276" spans="1:20">
      <c r="A276" s="852"/>
      <c r="B276" s="853">
        <v>31</v>
      </c>
      <c r="C276" s="846" t="s">
        <v>73</v>
      </c>
      <c r="D276" s="808" t="s">
        <v>307</v>
      </c>
      <c r="F276" s="854">
        <v>753</v>
      </c>
      <c r="O276" s="855"/>
      <c r="P276" s="808">
        <v>3</v>
      </c>
      <c r="R276" s="858">
        <f>SUMIF($H$13:$H$224,$F275,R$13:R$225)+[2]Elec_Rates!R160</f>
        <v>0</v>
      </c>
      <c r="S276" s="859"/>
      <c r="T276" s="858">
        <f>SUMIF($H$13:$H$224,$F275,T$13:T$225)+[2]Elec_Rates!T160</f>
        <v>0</v>
      </c>
    </row>
    <row r="277" spans="1:20">
      <c r="A277" s="852"/>
      <c r="B277" s="853">
        <v>32</v>
      </c>
      <c r="C277" s="846" t="s">
        <v>73</v>
      </c>
      <c r="D277" s="808" t="s">
        <v>107</v>
      </c>
      <c r="F277" s="854">
        <v>770</v>
      </c>
      <c r="O277" s="855"/>
      <c r="P277" s="808">
        <v>3</v>
      </c>
      <c r="R277" s="858">
        <f>SUMIF($H$13:$H$224,$F276,R$13:R$225)+[2]Elec_Rates!R161</f>
        <v>0</v>
      </c>
      <c r="S277" s="859"/>
      <c r="T277" s="858">
        <f>SUMIF($H$13:$H$224,$F276,T$13:T$225)+[2]Elec_Rates!T161</f>
        <v>0</v>
      </c>
    </row>
    <row r="278" spans="1:20">
      <c r="A278" s="852"/>
      <c r="B278" s="853">
        <v>33</v>
      </c>
      <c r="C278" s="846" t="s">
        <v>73</v>
      </c>
      <c r="D278" s="808" t="s">
        <v>108</v>
      </c>
      <c r="F278" s="854">
        <v>790</v>
      </c>
      <c r="O278" s="855"/>
      <c r="P278" s="808">
        <v>3</v>
      </c>
      <c r="R278" s="858">
        <f>SUMIF($H$13:$H$224,$F277,R$13:R$225)+[2]Elec_Rates!R162</f>
        <v>0</v>
      </c>
      <c r="S278" s="859"/>
      <c r="T278" s="858">
        <f>SUMIF($H$13:$H$224,$F277,T$13:T$225)+[2]Elec_Rates!T162</f>
        <v>0</v>
      </c>
    </row>
    <row r="279" spans="1:20">
      <c r="A279" s="852"/>
      <c r="B279" s="853">
        <v>34</v>
      </c>
      <c r="C279" s="846" t="s">
        <v>73</v>
      </c>
      <c r="D279" s="808" t="s">
        <v>109</v>
      </c>
      <c r="F279" s="854">
        <v>791</v>
      </c>
      <c r="O279" s="855"/>
      <c r="P279" s="808">
        <v>3</v>
      </c>
      <c r="R279" s="858">
        <f>SUMIF($H$13:$H$224,$F278,R$13:R$225)+[2]Elec_Rates!R163</f>
        <v>0</v>
      </c>
      <c r="S279" s="859"/>
      <c r="T279" s="858">
        <f>SUMIF($H$13:$H$224,$F278,T$13:T$225)+[2]Elec_Rates!T163</f>
        <v>0</v>
      </c>
    </row>
    <row r="280" spans="1:20">
      <c r="A280" s="852"/>
      <c r="B280" s="853">
        <v>35</v>
      </c>
      <c r="C280" s="846" t="s">
        <v>73</v>
      </c>
      <c r="D280" s="808" t="s">
        <v>110</v>
      </c>
      <c r="F280" s="854">
        <v>810</v>
      </c>
      <c r="O280" s="855"/>
      <c r="P280" s="808">
        <v>3</v>
      </c>
      <c r="R280" s="858">
        <f>SUMIF($H$13:$H$224,$F279,R$13:R$225)+[2]Elec_Rates!R164</f>
        <v>0</v>
      </c>
      <c r="S280" s="859"/>
      <c r="T280" s="858">
        <f>SUMIF($H$13:$H$224,$F279,T$13:T$225)+[2]Elec_Rates!T164</f>
        <v>0</v>
      </c>
    </row>
    <row r="281" spans="1:20">
      <c r="A281" s="852"/>
      <c r="B281" s="853">
        <v>36</v>
      </c>
      <c r="C281" s="846" t="s">
        <v>73</v>
      </c>
      <c r="D281" s="808" t="s">
        <v>111</v>
      </c>
      <c r="F281" s="854">
        <v>815</v>
      </c>
      <c r="O281" s="855"/>
      <c r="P281" s="808">
        <v>3</v>
      </c>
      <c r="R281" s="858">
        <f>SUMIF($H$13:$H$224,$F280,R$13:R$225)+[2]Elec_Rates!R165</f>
        <v>0</v>
      </c>
      <c r="S281" s="859"/>
      <c r="T281" s="858">
        <f>SUMIF($H$13:$H$224,$F280,T$13:T$225)+[2]Elec_Rates!T165</f>
        <v>0</v>
      </c>
    </row>
    <row r="282" spans="1:20">
      <c r="A282" s="852"/>
      <c r="B282" s="853">
        <v>37</v>
      </c>
      <c r="C282" s="846" t="s">
        <v>73</v>
      </c>
      <c r="D282" s="808" t="s">
        <v>112</v>
      </c>
      <c r="F282" s="854">
        <v>820</v>
      </c>
      <c r="O282" s="855"/>
      <c r="P282" s="808">
        <v>2</v>
      </c>
      <c r="R282" s="858">
        <f>SUMIF($H$13:$H$224,$F281,R$13:R$225)+[2]Elec_Rates!R166</f>
        <v>0</v>
      </c>
      <c r="S282" s="859"/>
      <c r="T282" s="858">
        <f>SUMIF($H$13:$H$224,$F281,T$13:T$225)+[2]Elec_Rates!T166</f>
        <v>0</v>
      </c>
    </row>
    <row r="283" spans="1:20">
      <c r="A283" s="852"/>
      <c r="B283" s="853">
        <v>38</v>
      </c>
      <c r="C283" s="846" t="s">
        <v>73</v>
      </c>
      <c r="D283" s="808" t="s">
        <v>113</v>
      </c>
      <c r="F283" s="854">
        <v>821</v>
      </c>
      <c r="O283" s="855"/>
      <c r="P283" s="808">
        <v>3</v>
      </c>
      <c r="R283" s="858">
        <f>SUMIF($H$13:$H$224,$F282,R$13:R$225)+[2]Elec_Rates!R167</f>
        <v>0</v>
      </c>
      <c r="S283" s="859"/>
      <c r="T283" s="858">
        <f>SUMIF($H$13:$H$224,$F282,T$13:T$225)+[2]Elec_Rates!T167</f>
        <v>0</v>
      </c>
    </row>
    <row r="284" spans="1:20">
      <c r="A284" s="852"/>
      <c r="B284" s="853">
        <v>39</v>
      </c>
      <c r="C284" s="846" t="s">
        <v>73</v>
      </c>
      <c r="D284" s="808" t="s">
        <v>114</v>
      </c>
      <c r="F284" s="854">
        <v>835</v>
      </c>
      <c r="O284" s="855"/>
      <c r="P284" s="808">
        <v>3</v>
      </c>
      <c r="R284" s="858">
        <f>SUMIF($H$13:$H$224,$F283,R$13:R$225)+[2]Elec_Rates!R168</f>
        <v>0</v>
      </c>
      <c r="S284" s="859"/>
      <c r="T284" s="858">
        <f>SUMIF($H$13:$H$224,$F283,T$13:T$225)+[2]Elec_Rates!T168</f>
        <v>0</v>
      </c>
    </row>
    <row r="285" spans="1:20">
      <c r="A285" s="852"/>
      <c r="B285" s="853">
        <v>40</v>
      </c>
      <c r="C285" s="846" t="s">
        <v>73</v>
      </c>
      <c r="D285" s="808" t="s">
        <v>115</v>
      </c>
      <c r="F285" s="854">
        <v>845</v>
      </c>
      <c r="O285" s="855"/>
      <c r="P285" s="808">
        <v>2</v>
      </c>
      <c r="R285" s="858">
        <f>SUMIF($H$13:$H$224,$F284,R$13:R$225)+[2]Elec_Rates!R169</f>
        <v>0</v>
      </c>
      <c r="S285" s="859"/>
      <c r="T285" s="858">
        <f>SUMIF($H$13:$H$224,$F284,T$13:T$225)+[2]Elec_Rates!T169</f>
        <v>0</v>
      </c>
    </row>
    <row r="286" spans="1:20">
      <c r="A286" s="852"/>
      <c r="B286" s="853">
        <v>41</v>
      </c>
      <c r="C286" s="846" t="s">
        <v>73</v>
      </c>
      <c r="D286" s="808" t="s">
        <v>117</v>
      </c>
      <c r="F286" s="854">
        <v>855</v>
      </c>
      <c r="O286" s="855"/>
      <c r="P286" s="808">
        <v>3</v>
      </c>
      <c r="R286" s="858">
        <f>SUMIF($H$13:$H$224,$F285,R$13:R$225)+[2]Elec_Rates!R170</f>
        <v>0</v>
      </c>
      <c r="S286" s="859"/>
      <c r="T286" s="858">
        <f>SUMIF($H$13:$H$224,$F285,T$13:T$225)+[2]Elec_Rates!T170</f>
        <v>0</v>
      </c>
    </row>
    <row r="287" spans="1:20">
      <c r="A287" s="852"/>
      <c r="B287" s="853">
        <v>42</v>
      </c>
      <c r="C287" s="846" t="s">
        <v>73</v>
      </c>
      <c r="D287" s="808" t="s">
        <v>118</v>
      </c>
      <c r="F287" s="854">
        <v>856</v>
      </c>
      <c r="O287" s="855"/>
      <c r="P287" s="808">
        <v>3</v>
      </c>
      <c r="R287" s="858">
        <f>SUMIF($H$13:$H$224,$F286,R$13:R$225)+[2]Elec_Rates!R171</f>
        <v>0</v>
      </c>
      <c r="S287" s="859"/>
      <c r="T287" s="858">
        <f>SUMIF($H$13:$H$224,$F286,T$13:T$225)+[2]Elec_Rates!T171</f>
        <v>0</v>
      </c>
    </row>
    <row r="288" spans="1:20">
      <c r="A288" s="852"/>
      <c r="B288" s="853">
        <v>43</v>
      </c>
      <c r="C288" s="846" t="s">
        <v>73</v>
      </c>
      <c r="D288" s="808" t="s">
        <v>281</v>
      </c>
      <c r="F288" s="854">
        <v>857</v>
      </c>
      <c r="O288" s="855"/>
      <c r="P288" s="808">
        <v>3</v>
      </c>
      <c r="R288" s="858">
        <f>SUMIF($H$13:$H$224,$F287,R$13:R$225)+[2]Elec_Rates!R172</f>
        <v>0</v>
      </c>
      <c r="S288" s="859"/>
      <c r="T288" s="858">
        <f>SUMIF($H$13:$H$224,$F287,T$13:T$225)+[2]Elec_Rates!T172</f>
        <v>0</v>
      </c>
    </row>
    <row r="289" spans="1:20">
      <c r="A289" s="852"/>
      <c r="B289" s="853">
        <v>44</v>
      </c>
      <c r="C289" s="846" t="s">
        <v>73</v>
      </c>
      <c r="D289" s="808" t="s">
        <v>119</v>
      </c>
      <c r="F289" s="854">
        <v>858</v>
      </c>
      <c r="O289" s="855"/>
      <c r="P289" s="808">
        <v>3</v>
      </c>
      <c r="R289" s="858">
        <f>SUMIF($H$13:$H$224,$F288,R$13:R$225)+[2]Elec_Rates!R173</f>
        <v>0</v>
      </c>
      <c r="S289" s="859"/>
      <c r="T289" s="858">
        <f>SUMIF($H$13:$H$224,$F288,T$13:T$225)+[2]Elec_Rates!T173</f>
        <v>0</v>
      </c>
    </row>
    <row r="290" spans="1:20">
      <c r="A290" s="852"/>
      <c r="B290" s="853">
        <v>45</v>
      </c>
      <c r="C290" s="846" t="s">
        <v>73</v>
      </c>
      <c r="D290" s="808" t="s">
        <v>120</v>
      </c>
      <c r="F290" s="854">
        <v>865</v>
      </c>
      <c r="O290" s="855"/>
      <c r="P290" s="808">
        <v>3</v>
      </c>
      <c r="R290" s="858">
        <f>SUMIF($H$13:$H$224,$F289,R$13:R$225)+[2]Elec_Rates!R174</f>
        <v>0</v>
      </c>
      <c r="S290" s="859"/>
      <c r="T290" s="858">
        <f>SUMIF($H$13:$H$224,$F289,T$13:T$225)+[2]Elec_Rates!T174</f>
        <v>0</v>
      </c>
    </row>
    <row r="291" spans="1:20">
      <c r="A291" s="852"/>
      <c r="B291" s="853">
        <v>46</v>
      </c>
      <c r="C291" s="846" t="s">
        <v>73</v>
      </c>
      <c r="D291" s="808" t="s">
        <v>121</v>
      </c>
      <c r="F291" s="854">
        <v>870</v>
      </c>
      <c r="O291" s="855"/>
      <c r="P291" s="808">
        <v>4</v>
      </c>
      <c r="R291" s="858">
        <f>SUMIF($H$13:$H$224,$F290,R$13:R$225)+[2]Elec_Rates!R175</f>
        <v>0</v>
      </c>
      <c r="S291" s="859"/>
      <c r="T291" s="858">
        <f>SUMIF($H$13:$H$224,$F290,T$13:T$225)+[2]Elec_Rates!T175</f>
        <v>0</v>
      </c>
    </row>
    <row r="292" spans="1:20">
      <c r="A292" s="852"/>
      <c r="B292" s="853">
        <v>47</v>
      </c>
      <c r="C292" s="846" t="s">
        <v>73</v>
      </c>
      <c r="D292" s="808" t="s">
        <v>122</v>
      </c>
      <c r="F292" s="854">
        <v>875</v>
      </c>
      <c r="O292" s="855"/>
      <c r="P292" s="808">
        <v>1</v>
      </c>
      <c r="R292" s="858">
        <f>SUMIF($H$13:$H$224,$F291,R$13:R$225)+[2]Elec_Rates!R176</f>
        <v>0</v>
      </c>
      <c r="S292" s="859"/>
      <c r="T292" s="858">
        <f>SUMIF($H$13:$H$224,$F291,T$13:T$225)+[2]Elec_Rates!T176</f>
        <v>0</v>
      </c>
    </row>
    <row r="293" spans="1:20">
      <c r="A293" s="852"/>
      <c r="B293" s="853">
        <v>48</v>
      </c>
      <c r="C293" s="846" t="s">
        <v>73</v>
      </c>
      <c r="D293" s="808" t="s">
        <v>123</v>
      </c>
      <c r="F293" s="854">
        <v>880</v>
      </c>
      <c r="O293" s="855"/>
      <c r="P293" s="808">
        <v>3</v>
      </c>
      <c r="R293" s="858">
        <f>SUMIF($H$13:$H$224,$F292,R$13:R$225)+[2]Elec_Rates!R177</f>
        <v>0</v>
      </c>
      <c r="S293" s="859"/>
      <c r="T293" s="858">
        <f>SUMIF($H$13:$H$224,$F292,T$13:T$225)+[2]Elec_Rates!T177</f>
        <v>0</v>
      </c>
    </row>
    <row r="294" spans="1:20">
      <c r="A294" s="852"/>
      <c r="B294" s="853">
        <v>49</v>
      </c>
      <c r="C294" s="846" t="s">
        <v>73</v>
      </c>
      <c r="D294" s="808" t="s">
        <v>124</v>
      </c>
      <c r="F294" s="854">
        <v>885</v>
      </c>
      <c r="O294" s="855"/>
      <c r="P294" s="808">
        <v>4</v>
      </c>
      <c r="R294" s="858">
        <f>SUMIF($H$13:$H$224,$F293,R$13:R$225)+[2]Elec_Rates!R178</f>
        <v>0</v>
      </c>
      <c r="S294" s="859"/>
      <c r="T294" s="858">
        <f>SUMIF($H$13:$H$224,$F293,T$13:T$225)+[2]Elec_Rates!T178</f>
        <v>0</v>
      </c>
    </row>
    <row r="295" spans="1:20">
      <c r="A295" s="852"/>
      <c r="B295" s="853">
        <v>50</v>
      </c>
      <c r="C295" s="846" t="s">
        <v>73</v>
      </c>
      <c r="D295" s="808" t="s">
        <v>68</v>
      </c>
      <c r="F295" s="854">
        <v>900</v>
      </c>
      <c r="O295" s="855"/>
      <c r="P295" s="808">
        <v>3</v>
      </c>
      <c r="R295" s="858">
        <f>SUMIF($H$13:$H$224,$F294,R$13:R$225)+[2]Elec_Rates!R179</f>
        <v>0</v>
      </c>
      <c r="S295" s="859"/>
      <c r="T295" s="858">
        <f>SUMIF($H$13:$H$224,$F294,T$13:T$225)+[2]Elec_Rates!T179</f>
        <v>0</v>
      </c>
    </row>
    <row r="296" spans="1:20">
      <c r="A296" s="852"/>
      <c r="B296" s="853">
        <v>51</v>
      </c>
      <c r="C296" s="846" t="s">
        <v>73</v>
      </c>
      <c r="D296" s="808" t="s">
        <v>126</v>
      </c>
      <c r="F296" s="854">
        <v>901</v>
      </c>
      <c r="O296" s="855"/>
      <c r="P296" s="808">
        <v>1</v>
      </c>
      <c r="R296" s="858">
        <f>SUMIF($H$13:$H$224,$F295,R$13:R$225)+[2]Elec_Rates!R180</f>
        <v>0</v>
      </c>
      <c r="S296" s="859"/>
      <c r="T296" s="858">
        <f>SUMIF($H$13:$H$224,$F295,T$13:T$225)+[2]Elec_Rates!T180</f>
        <v>0</v>
      </c>
    </row>
    <row r="297" spans="1:20">
      <c r="A297" s="852"/>
      <c r="B297" s="853">
        <v>52</v>
      </c>
      <c r="C297" s="846" t="s">
        <v>73</v>
      </c>
      <c r="D297" s="808" t="s">
        <v>127</v>
      </c>
      <c r="F297" s="854">
        <v>902</v>
      </c>
      <c r="O297" s="855"/>
      <c r="P297" s="808">
        <v>3</v>
      </c>
      <c r="R297" s="858">
        <f>SUMIF($H$13:$H$224,$F296,R$13:R$225)+[2]Elec_Rates!R181</f>
        <v>0</v>
      </c>
      <c r="S297" s="859"/>
      <c r="T297" s="858">
        <f>SUMIF($H$13:$H$224,$F296,T$13:T$225)+[2]Elec_Rates!T181</f>
        <v>0</v>
      </c>
    </row>
    <row r="298" spans="1:20">
      <c r="A298" s="852"/>
      <c r="B298" s="853">
        <v>53</v>
      </c>
      <c r="C298" s="846" t="s">
        <v>73</v>
      </c>
      <c r="D298" s="860" t="s">
        <v>128</v>
      </c>
      <c r="F298" s="854">
        <v>960</v>
      </c>
      <c r="O298" s="855"/>
      <c r="P298" s="808">
        <v>4</v>
      </c>
      <c r="R298" s="858">
        <f>SUMIF($H$13:$H$224,$F297,R$13:R$225)+[2]Elec_Rates!R182</f>
        <v>0</v>
      </c>
      <c r="S298" s="859"/>
      <c r="T298" s="858">
        <f>SUMIF($H$13:$H$224,$F297,T$13:T$225)+[2]Elec_Rates!T182</f>
        <v>0</v>
      </c>
    </row>
    <row r="299" spans="1:20">
      <c r="A299" s="852"/>
      <c r="B299" s="853">
        <v>54</v>
      </c>
      <c r="C299" s="846" t="s">
        <v>73</v>
      </c>
      <c r="D299" s="860" t="s">
        <v>129</v>
      </c>
      <c r="F299" s="854">
        <v>961</v>
      </c>
      <c r="O299" s="855"/>
      <c r="P299" s="808">
        <v>3</v>
      </c>
      <c r="R299" s="858">
        <f>SUMIF($H$13:$H$224,$F298,R$13:R$225)+[2]Elec_Rates!R183</f>
        <v>0</v>
      </c>
      <c r="S299" s="859"/>
      <c r="T299" s="858">
        <f>SUMIF($H$13:$H$224,$F298,T$13:T$225)+[2]Elec_Rates!T183</f>
        <v>0</v>
      </c>
    </row>
    <row r="300" spans="1:20">
      <c r="A300" s="852"/>
      <c r="B300" s="853">
        <v>55</v>
      </c>
      <c r="C300" s="846" t="s">
        <v>73</v>
      </c>
      <c r="D300" s="860" t="s">
        <v>130</v>
      </c>
      <c r="F300" s="854">
        <v>962</v>
      </c>
      <c r="O300" s="855"/>
      <c r="P300" s="808">
        <v>1</v>
      </c>
      <c r="R300" s="858">
        <f>SUMIF($H$13:$H$224,$F299,R$13:R$225)+[2]Elec_Rates!R184</f>
        <v>0</v>
      </c>
      <c r="S300" s="859"/>
      <c r="T300" s="858">
        <f>SUMIF($H$13:$H$224,$F299,T$13:T$225)+[2]Elec_Rates!T184</f>
        <v>0</v>
      </c>
    </row>
    <row r="301" spans="1:20">
      <c r="A301" s="852"/>
      <c r="B301" s="853">
        <v>57</v>
      </c>
      <c r="C301" s="846" t="s">
        <v>73</v>
      </c>
      <c r="D301" s="860" t="s">
        <v>320</v>
      </c>
      <c r="F301" s="854">
        <v>410</v>
      </c>
      <c r="O301" s="855"/>
      <c r="P301" s="808">
        <v>4</v>
      </c>
      <c r="R301" s="858">
        <f>SUMIF($H$13:$H$224,$F300,R$13:R$225)+[2]Elec_Rates!R185</f>
        <v>0</v>
      </c>
      <c r="S301" s="859"/>
      <c r="T301" s="858">
        <f>SUMIF($H$13:$H$224,$F300,T$13:T$225)+[2]Elec_Rates!T185</f>
        <v>0</v>
      </c>
    </row>
    <row r="302" spans="1:20">
      <c r="A302" s="852"/>
      <c r="B302" s="853">
        <v>58</v>
      </c>
      <c r="C302" s="846" t="s">
        <v>73</v>
      </c>
      <c r="D302" s="860" t="s">
        <v>321</v>
      </c>
      <c r="F302" s="854">
        <v>411</v>
      </c>
      <c r="O302" s="855"/>
      <c r="P302" s="808">
        <v>4</v>
      </c>
      <c r="R302" s="858">
        <f>SUMIF($H$13:$H$224,$F301,R$13:R$225)+[2]Elec_Rates!R186</f>
        <v>0</v>
      </c>
      <c r="S302" s="859"/>
      <c r="T302" s="858">
        <f>SUMIF($H$13:$H$224,$F301,T$13:T$225)+[2]Elec_Rates!T186</f>
        <v>0</v>
      </c>
    </row>
    <row r="303" spans="1:20">
      <c r="A303" s="852"/>
      <c r="B303" s="853">
        <v>59</v>
      </c>
      <c r="C303" s="846" t="s">
        <v>73</v>
      </c>
      <c r="D303" s="860" t="s">
        <v>322</v>
      </c>
      <c r="F303" s="854">
        <v>412</v>
      </c>
      <c r="O303" s="855"/>
      <c r="P303" s="808">
        <v>4</v>
      </c>
      <c r="R303" s="858">
        <f>SUMIF($H$13:$H$224,$F302,R$13:R$225)+[2]Elec_Rates!R187</f>
        <v>0</v>
      </c>
      <c r="S303" s="859"/>
      <c r="T303" s="858">
        <f>SUMIF($H$13:$H$224,$F302,T$13:T$225)+[2]Elec_Rates!T187</f>
        <v>0</v>
      </c>
    </row>
    <row r="304" spans="1:20">
      <c r="A304" s="852"/>
      <c r="B304" s="853">
        <v>60</v>
      </c>
      <c r="C304" s="846" t="s">
        <v>73</v>
      </c>
      <c r="D304" s="860" t="s">
        <v>323</v>
      </c>
      <c r="F304" s="854">
        <v>413</v>
      </c>
      <c r="O304" s="855"/>
      <c r="P304" s="808">
        <v>4</v>
      </c>
      <c r="R304" s="858">
        <f>SUMIF($H$13:$H$224,$F303,R$13:R$225)+[2]Elec_Rates!R188</f>
        <v>0</v>
      </c>
      <c r="S304" s="859"/>
      <c r="T304" s="858">
        <f>SUMIF($H$13:$H$224,$F303,T$13:T$225)+[2]Elec_Rates!T188</f>
        <v>0</v>
      </c>
    </row>
    <row r="305" spans="1:37">
      <c r="A305" s="852"/>
      <c r="B305" s="853">
        <v>61</v>
      </c>
      <c r="C305" s="846" t="s">
        <v>73</v>
      </c>
      <c r="D305" s="860" t="s">
        <v>324</v>
      </c>
      <c r="F305" s="854">
        <v>414</v>
      </c>
      <c r="O305" s="855"/>
      <c r="P305" s="808">
        <v>4</v>
      </c>
      <c r="R305" s="858">
        <f>SUMIF($H$13:$H$224,$F304,R$13:R$225)+[2]Elec_Rates!R189</f>
        <v>0</v>
      </c>
      <c r="S305" s="859"/>
      <c r="T305" s="858">
        <f>SUMIF($H$13:$H$224,$F304,T$13:T$225)+[2]Elec_Rates!T189</f>
        <v>0</v>
      </c>
    </row>
    <row r="306" spans="1:37">
      <c r="A306" s="852"/>
      <c r="B306" s="853">
        <v>62</v>
      </c>
      <c r="C306" s="846" t="s">
        <v>73</v>
      </c>
      <c r="D306" s="860" t="s">
        <v>325</v>
      </c>
      <c r="F306" s="854">
        <v>415</v>
      </c>
      <c r="O306" s="855"/>
      <c r="P306" s="808">
        <v>4</v>
      </c>
      <c r="R306" s="858">
        <f>SUMIF($H$13:$H$224,$F305,R$13:R$225)+[2]Elec_Rates!R190</f>
        <v>0</v>
      </c>
      <c r="S306" s="859"/>
      <c r="T306" s="858">
        <f>SUMIF($H$13:$H$224,$F305,T$13:T$225)+[2]Elec_Rates!T190</f>
        <v>0</v>
      </c>
    </row>
    <row r="307" spans="1:37">
      <c r="A307" s="852"/>
      <c r="B307" s="853">
        <v>63</v>
      </c>
      <c r="C307" s="846" t="s">
        <v>73</v>
      </c>
      <c r="D307" s="860" t="s">
        <v>326</v>
      </c>
      <c r="F307" s="854">
        <v>416</v>
      </c>
      <c r="O307" s="855"/>
      <c r="P307" s="808">
        <v>4</v>
      </c>
      <c r="R307" s="858">
        <f>SUMIF($H$13:$H$224,$F306,R$13:R$225)+[2]Elec_Rates!R191</f>
        <v>77450.335999999996</v>
      </c>
      <c r="S307" s="859"/>
      <c r="T307" s="858">
        <f>SUMIF($H$13:$H$224,$F306,T$13:T$225)+[2]Elec_Rates!T191</f>
        <v>500</v>
      </c>
    </row>
    <row r="308" spans="1:37">
      <c r="A308" s="852"/>
      <c r="B308" s="853">
        <v>64</v>
      </c>
      <c r="C308" s="846" t="s">
        <v>73</v>
      </c>
      <c r="D308" s="860" t="s">
        <v>327</v>
      </c>
      <c r="F308" s="854">
        <v>417</v>
      </c>
      <c r="O308" s="855"/>
      <c r="P308" s="808">
        <v>4</v>
      </c>
      <c r="R308" s="858">
        <f>SUMIF($H$13:$H$224,$F307,R$13:R$225)+[2]Elec_Rates!R192</f>
        <v>1991.8500000000001</v>
      </c>
      <c r="S308" s="859"/>
      <c r="T308" s="858">
        <f>SUMIF($H$13:$H$224,$F307,T$13:T$225)+[2]Elec_Rates!T192</f>
        <v>0</v>
      </c>
    </row>
    <row r="309" spans="1:37">
      <c r="A309" s="852"/>
      <c r="B309" s="853">
        <v>65</v>
      </c>
      <c r="C309" s="846" t="s">
        <v>73</v>
      </c>
      <c r="D309" s="860" t="s">
        <v>328</v>
      </c>
      <c r="F309" s="854">
        <v>418</v>
      </c>
      <c r="O309" s="855"/>
      <c r="P309" s="808">
        <v>4</v>
      </c>
      <c r="R309" s="858">
        <f>SUMIF($H$13:$H$224,$F308,R$13:R$225)+[2]Elec_Rates!R193</f>
        <v>0</v>
      </c>
      <c r="S309" s="859"/>
      <c r="T309" s="858">
        <f>SUMIF($H$13:$H$224,$F308,T$13:T$225)+[2]Elec_Rates!T193</f>
        <v>0</v>
      </c>
    </row>
    <row r="310" spans="1:37">
      <c r="A310" s="852"/>
      <c r="B310" s="853">
        <v>66</v>
      </c>
      <c r="C310" s="846" t="s">
        <v>73</v>
      </c>
      <c r="D310" s="860" t="s">
        <v>329</v>
      </c>
      <c r="F310" s="854">
        <v>419</v>
      </c>
      <c r="O310" s="855"/>
      <c r="P310" s="808">
        <v>4</v>
      </c>
      <c r="R310" s="858">
        <f>SUMIF($H$13:$H$224,$F309,R$13:R$225)+[2]Elec_Rates!R194</f>
        <v>0</v>
      </c>
      <c r="S310" s="859"/>
      <c r="T310" s="858">
        <f>SUMIF($H$13:$H$224,$F309,T$13:T$225)+[2]Elec_Rates!T194</f>
        <v>0</v>
      </c>
    </row>
    <row r="311" spans="1:37">
      <c r="A311" s="852"/>
      <c r="B311" s="853">
        <v>67</v>
      </c>
      <c r="C311" s="846" t="s">
        <v>73</v>
      </c>
      <c r="D311" s="860" t="s">
        <v>330</v>
      </c>
      <c r="F311" s="854">
        <v>420</v>
      </c>
      <c r="O311" s="855"/>
      <c r="P311" s="808">
        <v>4</v>
      </c>
      <c r="R311" s="858">
        <f>SUMIF($H$13:$H$224,$F310,R$13:R$225)+[2]Elec_Rates!R195</f>
        <v>0</v>
      </c>
      <c r="S311" s="859"/>
      <c r="T311" s="858">
        <f>SUMIF($H$13:$H$224,$F310,T$13:T$225)+[2]Elec_Rates!T195</f>
        <v>0</v>
      </c>
    </row>
    <row r="312" spans="1:37">
      <c r="A312" s="852"/>
      <c r="B312" s="853">
        <v>68</v>
      </c>
      <c r="C312" s="846" t="s">
        <v>73</v>
      </c>
      <c r="D312" s="860" t="s">
        <v>333</v>
      </c>
      <c r="F312" s="854">
        <v>421</v>
      </c>
      <c r="O312" s="855"/>
      <c r="P312" s="808">
        <v>4</v>
      </c>
      <c r="R312" s="858">
        <f>SUMIF($H$13:$H$224,$F311,R$13:R$225)+[2]Elec_Rates!R196</f>
        <v>63320</v>
      </c>
      <c r="S312" s="859"/>
      <c r="T312" s="858">
        <f>SUMIF($H$13:$H$224,$F311,T$13:T$225)+[2]Elec_Rates!T196</f>
        <v>500</v>
      </c>
    </row>
    <row r="313" spans="1:37">
      <c r="A313" s="852"/>
      <c r="B313" s="853">
        <v>56</v>
      </c>
      <c r="C313" s="846" t="s">
        <v>73</v>
      </c>
      <c r="D313" s="860" t="s">
        <v>131</v>
      </c>
      <c r="F313" s="854">
        <v>970</v>
      </c>
      <c r="O313" s="855"/>
      <c r="P313" s="808">
        <v>4</v>
      </c>
      <c r="R313" s="858">
        <f>SUMIF($H$13:$H$224,$F312,R$13:R$225)+[2]Elec_Rates!R197</f>
        <v>0</v>
      </c>
      <c r="S313" s="859"/>
      <c r="T313" s="858">
        <f>SUMIF($H$13:$H$224,$F312,T$13:T$225)+[2]Elec_Rates!T197</f>
        <v>0</v>
      </c>
    </row>
    <row r="314" spans="1:37" ht="14.4" thickBot="1">
      <c r="A314" s="861"/>
      <c r="B314" s="862"/>
      <c r="C314" s="863"/>
      <c r="D314" s="864"/>
      <c r="E314" s="816"/>
      <c r="F314" s="865"/>
      <c r="G314" s="816"/>
      <c r="H314" s="816"/>
      <c r="I314" s="816"/>
      <c r="J314" s="816"/>
      <c r="K314" s="816"/>
      <c r="L314" s="816"/>
      <c r="M314" s="816"/>
      <c r="N314" s="816"/>
      <c r="O314" s="866"/>
      <c r="P314" s="816"/>
      <c r="Q314" s="816"/>
      <c r="R314" s="858">
        <f>SUMIF($H$13:$H$224,$F313,R$13:R$225)+[2]Elec_Rates!R198</f>
        <v>0</v>
      </c>
      <c r="S314" s="859"/>
      <c r="T314" s="858">
        <f>SUMIF($H$13:$H$224,$F313,T$13:T$225)+[2]Elec_Rates!T198</f>
        <v>0</v>
      </c>
    </row>
    <row r="315" spans="1:37" ht="15" thickTop="1" thickBot="1">
      <c r="A315" s="852"/>
      <c r="B315" s="854"/>
      <c r="C315" s="846" t="s">
        <v>73</v>
      </c>
      <c r="D315" s="867"/>
      <c r="F315" s="868" t="s">
        <v>160</v>
      </c>
      <c r="G315" s="869"/>
      <c r="H315" s="808">
        <v>1</v>
      </c>
      <c r="O315" s="855"/>
      <c r="R315" s="870"/>
      <c r="S315" s="871"/>
      <c r="T315" s="870"/>
      <c r="U315" s="816"/>
      <c r="V315" s="817"/>
      <c r="W315" s="817"/>
      <c r="X315" s="817"/>
      <c r="Y315" s="817"/>
      <c r="Z315" s="817"/>
      <c r="AA315" s="817"/>
      <c r="AB315" s="817"/>
      <c r="AC315" s="816"/>
      <c r="AD315" s="816"/>
      <c r="AE315" s="816"/>
      <c r="AF315" s="816"/>
      <c r="AG315" s="816"/>
      <c r="AH315" s="816"/>
      <c r="AI315" s="816"/>
      <c r="AJ315" s="816"/>
      <c r="AK315" s="816"/>
    </row>
    <row r="316" spans="1:37" ht="14.4" thickTop="1">
      <c r="A316" s="852"/>
      <c r="B316" s="854"/>
      <c r="C316" s="846" t="s">
        <v>73</v>
      </c>
      <c r="D316" s="867"/>
      <c r="F316" s="868" t="s">
        <v>161</v>
      </c>
      <c r="G316" s="869"/>
      <c r="H316" s="808">
        <v>2</v>
      </c>
      <c r="O316" s="855"/>
      <c r="R316" s="858">
        <f>SUMIF($P246:$P313,1,R247:R314)</f>
        <v>0</v>
      </c>
      <c r="T316" s="858">
        <f>SUMIF($P246:$P313,1,T247:T314)</f>
        <v>0</v>
      </c>
    </row>
    <row r="317" spans="1:37">
      <c r="A317" s="852"/>
      <c r="B317" s="854"/>
      <c r="C317" s="846" t="s">
        <v>73</v>
      </c>
      <c r="D317" s="867"/>
      <c r="F317" s="868" t="s">
        <v>162</v>
      </c>
      <c r="G317" s="869"/>
      <c r="H317" s="808">
        <v>2</v>
      </c>
      <c r="O317" s="855"/>
      <c r="R317" s="858">
        <f>SUMIF($P246:$P313,2,R247:R314)</f>
        <v>0</v>
      </c>
      <c r="T317" s="858">
        <f>SUMIF($P246:$P313,2,T247:T314)</f>
        <v>0</v>
      </c>
    </row>
    <row r="318" spans="1:37">
      <c r="A318" s="852"/>
      <c r="B318" s="854"/>
      <c r="C318" s="846" t="s">
        <v>73</v>
      </c>
      <c r="D318" s="867"/>
      <c r="F318" s="868" t="s">
        <v>163</v>
      </c>
      <c r="G318" s="869"/>
      <c r="H318" s="808">
        <v>3</v>
      </c>
      <c r="O318" s="855"/>
      <c r="R318" s="858">
        <f>SUMIF($P246:$P313,3,R247:R314)</f>
        <v>0</v>
      </c>
      <c r="T318" s="858">
        <f>SUMIF($P246:$P313,3,T247:T314)</f>
        <v>0</v>
      </c>
    </row>
    <row r="319" spans="1:37" ht="14.4" thickBot="1">
      <c r="A319" s="861"/>
      <c r="B319" s="865"/>
      <c r="C319" s="863" t="s">
        <v>73</v>
      </c>
      <c r="D319" s="872"/>
      <c r="E319" s="816"/>
      <c r="F319" s="873" t="s">
        <v>164</v>
      </c>
      <c r="G319" s="874"/>
      <c r="H319" s="875"/>
      <c r="I319" s="875"/>
      <c r="J319" s="875"/>
      <c r="K319" s="875"/>
      <c r="L319" s="875"/>
      <c r="M319" s="875"/>
      <c r="N319" s="875"/>
      <c r="O319" s="876"/>
      <c r="P319" s="875"/>
      <c r="Q319" s="875"/>
      <c r="R319" s="858">
        <f>SUMIF($P246:$P313,4,R247:R314)</f>
        <v>142762.18599999999</v>
      </c>
      <c r="T319" s="858">
        <f>SUMIF($P246:$P313,4,T247:T314)</f>
        <v>1000</v>
      </c>
    </row>
    <row r="320" spans="1:37" ht="15" thickTop="1" thickBot="1">
      <c r="A320" s="64"/>
      <c r="B320" s="877" t="s">
        <v>190</v>
      </c>
      <c r="C320" s="867" t="s">
        <v>190</v>
      </c>
      <c r="D320" s="867"/>
      <c r="O320" s="855"/>
      <c r="R320" s="878">
        <f>SUM(R316:R319)</f>
        <v>142762.18599999999</v>
      </c>
      <c r="S320" s="879"/>
      <c r="T320" s="878">
        <f>SUM(T316:T319)</f>
        <v>1000</v>
      </c>
      <c r="U320" s="816"/>
      <c r="V320" s="817"/>
      <c r="W320" s="817"/>
      <c r="X320" s="817"/>
      <c r="Y320" s="817"/>
      <c r="Z320" s="817"/>
      <c r="AA320" s="817"/>
      <c r="AB320" s="817"/>
      <c r="AC320" s="816"/>
      <c r="AD320" s="816"/>
      <c r="AE320" s="816"/>
      <c r="AF320" s="816"/>
      <c r="AG320" s="816"/>
      <c r="AH320" s="816"/>
      <c r="AI320" s="816"/>
      <c r="AJ320" s="816"/>
      <c r="AK320" s="816"/>
    </row>
    <row r="321" spans="1:17" ht="14.4" thickTop="1">
      <c r="A321" s="860"/>
      <c r="O321" s="855"/>
    </row>
    <row r="322" spans="1:17">
      <c r="A322" s="860"/>
      <c r="B322" s="880">
        <f t="shared" ref="B322:B357" si="15">SUMIF($D$13:$D$224,D322,$C$13:$C$224)</f>
        <v>0</v>
      </c>
      <c r="C322" s="860"/>
      <c r="D322" s="881" t="str">
        <f>[2]Elec_Rates!$D$19</f>
        <v>000# Controllers</v>
      </c>
      <c r="O322" s="855"/>
      <c r="Q322" s="64"/>
    </row>
    <row r="323" spans="1:17">
      <c r="A323" s="860"/>
      <c r="B323" s="880">
        <f t="shared" si="15"/>
        <v>0</v>
      </c>
      <c r="C323" s="860"/>
      <c r="D323" s="881" t="str">
        <f>[2]Elec_Rates!$D$27</f>
        <v>000# Controller Modules</v>
      </c>
      <c r="O323" s="855"/>
    </row>
    <row r="324" spans="1:17">
      <c r="A324" s="860"/>
      <c r="B324" s="880">
        <f t="shared" si="15"/>
        <v>0</v>
      </c>
      <c r="C324" s="860"/>
      <c r="D324" s="881" t="str">
        <f>[2]Elec_Rates!$D$35</f>
        <v>000# Signal Cable</v>
      </c>
      <c r="O324" s="855"/>
    </row>
    <row r="325" spans="1:17">
      <c r="A325" s="860"/>
      <c r="B325" s="880">
        <f t="shared" si="15"/>
        <v>0</v>
      </c>
      <c r="C325" s="860"/>
      <c r="D325" s="881" t="str">
        <f>[2]Elec_Rates!$D$43</f>
        <v>000# Modbus Cable</v>
      </c>
      <c r="O325" s="855"/>
    </row>
    <row r="326" spans="1:17">
      <c r="A326" s="860"/>
      <c r="B326" s="880">
        <f t="shared" si="15"/>
        <v>0</v>
      </c>
      <c r="C326" s="860"/>
      <c r="D326" s="881" t="str">
        <f>[2]Elec_Rates!$D$51</f>
        <v>000# CAT Cable</v>
      </c>
      <c r="O326" s="855"/>
    </row>
    <row r="327" spans="1:17">
      <c r="A327" s="860"/>
      <c r="B327" s="880">
        <f t="shared" si="15"/>
        <v>0</v>
      </c>
      <c r="C327" s="860"/>
      <c r="D327" s="881" t="str">
        <f>[2]Elec_Rates!$D$59</f>
        <v>000# Control Panels MCC DDC Security Fire</v>
      </c>
      <c r="O327" s="855"/>
    </row>
    <row r="328" spans="1:17">
      <c r="A328" s="860"/>
      <c r="B328" s="880">
        <f t="shared" si="15"/>
        <v>0</v>
      </c>
      <c r="C328" s="860"/>
      <c r="D328" s="881" t="str">
        <f>[2]Elec_Rates!$D$67</f>
        <v>000# Field Devices</v>
      </c>
      <c r="O328" s="855"/>
    </row>
    <row r="329" spans="1:17">
      <c r="A329" s="860"/>
      <c r="B329" s="880">
        <f t="shared" si="15"/>
        <v>0</v>
      </c>
      <c r="C329" s="860"/>
      <c r="D329" s="881" t="str">
        <f>[2]Elec_Rates!$D$75</f>
        <v>000# DALI - KNX</v>
      </c>
      <c r="O329" s="855"/>
    </row>
    <row r="330" spans="1:17">
      <c r="A330" s="860"/>
      <c r="B330" s="880">
        <f t="shared" si="15"/>
        <v>0</v>
      </c>
      <c r="C330" s="860"/>
      <c r="D330" s="881" t="str">
        <f>[2]Elec_Rates!$D$83</f>
        <v>000# Fire Equipment</v>
      </c>
      <c r="O330" s="855"/>
    </row>
    <row r="331" spans="1:17">
      <c r="A331" s="860"/>
      <c r="B331" s="880">
        <f t="shared" si="15"/>
        <v>0</v>
      </c>
      <c r="C331" s="860"/>
      <c r="D331" s="881" t="str">
        <f>[2]Elec_Rates!$D$91</f>
        <v>000# Data Networks Equipment</v>
      </c>
      <c r="O331" s="855"/>
    </row>
    <row r="332" spans="1:17">
      <c r="A332" s="860"/>
      <c r="B332" s="880">
        <f t="shared" si="15"/>
        <v>0</v>
      </c>
      <c r="C332" s="860"/>
      <c r="D332" s="881" t="str">
        <f>[2]Elec_Rates!$D$99</f>
        <v>000# Panel Building</v>
      </c>
      <c r="O332" s="855"/>
    </row>
    <row r="333" spans="1:17">
      <c r="A333" s="860"/>
      <c r="B333" s="880">
        <f t="shared" si="15"/>
        <v>0</v>
      </c>
      <c r="C333" s="860"/>
      <c r="D333" s="881" t="str">
        <f>[2]Elec_Rates!$D$107</f>
        <v>000# Termination, Point Testing, FAT</v>
      </c>
      <c r="O333" s="855"/>
    </row>
    <row r="334" spans="1:17">
      <c r="A334" s="860"/>
      <c r="B334" s="880">
        <f t="shared" si="15"/>
        <v>0</v>
      </c>
      <c r="C334" s="860"/>
      <c r="D334" s="881" t="str">
        <f>[2]Elec_Rates!$D$115</f>
        <v xml:space="preserve">000# </v>
      </c>
      <c r="O334" s="855"/>
    </row>
    <row r="335" spans="1:17">
      <c r="A335" s="860"/>
      <c r="B335" s="880">
        <f t="shared" si="15"/>
        <v>0</v>
      </c>
      <c r="C335" s="860"/>
      <c r="D335" s="881" t="e">
        <v>#REF!</v>
      </c>
      <c r="O335" s="855"/>
    </row>
    <row r="336" spans="1:17">
      <c r="A336" s="860"/>
      <c r="B336" s="880">
        <f t="shared" si="15"/>
        <v>0</v>
      </c>
      <c r="C336" s="860"/>
      <c r="D336" s="881" t="e">
        <v>#REF!</v>
      </c>
      <c r="O336" s="855"/>
    </row>
    <row r="337" spans="1:17">
      <c r="A337" s="860"/>
      <c r="B337" s="880">
        <f t="shared" si="15"/>
        <v>0</v>
      </c>
      <c r="C337" s="860"/>
      <c r="D337" s="881" t="e">
        <v>#REF!</v>
      </c>
      <c r="O337" s="855"/>
    </row>
    <row r="338" spans="1:17">
      <c r="A338" s="860"/>
      <c r="B338" s="880">
        <f t="shared" si="15"/>
        <v>0</v>
      </c>
      <c r="C338" s="860"/>
      <c r="D338" s="881" t="e">
        <v>#REF!</v>
      </c>
      <c r="O338" s="855"/>
    </row>
    <row r="339" spans="1:17">
      <c r="A339" s="860"/>
      <c r="B339" s="880">
        <f t="shared" si="15"/>
        <v>0</v>
      </c>
      <c r="C339" s="860"/>
      <c r="D339" s="881" t="e">
        <v>#REF!</v>
      </c>
      <c r="O339" s="855"/>
    </row>
    <row r="340" spans="1:17">
      <c r="A340" s="860"/>
      <c r="B340" s="880">
        <f t="shared" si="15"/>
        <v>0</v>
      </c>
      <c r="C340" s="860"/>
      <c r="D340" s="881" t="e">
        <v>#REF!</v>
      </c>
      <c r="O340" s="855"/>
      <c r="Q340" s="64"/>
    </row>
    <row r="341" spans="1:17">
      <c r="A341" s="860"/>
      <c r="B341" s="880">
        <f t="shared" si="15"/>
        <v>0</v>
      </c>
      <c r="C341" s="860"/>
      <c r="D341" s="881" t="e">
        <v>#REF!</v>
      </c>
      <c r="O341" s="855"/>
    </row>
    <row r="342" spans="1:17">
      <c r="A342" s="860"/>
      <c r="B342" s="880">
        <f t="shared" si="15"/>
        <v>0</v>
      </c>
      <c r="C342" s="860"/>
      <c r="D342" s="881" t="e">
        <v>#REF!</v>
      </c>
      <c r="O342" s="855"/>
    </row>
    <row r="343" spans="1:17">
      <c r="A343" s="860"/>
      <c r="B343" s="880">
        <f t="shared" si="15"/>
        <v>0</v>
      </c>
      <c r="C343" s="860"/>
      <c r="D343" s="881" t="e">
        <v>#REF!</v>
      </c>
      <c r="O343" s="855"/>
    </row>
    <row r="344" spans="1:17">
      <c r="A344" s="860"/>
      <c r="B344" s="880">
        <f t="shared" si="15"/>
        <v>0</v>
      </c>
      <c r="C344" s="860"/>
      <c r="D344" s="881" t="e">
        <v>#REF!</v>
      </c>
      <c r="O344" s="855"/>
    </row>
    <row r="345" spans="1:17">
      <c r="A345" s="860"/>
      <c r="B345" s="880">
        <f t="shared" si="15"/>
        <v>0</v>
      </c>
      <c r="C345" s="860"/>
      <c r="D345" s="881" t="e">
        <v>#REF!</v>
      </c>
      <c r="O345" s="855"/>
    </row>
    <row r="346" spans="1:17">
      <c r="A346" s="860"/>
      <c r="B346" s="880">
        <f t="shared" si="15"/>
        <v>0</v>
      </c>
      <c r="C346" s="860"/>
      <c r="D346" s="881" t="e">
        <v>#REF!</v>
      </c>
      <c r="O346" s="855"/>
    </row>
    <row r="347" spans="1:17">
      <c r="A347" s="860"/>
      <c r="B347" s="880">
        <f t="shared" si="15"/>
        <v>0</v>
      </c>
      <c r="C347" s="860"/>
      <c r="D347" s="881" t="e">
        <v>#REF!</v>
      </c>
      <c r="O347" s="855"/>
    </row>
    <row r="348" spans="1:17">
      <c r="A348" s="860"/>
      <c r="B348" s="880">
        <f t="shared" si="15"/>
        <v>0</v>
      </c>
      <c r="C348" s="860"/>
      <c r="D348" s="881" t="e">
        <v>#REF!</v>
      </c>
      <c r="O348" s="855"/>
    </row>
    <row r="349" spans="1:17">
      <c r="A349" s="860"/>
      <c r="B349" s="880">
        <f t="shared" si="15"/>
        <v>0</v>
      </c>
      <c r="C349" s="860"/>
      <c r="D349" s="881" t="e">
        <v>#REF!</v>
      </c>
      <c r="O349" s="855"/>
    </row>
    <row r="350" spans="1:17">
      <c r="A350" s="860"/>
      <c r="B350" s="880">
        <f t="shared" si="15"/>
        <v>0</v>
      </c>
      <c r="C350" s="860"/>
      <c r="D350" s="881" t="e">
        <v>#REF!</v>
      </c>
      <c r="O350" s="855"/>
    </row>
    <row r="351" spans="1:17">
      <c r="A351" s="860"/>
      <c r="B351" s="880">
        <f t="shared" si="15"/>
        <v>0</v>
      </c>
      <c r="C351" s="860"/>
      <c r="D351" s="881" t="e">
        <v>#REF!</v>
      </c>
      <c r="O351" s="855"/>
    </row>
    <row r="352" spans="1:17">
      <c r="A352" s="860"/>
      <c r="B352" s="880">
        <f t="shared" si="15"/>
        <v>0</v>
      </c>
      <c r="C352" s="860"/>
      <c r="D352" s="881" t="e">
        <v>#REF!</v>
      </c>
      <c r="O352" s="855"/>
    </row>
    <row r="353" spans="1:37">
      <c r="A353" s="860"/>
      <c r="B353" s="880">
        <f t="shared" si="15"/>
        <v>0</v>
      </c>
      <c r="C353" s="860"/>
      <c r="D353" s="881" t="e">
        <v>#REF!</v>
      </c>
      <c r="O353" s="855"/>
    </row>
    <row r="354" spans="1:37">
      <c r="A354" s="860"/>
      <c r="B354" s="880">
        <f t="shared" si="15"/>
        <v>0</v>
      </c>
      <c r="C354" s="860"/>
      <c r="D354" s="881" t="e">
        <v>#REF!</v>
      </c>
      <c r="O354" s="855"/>
    </row>
    <row r="355" spans="1:37">
      <c r="A355" s="860"/>
      <c r="B355" s="880">
        <f t="shared" si="15"/>
        <v>0</v>
      </c>
      <c r="C355" s="860"/>
      <c r="D355" s="881" t="e">
        <v>#REF!</v>
      </c>
      <c r="O355" s="855"/>
    </row>
    <row r="356" spans="1:37">
      <c r="A356" s="860"/>
      <c r="B356" s="880">
        <f t="shared" si="15"/>
        <v>0</v>
      </c>
      <c r="C356" s="860"/>
      <c r="D356" s="881" t="e">
        <v>#REF!</v>
      </c>
      <c r="O356" s="855"/>
    </row>
    <row r="357" spans="1:37">
      <c r="A357" s="860"/>
      <c r="B357" s="880">
        <f t="shared" si="15"/>
        <v>0</v>
      </c>
      <c r="C357" s="860"/>
      <c r="D357" s="881" t="e">
        <v>#REF!</v>
      </c>
      <c r="O357" s="855"/>
    </row>
    <row r="358" spans="1:37" ht="14.4" thickBot="1">
      <c r="A358" s="864"/>
      <c r="B358" s="816"/>
      <c r="C358" s="816"/>
      <c r="D358" s="816"/>
      <c r="E358" s="816"/>
      <c r="F358" s="816"/>
      <c r="G358" s="816"/>
      <c r="H358" s="816"/>
      <c r="I358" s="816"/>
      <c r="J358" s="816"/>
      <c r="K358" s="816"/>
      <c r="L358" s="816"/>
      <c r="M358" s="816"/>
      <c r="N358" s="816"/>
      <c r="O358" s="866"/>
      <c r="P358" s="816"/>
      <c r="Q358" s="816"/>
    </row>
    <row r="359" spans="1:37" ht="15" thickTop="1" thickBot="1">
      <c r="A359" s="814" t="s">
        <v>147</v>
      </c>
      <c r="B359" s="615"/>
      <c r="C359" s="615"/>
      <c r="D359" s="615"/>
      <c r="E359" s="615"/>
      <c r="F359" s="616"/>
      <c r="G359" s="64"/>
      <c r="H359" s="64"/>
      <c r="I359" s="64"/>
      <c r="J359" s="64"/>
      <c r="K359" s="64"/>
      <c r="L359" s="615"/>
      <c r="M359" s="615"/>
      <c r="N359" s="615"/>
      <c r="O359" s="615"/>
      <c r="P359" s="615"/>
      <c r="Q359" s="779"/>
      <c r="R359" s="816"/>
      <c r="S359" s="816"/>
      <c r="T359" s="816"/>
      <c r="U359" s="816"/>
      <c r="V359" s="817"/>
      <c r="W359" s="817"/>
      <c r="X359" s="817"/>
      <c r="Y359" s="817"/>
      <c r="Z359" s="817"/>
      <c r="AA359" s="817"/>
      <c r="AB359" s="817"/>
      <c r="AC359" s="816"/>
      <c r="AD359" s="816"/>
      <c r="AE359" s="816"/>
      <c r="AF359" s="816"/>
      <c r="AG359" s="816"/>
      <c r="AH359" s="816"/>
      <c r="AI359" s="816"/>
      <c r="AJ359" s="816"/>
      <c r="AK359" s="816"/>
    </row>
    <row r="360" spans="1:37" ht="14.4" thickTop="1">
      <c r="R360" s="64"/>
      <c r="S360" s="64"/>
      <c r="T360" s="64"/>
    </row>
  </sheetData>
  <sheetProtection formatCells="0" formatColumns="0" formatRows="0" insertColumns="0" insertRows="0" insertHyperlinks="0" deleteColumns="0" deleteRows="0" sort="0" autoFilter="0" pivotTables="0"/>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S565"/>
  <sheetViews>
    <sheetView tabSelected="1" zoomScale="85" zoomScaleNormal="100" workbookViewId="0">
      <selection activeCell="AA20" sqref="AA20"/>
    </sheetView>
  </sheetViews>
  <sheetFormatPr defaultRowHeight="13.2"/>
  <cols>
    <col min="1" max="1" width="11" style="682" customWidth="1"/>
    <col min="2" max="2" width="55.77734375" style="683" customWidth="1"/>
    <col min="3" max="3" width="9.44140625" style="680" customWidth="1"/>
    <col min="4" max="4" width="6.44140625" style="680" customWidth="1"/>
    <col min="5" max="5" width="9.6640625" style="684" customWidth="1"/>
    <col min="6" max="6" width="9.88671875" style="685" customWidth="1"/>
    <col min="7" max="16" width="0" style="655" hidden="1" customWidth="1"/>
    <col min="17" max="17" width="5.6640625" style="655" customWidth="1"/>
    <col min="18" max="18" width="15" style="684" customWidth="1"/>
    <col min="19" max="255" width="9.109375" style="655"/>
    <col min="256" max="256" width="11" style="655" customWidth="1"/>
    <col min="257" max="257" width="47.44140625" style="655" customWidth="1"/>
    <col min="258" max="258" width="9.44140625" style="655" customWidth="1"/>
    <col min="259" max="259" width="6.44140625" style="655" customWidth="1"/>
    <col min="260" max="260" width="9.6640625" style="655" customWidth="1"/>
    <col min="261" max="261" width="9.88671875" style="655" customWidth="1"/>
    <col min="262" max="271" width="0" style="655" hidden="1" customWidth="1"/>
    <col min="272" max="511" width="9.109375" style="655"/>
    <col min="512" max="512" width="11" style="655" customWidth="1"/>
    <col min="513" max="513" width="47.44140625" style="655" customWidth="1"/>
    <col min="514" max="514" width="9.44140625" style="655" customWidth="1"/>
    <col min="515" max="515" width="6.44140625" style="655" customWidth="1"/>
    <col min="516" max="516" width="9.6640625" style="655" customWidth="1"/>
    <col min="517" max="517" width="9.88671875" style="655" customWidth="1"/>
    <col min="518" max="527" width="0" style="655" hidden="1" customWidth="1"/>
    <col min="528" max="767" width="9.109375" style="655"/>
    <col min="768" max="768" width="11" style="655" customWidth="1"/>
    <col min="769" max="769" width="47.44140625" style="655" customWidth="1"/>
    <col min="770" max="770" width="9.44140625" style="655" customWidth="1"/>
    <col min="771" max="771" width="6.44140625" style="655" customWidth="1"/>
    <col min="772" max="772" width="9.6640625" style="655" customWidth="1"/>
    <col min="773" max="773" width="9.88671875" style="655" customWidth="1"/>
    <col min="774" max="783" width="0" style="655" hidden="1" customWidth="1"/>
    <col min="784" max="1023" width="9.109375" style="655"/>
    <col min="1024" max="1024" width="11" style="655" customWidth="1"/>
    <col min="1025" max="1025" width="47.44140625" style="655" customWidth="1"/>
    <col min="1026" max="1026" width="9.44140625" style="655" customWidth="1"/>
    <col min="1027" max="1027" width="6.44140625" style="655" customWidth="1"/>
    <col min="1028" max="1028" width="9.6640625" style="655" customWidth="1"/>
    <col min="1029" max="1029" width="9.88671875" style="655" customWidth="1"/>
    <col min="1030" max="1039" width="0" style="655" hidden="1" customWidth="1"/>
    <col min="1040" max="1279" width="9.109375" style="655"/>
    <col min="1280" max="1280" width="11" style="655" customWidth="1"/>
    <col min="1281" max="1281" width="47.44140625" style="655" customWidth="1"/>
    <col min="1282" max="1282" width="9.44140625" style="655" customWidth="1"/>
    <col min="1283" max="1283" width="6.44140625" style="655" customWidth="1"/>
    <col min="1284" max="1284" width="9.6640625" style="655" customWidth="1"/>
    <col min="1285" max="1285" width="9.88671875" style="655" customWidth="1"/>
    <col min="1286" max="1295" width="0" style="655" hidden="1" customWidth="1"/>
    <col min="1296" max="1535" width="9.109375" style="655"/>
    <col min="1536" max="1536" width="11" style="655" customWidth="1"/>
    <col min="1537" max="1537" width="47.44140625" style="655" customWidth="1"/>
    <col min="1538" max="1538" width="9.44140625" style="655" customWidth="1"/>
    <col min="1539" max="1539" width="6.44140625" style="655" customWidth="1"/>
    <col min="1540" max="1540" width="9.6640625" style="655" customWidth="1"/>
    <col min="1541" max="1541" width="9.88671875" style="655" customWidth="1"/>
    <col min="1542" max="1551" width="0" style="655" hidden="1" customWidth="1"/>
    <col min="1552" max="1791" width="9.109375" style="655"/>
    <col min="1792" max="1792" width="11" style="655" customWidth="1"/>
    <col min="1793" max="1793" width="47.44140625" style="655" customWidth="1"/>
    <col min="1794" max="1794" width="9.44140625" style="655" customWidth="1"/>
    <col min="1795" max="1795" width="6.44140625" style="655" customWidth="1"/>
    <col min="1796" max="1796" width="9.6640625" style="655" customWidth="1"/>
    <col min="1797" max="1797" width="9.88671875" style="655" customWidth="1"/>
    <col min="1798" max="1807" width="0" style="655" hidden="1" customWidth="1"/>
    <col min="1808" max="2047" width="9.109375" style="655"/>
    <col min="2048" max="2048" width="11" style="655" customWidth="1"/>
    <col min="2049" max="2049" width="47.44140625" style="655" customWidth="1"/>
    <col min="2050" max="2050" width="9.44140625" style="655" customWidth="1"/>
    <col min="2051" max="2051" width="6.44140625" style="655" customWidth="1"/>
    <col min="2052" max="2052" width="9.6640625" style="655" customWidth="1"/>
    <col min="2053" max="2053" width="9.88671875" style="655" customWidth="1"/>
    <col min="2054" max="2063" width="0" style="655" hidden="1" customWidth="1"/>
    <col min="2064" max="2303" width="9.109375" style="655"/>
    <col min="2304" max="2304" width="11" style="655" customWidth="1"/>
    <col min="2305" max="2305" width="47.44140625" style="655" customWidth="1"/>
    <col min="2306" max="2306" width="9.44140625" style="655" customWidth="1"/>
    <col min="2307" max="2307" width="6.44140625" style="655" customWidth="1"/>
    <col min="2308" max="2308" width="9.6640625" style="655" customWidth="1"/>
    <col min="2309" max="2309" width="9.88671875" style="655" customWidth="1"/>
    <col min="2310" max="2319" width="0" style="655" hidden="1" customWidth="1"/>
    <col min="2320" max="2559" width="9.109375" style="655"/>
    <col min="2560" max="2560" width="11" style="655" customWidth="1"/>
    <col min="2561" max="2561" width="47.44140625" style="655" customWidth="1"/>
    <col min="2562" max="2562" width="9.44140625" style="655" customWidth="1"/>
    <col min="2563" max="2563" width="6.44140625" style="655" customWidth="1"/>
    <col min="2564" max="2564" width="9.6640625" style="655" customWidth="1"/>
    <col min="2565" max="2565" width="9.88671875" style="655" customWidth="1"/>
    <col min="2566" max="2575" width="0" style="655" hidden="1" customWidth="1"/>
    <col min="2576" max="2815" width="9.109375" style="655"/>
    <col min="2816" max="2816" width="11" style="655" customWidth="1"/>
    <col min="2817" max="2817" width="47.44140625" style="655" customWidth="1"/>
    <col min="2818" max="2818" width="9.44140625" style="655" customWidth="1"/>
    <col min="2819" max="2819" width="6.44140625" style="655" customWidth="1"/>
    <col min="2820" max="2820" width="9.6640625" style="655" customWidth="1"/>
    <col min="2821" max="2821" width="9.88671875" style="655" customWidth="1"/>
    <col min="2822" max="2831" width="0" style="655" hidden="1" customWidth="1"/>
    <col min="2832" max="3071" width="9.109375" style="655"/>
    <col min="3072" max="3072" width="11" style="655" customWidth="1"/>
    <col min="3073" max="3073" width="47.44140625" style="655" customWidth="1"/>
    <col min="3074" max="3074" width="9.44140625" style="655" customWidth="1"/>
    <col min="3075" max="3075" width="6.44140625" style="655" customWidth="1"/>
    <col min="3076" max="3076" width="9.6640625" style="655" customWidth="1"/>
    <col min="3077" max="3077" width="9.88671875" style="655" customWidth="1"/>
    <col min="3078" max="3087" width="0" style="655" hidden="1" customWidth="1"/>
    <col min="3088" max="3327" width="9.109375" style="655"/>
    <col min="3328" max="3328" width="11" style="655" customWidth="1"/>
    <col min="3329" max="3329" width="47.44140625" style="655" customWidth="1"/>
    <col min="3330" max="3330" width="9.44140625" style="655" customWidth="1"/>
    <col min="3331" max="3331" width="6.44140625" style="655" customWidth="1"/>
    <col min="3332" max="3332" width="9.6640625" style="655" customWidth="1"/>
    <col min="3333" max="3333" width="9.88671875" style="655" customWidth="1"/>
    <col min="3334" max="3343" width="0" style="655" hidden="1" customWidth="1"/>
    <col min="3344" max="3583" width="9.109375" style="655"/>
    <col min="3584" max="3584" width="11" style="655" customWidth="1"/>
    <col min="3585" max="3585" width="47.44140625" style="655" customWidth="1"/>
    <col min="3586" max="3586" width="9.44140625" style="655" customWidth="1"/>
    <col min="3587" max="3587" width="6.44140625" style="655" customWidth="1"/>
    <col min="3588" max="3588" width="9.6640625" style="655" customWidth="1"/>
    <col min="3589" max="3589" width="9.88671875" style="655" customWidth="1"/>
    <col min="3590" max="3599" width="0" style="655" hidden="1" customWidth="1"/>
    <col min="3600" max="3839" width="9.109375" style="655"/>
    <col min="3840" max="3840" width="11" style="655" customWidth="1"/>
    <col min="3841" max="3841" width="47.44140625" style="655" customWidth="1"/>
    <col min="3842" max="3842" width="9.44140625" style="655" customWidth="1"/>
    <col min="3843" max="3843" width="6.44140625" style="655" customWidth="1"/>
    <col min="3844" max="3844" width="9.6640625" style="655" customWidth="1"/>
    <col min="3845" max="3845" width="9.88671875" style="655" customWidth="1"/>
    <col min="3846" max="3855" width="0" style="655" hidden="1" customWidth="1"/>
    <col min="3856" max="4095" width="9.109375" style="655"/>
    <col min="4096" max="4096" width="11" style="655" customWidth="1"/>
    <col min="4097" max="4097" width="47.44140625" style="655" customWidth="1"/>
    <col min="4098" max="4098" width="9.44140625" style="655" customWidth="1"/>
    <col min="4099" max="4099" width="6.44140625" style="655" customWidth="1"/>
    <col min="4100" max="4100" width="9.6640625" style="655" customWidth="1"/>
    <col min="4101" max="4101" width="9.88671875" style="655" customWidth="1"/>
    <col min="4102" max="4111" width="0" style="655" hidden="1" customWidth="1"/>
    <col min="4112" max="4351" width="9.109375" style="655"/>
    <col min="4352" max="4352" width="11" style="655" customWidth="1"/>
    <col min="4353" max="4353" width="47.44140625" style="655" customWidth="1"/>
    <col min="4354" max="4354" width="9.44140625" style="655" customWidth="1"/>
    <col min="4355" max="4355" width="6.44140625" style="655" customWidth="1"/>
    <col min="4356" max="4356" width="9.6640625" style="655" customWidth="1"/>
    <col min="4357" max="4357" width="9.88671875" style="655" customWidth="1"/>
    <col min="4358" max="4367" width="0" style="655" hidden="1" customWidth="1"/>
    <col min="4368" max="4607" width="9.109375" style="655"/>
    <col min="4608" max="4608" width="11" style="655" customWidth="1"/>
    <col min="4609" max="4609" width="47.44140625" style="655" customWidth="1"/>
    <col min="4610" max="4610" width="9.44140625" style="655" customWidth="1"/>
    <col min="4611" max="4611" width="6.44140625" style="655" customWidth="1"/>
    <col min="4612" max="4612" width="9.6640625" style="655" customWidth="1"/>
    <col min="4613" max="4613" width="9.88671875" style="655" customWidth="1"/>
    <col min="4614" max="4623" width="0" style="655" hidden="1" customWidth="1"/>
    <col min="4624" max="4863" width="9.109375" style="655"/>
    <col min="4864" max="4864" width="11" style="655" customWidth="1"/>
    <col min="4865" max="4865" width="47.44140625" style="655" customWidth="1"/>
    <col min="4866" max="4866" width="9.44140625" style="655" customWidth="1"/>
    <col min="4867" max="4867" width="6.44140625" style="655" customWidth="1"/>
    <col min="4868" max="4868" width="9.6640625" style="655" customWidth="1"/>
    <col min="4869" max="4869" width="9.88671875" style="655" customWidth="1"/>
    <col min="4870" max="4879" width="0" style="655" hidden="1" customWidth="1"/>
    <col min="4880" max="5119" width="9.109375" style="655"/>
    <col min="5120" max="5120" width="11" style="655" customWidth="1"/>
    <col min="5121" max="5121" width="47.44140625" style="655" customWidth="1"/>
    <col min="5122" max="5122" width="9.44140625" style="655" customWidth="1"/>
    <col min="5123" max="5123" width="6.44140625" style="655" customWidth="1"/>
    <col min="5124" max="5124" width="9.6640625" style="655" customWidth="1"/>
    <col min="5125" max="5125" width="9.88671875" style="655" customWidth="1"/>
    <col min="5126" max="5135" width="0" style="655" hidden="1" customWidth="1"/>
    <col min="5136" max="5375" width="9.109375" style="655"/>
    <col min="5376" max="5376" width="11" style="655" customWidth="1"/>
    <col min="5377" max="5377" width="47.44140625" style="655" customWidth="1"/>
    <col min="5378" max="5378" width="9.44140625" style="655" customWidth="1"/>
    <col min="5379" max="5379" width="6.44140625" style="655" customWidth="1"/>
    <col min="5380" max="5380" width="9.6640625" style="655" customWidth="1"/>
    <col min="5381" max="5381" width="9.88671875" style="655" customWidth="1"/>
    <col min="5382" max="5391" width="0" style="655" hidden="1" customWidth="1"/>
    <col min="5392" max="5631" width="9.109375" style="655"/>
    <col min="5632" max="5632" width="11" style="655" customWidth="1"/>
    <col min="5633" max="5633" width="47.44140625" style="655" customWidth="1"/>
    <col min="5634" max="5634" width="9.44140625" style="655" customWidth="1"/>
    <col min="5635" max="5635" width="6.44140625" style="655" customWidth="1"/>
    <col min="5636" max="5636" width="9.6640625" style="655" customWidth="1"/>
    <col min="5637" max="5637" width="9.88671875" style="655" customWidth="1"/>
    <col min="5638" max="5647" width="0" style="655" hidden="1" customWidth="1"/>
    <col min="5648" max="5887" width="9.109375" style="655"/>
    <col min="5888" max="5888" width="11" style="655" customWidth="1"/>
    <col min="5889" max="5889" width="47.44140625" style="655" customWidth="1"/>
    <col min="5890" max="5890" width="9.44140625" style="655" customWidth="1"/>
    <col min="5891" max="5891" width="6.44140625" style="655" customWidth="1"/>
    <col min="5892" max="5892" width="9.6640625" style="655" customWidth="1"/>
    <col min="5893" max="5893" width="9.88671875" style="655" customWidth="1"/>
    <col min="5894" max="5903" width="0" style="655" hidden="1" customWidth="1"/>
    <col min="5904" max="6143" width="9.109375" style="655"/>
    <col min="6144" max="6144" width="11" style="655" customWidth="1"/>
    <col min="6145" max="6145" width="47.44140625" style="655" customWidth="1"/>
    <col min="6146" max="6146" width="9.44140625" style="655" customWidth="1"/>
    <col min="6147" max="6147" width="6.44140625" style="655" customWidth="1"/>
    <col min="6148" max="6148" width="9.6640625" style="655" customWidth="1"/>
    <col min="6149" max="6149" width="9.88671875" style="655" customWidth="1"/>
    <col min="6150" max="6159" width="0" style="655" hidden="1" customWidth="1"/>
    <col min="6160" max="6399" width="9.109375" style="655"/>
    <col min="6400" max="6400" width="11" style="655" customWidth="1"/>
    <col min="6401" max="6401" width="47.44140625" style="655" customWidth="1"/>
    <col min="6402" max="6402" width="9.44140625" style="655" customWidth="1"/>
    <col min="6403" max="6403" width="6.44140625" style="655" customWidth="1"/>
    <col min="6404" max="6404" width="9.6640625" style="655" customWidth="1"/>
    <col min="6405" max="6405" width="9.88671875" style="655" customWidth="1"/>
    <col min="6406" max="6415" width="0" style="655" hidden="1" customWidth="1"/>
    <col min="6416" max="6655" width="9.109375" style="655"/>
    <col min="6656" max="6656" width="11" style="655" customWidth="1"/>
    <col min="6657" max="6657" width="47.44140625" style="655" customWidth="1"/>
    <col min="6658" max="6658" width="9.44140625" style="655" customWidth="1"/>
    <col min="6659" max="6659" width="6.44140625" style="655" customWidth="1"/>
    <col min="6660" max="6660" width="9.6640625" style="655" customWidth="1"/>
    <col min="6661" max="6661" width="9.88671875" style="655" customWidth="1"/>
    <col min="6662" max="6671" width="0" style="655" hidden="1" customWidth="1"/>
    <col min="6672" max="6911" width="9.109375" style="655"/>
    <col min="6912" max="6912" width="11" style="655" customWidth="1"/>
    <col min="6913" max="6913" width="47.44140625" style="655" customWidth="1"/>
    <col min="6914" max="6914" width="9.44140625" style="655" customWidth="1"/>
    <col min="6915" max="6915" width="6.44140625" style="655" customWidth="1"/>
    <col min="6916" max="6916" width="9.6640625" style="655" customWidth="1"/>
    <col min="6917" max="6917" width="9.88671875" style="655" customWidth="1"/>
    <col min="6918" max="6927" width="0" style="655" hidden="1" customWidth="1"/>
    <col min="6928" max="7167" width="9.109375" style="655"/>
    <col min="7168" max="7168" width="11" style="655" customWidth="1"/>
    <col min="7169" max="7169" width="47.44140625" style="655" customWidth="1"/>
    <col min="7170" max="7170" width="9.44140625" style="655" customWidth="1"/>
    <col min="7171" max="7171" width="6.44140625" style="655" customWidth="1"/>
    <col min="7172" max="7172" width="9.6640625" style="655" customWidth="1"/>
    <col min="7173" max="7173" width="9.88671875" style="655" customWidth="1"/>
    <col min="7174" max="7183" width="0" style="655" hidden="1" customWidth="1"/>
    <col min="7184" max="7423" width="9.109375" style="655"/>
    <col min="7424" max="7424" width="11" style="655" customWidth="1"/>
    <col min="7425" max="7425" width="47.44140625" style="655" customWidth="1"/>
    <col min="7426" max="7426" width="9.44140625" style="655" customWidth="1"/>
    <col min="7427" max="7427" width="6.44140625" style="655" customWidth="1"/>
    <col min="7428" max="7428" width="9.6640625" style="655" customWidth="1"/>
    <col min="7429" max="7429" width="9.88671875" style="655" customWidth="1"/>
    <col min="7430" max="7439" width="0" style="655" hidden="1" customWidth="1"/>
    <col min="7440" max="7679" width="9.109375" style="655"/>
    <col min="7680" max="7680" width="11" style="655" customWidth="1"/>
    <col min="7681" max="7681" width="47.44140625" style="655" customWidth="1"/>
    <col min="7682" max="7682" width="9.44140625" style="655" customWidth="1"/>
    <col min="7683" max="7683" width="6.44140625" style="655" customWidth="1"/>
    <col min="7684" max="7684" width="9.6640625" style="655" customWidth="1"/>
    <col min="7685" max="7685" width="9.88671875" style="655" customWidth="1"/>
    <col min="7686" max="7695" width="0" style="655" hidden="1" customWidth="1"/>
    <col min="7696" max="7935" width="9.109375" style="655"/>
    <col min="7936" max="7936" width="11" style="655" customWidth="1"/>
    <col min="7937" max="7937" width="47.44140625" style="655" customWidth="1"/>
    <col min="7938" max="7938" width="9.44140625" style="655" customWidth="1"/>
    <col min="7939" max="7939" width="6.44140625" style="655" customWidth="1"/>
    <col min="7940" max="7940" width="9.6640625" style="655" customWidth="1"/>
    <col min="7941" max="7941" width="9.88671875" style="655" customWidth="1"/>
    <col min="7942" max="7951" width="0" style="655" hidden="1" customWidth="1"/>
    <col min="7952" max="8191" width="9.109375" style="655"/>
    <col min="8192" max="8192" width="11" style="655" customWidth="1"/>
    <col min="8193" max="8193" width="47.44140625" style="655" customWidth="1"/>
    <col min="8194" max="8194" width="9.44140625" style="655" customWidth="1"/>
    <col min="8195" max="8195" width="6.44140625" style="655" customWidth="1"/>
    <col min="8196" max="8196" width="9.6640625" style="655" customWidth="1"/>
    <col min="8197" max="8197" width="9.88671875" style="655" customWidth="1"/>
    <col min="8198" max="8207" width="0" style="655" hidden="1" customWidth="1"/>
    <col min="8208" max="8447" width="9.109375" style="655"/>
    <col min="8448" max="8448" width="11" style="655" customWidth="1"/>
    <col min="8449" max="8449" width="47.44140625" style="655" customWidth="1"/>
    <col min="8450" max="8450" width="9.44140625" style="655" customWidth="1"/>
    <col min="8451" max="8451" width="6.44140625" style="655" customWidth="1"/>
    <col min="8452" max="8452" width="9.6640625" style="655" customWidth="1"/>
    <col min="8453" max="8453" width="9.88671875" style="655" customWidth="1"/>
    <col min="8454" max="8463" width="0" style="655" hidden="1" customWidth="1"/>
    <col min="8464" max="8703" width="9.109375" style="655"/>
    <col min="8704" max="8704" width="11" style="655" customWidth="1"/>
    <col min="8705" max="8705" width="47.44140625" style="655" customWidth="1"/>
    <col min="8706" max="8706" width="9.44140625" style="655" customWidth="1"/>
    <col min="8707" max="8707" width="6.44140625" style="655" customWidth="1"/>
    <col min="8708" max="8708" width="9.6640625" style="655" customWidth="1"/>
    <col min="8709" max="8709" width="9.88671875" style="655" customWidth="1"/>
    <col min="8710" max="8719" width="0" style="655" hidden="1" customWidth="1"/>
    <col min="8720" max="8959" width="9.109375" style="655"/>
    <col min="8960" max="8960" width="11" style="655" customWidth="1"/>
    <col min="8961" max="8961" width="47.44140625" style="655" customWidth="1"/>
    <col min="8962" max="8962" width="9.44140625" style="655" customWidth="1"/>
    <col min="8963" max="8963" width="6.44140625" style="655" customWidth="1"/>
    <col min="8964" max="8964" width="9.6640625" style="655" customWidth="1"/>
    <col min="8965" max="8965" width="9.88671875" style="655" customWidth="1"/>
    <col min="8966" max="8975" width="0" style="655" hidden="1" customWidth="1"/>
    <col min="8976" max="9215" width="9.109375" style="655"/>
    <col min="9216" max="9216" width="11" style="655" customWidth="1"/>
    <col min="9217" max="9217" width="47.44140625" style="655" customWidth="1"/>
    <col min="9218" max="9218" width="9.44140625" style="655" customWidth="1"/>
    <col min="9219" max="9219" width="6.44140625" style="655" customWidth="1"/>
    <col min="9220" max="9220" width="9.6640625" style="655" customWidth="1"/>
    <col min="9221" max="9221" width="9.88671875" style="655" customWidth="1"/>
    <col min="9222" max="9231" width="0" style="655" hidden="1" customWidth="1"/>
    <col min="9232" max="9471" width="9.109375" style="655"/>
    <col min="9472" max="9472" width="11" style="655" customWidth="1"/>
    <col min="9473" max="9473" width="47.44140625" style="655" customWidth="1"/>
    <col min="9474" max="9474" width="9.44140625" style="655" customWidth="1"/>
    <col min="9475" max="9475" width="6.44140625" style="655" customWidth="1"/>
    <col min="9476" max="9476" width="9.6640625" style="655" customWidth="1"/>
    <col min="9477" max="9477" width="9.88671875" style="655" customWidth="1"/>
    <col min="9478" max="9487" width="0" style="655" hidden="1" customWidth="1"/>
    <col min="9488" max="9727" width="9.109375" style="655"/>
    <col min="9728" max="9728" width="11" style="655" customWidth="1"/>
    <col min="9729" max="9729" width="47.44140625" style="655" customWidth="1"/>
    <col min="9730" max="9730" width="9.44140625" style="655" customWidth="1"/>
    <col min="9731" max="9731" width="6.44140625" style="655" customWidth="1"/>
    <col min="9732" max="9732" width="9.6640625" style="655" customWidth="1"/>
    <col min="9733" max="9733" width="9.88671875" style="655" customWidth="1"/>
    <col min="9734" max="9743" width="0" style="655" hidden="1" customWidth="1"/>
    <col min="9744" max="9983" width="9.109375" style="655"/>
    <col min="9984" max="9984" width="11" style="655" customWidth="1"/>
    <col min="9985" max="9985" width="47.44140625" style="655" customWidth="1"/>
    <col min="9986" max="9986" width="9.44140625" style="655" customWidth="1"/>
    <col min="9987" max="9987" width="6.44140625" style="655" customWidth="1"/>
    <col min="9988" max="9988" width="9.6640625" style="655" customWidth="1"/>
    <col min="9989" max="9989" width="9.88671875" style="655" customWidth="1"/>
    <col min="9990" max="9999" width="0" style="655" hidden="1" customWidth="1"/>
    <col min="10000" max="10239" width="9.109375" style="655"/>
    <col min="10240" max="10240" width="11" style="655" customWidth="1"/>
    <col min="10241" max="10241" width="47.44140625" style="655" customWidth="1"/>
    <col min="10242" max="10242" width="9.44140625" style="655" customWidth="1"/>
    <col min="10243" max="10243" width="6.44140625" style="655" customWidth="1"/>
    <col min="10244" max="10244" width="9.6640625" style="655" customWidth="1"/>
    <col min="10245" max="10245" width="9.88671875" style="655" customWidth="1"/>
    <col min="10246" max="10255" width="0" style="655" hidden="1" customWidth="1"/>
    <col min="10256" max="10495" width="9.109375" style="655"/>
    <col min="10496" max="10496" width="11" style="655" customWidth="1"/>
    <col min="10497" max="10497" width="47.44140625" style="655" customWidth="1"/>
    <col min="10498" max="10498" width="9.44140625" style="655" customWidth="1"/>
    <col min="10499" max="10499" width="6.44140625" style="655" customWidth="1"/>
    <col min="10500" max="10500" width="9.6640625" style="655" customWidth="1"/>
    <col min="10501" max="10501" width="9.88671875" style="655" customWidth="1"/>
    <col min="10502" max="10511" width="0" style="655" hidden="1" customWidth="1"/>
    <col min="10512" max="10751" width="9.109375" style="655"/>
    <col min="10752" max="10752" width="11" style="655" customWidth="1"/>
    <col min="10753" max="10753" width="47.44140625" style="655" customWidth="1"/>
    <col min="10754" max="10754" width="9.44140625" style="655" customWidth="1"/>
    <col min="10755" max="10755" width="6.44140625" style="655" customWidth="1"/>
    <col min="10756" max="10756" width="9.6640625" style="655" customWidth="1"/>
    <col min="10757" max="10757" width="9.88671875" style="655" customWidth="1"/>
    <col min="10758" max="10767" width="0" style="655" hidden="1" customWidth="1"/>
    <col min="10768" max="11007" width="9.109375" style="655"/>
    <col min="11008" max="11008" width="11" style="655" customWidth="1"/>
    <col min="11009" max="11009" width="47.44140625" style="655" customWidth="1"/>
    <col min="11010" max="11010" width="9.44140625" style="655" customWidth="1"/>
    <col min="11011" max="11011" width="6.44140625" style="655" customWidth="1"/>
    <col min="11012" max="11012" width="9.6640625" style="655" customWidth="1"/>
    <col min="11013" max="11013" width="9.88671875" style="655" customWidth="1"/>
    <col min="11014" max="11023" width="0" style="655" hidden="1" customWidth="1"/>
    <col min="11024" max="11263" width="9.109375" style="655"/>
    <col min="11264" max="11264" width="11" style="655" customWidth="1"/>
    <col min="11265" max="11265" width="47.44140625" style="655" customWidth="1"/>
    <col min="11266" max="11266" width="9.44140625" style="655" customWidth="1"/>
    <col min="11267" max="11267" width="6.44140625" style="655" customWidth="1"/>
    <col min="11268" max="11268" width="9.6640625" style="655" customWidth="1"/>
    <col min="11269" max="11269" width="9.88671875" style="655" customWidth="1"/>
    <col min="11270" max="11279" width="0" style="655" hidden="1" customWidth="1"/>
    <col min="11280" max="11519" width="9.109375" style="655"/>
    <col min="11520" max="11520" width="11" style="655" customWidth="1"/>
    <col min="11521" max="11521" width="47.44140625" style="655" customWidth="1"/>
    <col min="11522" max="11522" width="9.44140625" style="655" customWidth="1"/>
    <col min="11523" max="11523" width="6.44140625" style="655" customWidth="1"/>
    <col min="11524" max="11524" width="9.6640625" style="655" customWidth="1"/>
    <col min="11525" max="11525" width="9.88671875" style="655" customWidth="1"/>
    <col min="11526" max="11535" width="0" style="655" hidden="1" customWidth="1"/>
    <col min="11536" max="11775" width="9.109375" style="655"/>
    <col min="11776" max="11776" width="11" style="655" customWidth="1"/>
    <col min="11777" max="11777" width="47.44140625" style="655" customWidth="1"/>
    <col min="11778" max="11778" width="9.44140625" style="655" customWidth="1"/>
    <col min="11779" max="11779" width="6.44140625" style="655" customWidth="1"/>
    <col min="11780" max="11780" width="9.6640625" style="655" customWidth="1"/>
    <col min="11781" max="11781" width="9.88671875" style="655" customWidth="1"/>
    <col min="11782" max="11791" width="0" style="655" hidden="1" customWidth="1"/>
    <col min="11792" max="12031" width="9.109375" style="655"/>
    <col min="12032" max="12032" width="11" style="655" customWidth="1"/>
    <col min="12033" max="12033" width="47.44140625" style="655" customWidth="1"/>
    <col min="12034" max="12034" width="9.44140625" style="655" customWidth="1"/>
    <col min="12035" max="12035" width="6.44140625" style="655" customWidth="1"/>
    <col min="12036" max="12036" width="9.6640625" style="655" customWidth="1"/>
    <col min="12037" max="12037" width="9.88671875" style="655" customWidth="1"/>
    <col min="12038" max="12047" width="0" style="655" hidden="1" customWidth="1"/>
    <col min="12048" max="12287" width="9.109375" style="655"/>
    <col min="12288" max="12288" width="11" style="655" customWidth="1"/>
    <col min="12289" max="12289" width="47.44140625" style="655" customWidth="1"/>
    <col min="12290" max="12290" width="9.44140625" style="655" customWidth="1"/>
    <col min="12291" max="12291" width="6.44140625" style="655" customWidth="1"/>
    <col min="12292" max="12292" width="9.6640625" style="655" customWidth="1"/>
    <col min="12293" max="12293" width="9.88671875" style="655" customWidth="1"/>
    <col min="12294" max="12303" width="0" style="655" hidden="1" customWidth="1"/>
    <col min="12304" max="12543" width="9.109375" style="655"/>
    <col min="12544" max="12544" width="11" style="655" customWidth="1"/>
    <col min="12545" max="12545" width="47.44140625" style="655" customWidth="1"/>
    <col min="12546" max="12546" width="9.44140625" style="655" customWidth="1"/>
    <col min="12547" max="12547" width="6.44140625" style="655" customWidth="1"/>
    <col min="12548" max="12548" width="9.6640625" style="655" customWidth="1"/>
    <col min="12549" max="12549" width="9.88671875" style="655" customWidth="1"/>
    <col min="12550" max="12559" width="0" style="655" hidden="1" customWidth="1"/>
    <col min="12560" max="12799" width="9.109375" style="655"/>
    <col min="12800" max="12800" width="11" style="655" customWidth="1"/>
    <col min="12801" max="12801" width="47.44140625" style="655" customWidth="1"/>
    <col min="12802" max="12802" width="9.44140625" style="655" customWidth="1"/>
    <col min="12803" max="12803" width="6.44140625" style="655" customWidth="1"/>
    <col min="12804" max="12804" width="9.6640625" style="655" customWidth="1"/>
    <col min="12805" max="12805" width="9.88671875" style="655" customWidth="1"/>
    <col min="12806" max="12815" width="0" style="655" hidden="1" customWidth="1"/>
    <col min="12816" max="13055" width="9.109375" style="655"/>
    <col min="13056" max="13056" width="11" style="655" customWidth="1"/>
    <col min="13057" max="13057" width="47.44140625" style="655" customWidth="1"/>
    <col min="13058" max="13058" width="9.44140625" style="655" customWidth="1"/>
    <col min="13059" max="13059" width="6.44140625" style="655" customWidth="1"/>
    <col min="13060" max="13060" width="9.6640625" style="655" customWidth="1"/>
    <col min="13061" max="13061" width="9.88671875" style="655" customWidth="1"/>
    <col min="13062" max="13071" width="0" style="655" hidden="1" customWidth="1"/>
    <col min="13072" max="13311" width="9.109375" style="655"/>
    <col min="13312" max="13312" width="11" style="655" customWidth="1"/>
    <col min="13313" max="13313" width="47.44140625" style="655" customWidth="1"/>
    <col min="13314" max="13314" width="9.44140625" style="655" customWidth="1"/>
    <col min="13315" max="13315" width="6.44140625" style="655" customWidth="1"/>
    <col min="13316" max="13316" width="9.6640625" style="655" customWidth="1"/>
    <col min="13317" max="13317" width="9.88671875" style="655" customWidth="1"/>
    <col min="13318" max="13327" width="0" style="655" hidden="1" customWidth="1"/>
    <col min="13328" max="13567" width="9.109375" style="655"/>
    <col min="13568" max="13568" width="11" style="655" customWidth="1"/>
    <col min="13569" max="13569" width="47.44140625" style="655" customWidth="1"/>
    <col min="13570" max="13570" width="9.44140625" style="655" customWidth="1"/>
    <col min="13571" max="13571" width="6.44140625" style="655" customWidth="1"/>
    <col min="13572" max="13572" width="9.6640625" style="655" customWidth="1"/>
    <col min="13573" max="13573" width="9.88671875" style="655" customWidth="1"/>
    <col min="13574" max="13583" width="0" style="655" hidden="1" customWidth="1"/>
    <col min="13584" max="13823" width="9.109375" style="655"/>
    <col min="13824" max="13824" width="11" style="655" customWidth="1"/>
    <col min="13825" max="13825" width="47.44140625" style="655" customWidth="1"/>
    <col min="13826" max="13826" width="9.44140625" style="655" customWidth="1"/>
    <col min="13827" max="13827" width="6.44140625" style="655" customWidth="1"/>
    <col min="13828" max="13828" width="9.6640625" style="655" customWidth="1"/>
    <col min="13829" max="13829" width="9.88671875" style="655" customWidth="1"/>
    <col min="13830" max="13839" width="0" style="655" hidden="1" customWidth="1"/>
    <col min="13840" max="14079" width="9.109375" style="655"/>
    <col min="14080" max="14080" width="11" style="655" customWidth="1"/>
    <col min="14081" max="14081" width="47.44140625" style="655" customWidth="1"/>
    <col min="14082" max="14082" width="9.44140625" style="655" customWidth="1"/>
    <col min="14083" max="14083" width="6.44140625" style="655" customWidth="1"/>
    <col min="14084" max="14084" width="9.6640625" style="655" customWidth="1"/>
    <col min="14085" max="14085" width="9.88671875" style="655" customWidth="1"/>
    <col min="14086" max="14095" width="0" style="655" hidden="1" customWidth="1"/>
    <col min="14096" max="14335" width="9.109375" style="655"/>
    <col min="14336" max="14336" width="11" style="655" customWidth="1"/>
    <col min="14337" max="14337" width="47.44140625" style="655" customWidth="1"/>
    <col min="14338" max="14338" width="9.44140625" style="655" customWidth="1"/>
    <col min="14339" max="14339" width="6.44140625" style="655" customWidth="1"/>
    <col min="14340" max="14340" width="9.6640625" style="655" customWidth="1"/>
    <col min="14341" max="14341" width="9.88671875" style="655" customWidth="1"/>
    <col min="14342" max="14351" width="0" style="655" hidden="1" customWidth="1"/>
    <col min="14352" max="14591" width="9.109375" style="655"/>
    <col min="14592" max="14592" width="11" style="655" customWidth="1"/>
    <col min="14593" max="14593" width="47.44140625" style="655" customWidth="1"/>
    <col min="14594" max="14594" width="9.44140625" style="655" customWidth="1"/>
    <col min="14595" max="14595" width="6.44140625" style="655" customWidth="1"/>
    <col min="14596" max="14596" width="9.6640625" style="655" customWidth="1"/>
    <col min="14597" max="14597" width="9.88671875" style="655" customWidth="1"/>
    <col min="14598" max="14607" width="0" style="655" hidden="1" customWidth="1"/>
    <col min="14608" max="14847" width="9.109375" style="655"/>
    <col min="14848" max="14848" width="11" style="655" customWidth="1"/>
    <col min="14849" max="14849" width="47.44140625" style="655" customWidth="1"/>
    <col min="14850" max="14850" width="9.44140625" style="655" customWidth="1"/>
    <col min="14851" max="14851" width="6.44140625" style="655" customWidth="1"/>
    <col min="14852" max="14852" width="9.6640625" style="655" customWidth="1"/>
    <col min="14853" max="14853" width="9.88671875" style="655" customWidth="1"/>
    <col min="14854" max="14863" width="0" style="655" hidden="1" customWidth="1"/>
    <col min="14864" max="15103" width="9.109375" style="655"/>
    <col min="15104" max="15104" width="11" style="655" customWidth="1"/>
    <col min="15105" max="15105" width="47.44140625" style="655" customWidth="1"/>
    <col min="15106" max="15106" width="9.44140625" style="655" customWidth="1"/>
    <col min="15107" max="15107" width="6.44140625" style="655" customWidth="1"/>
    <col min="15108" max="15108" width="9.6640625" style="655" customWidth="1"/>
    <col min="15109" max="15109" width="9.88671875" style="655" customWidth="1"/>
    <col min="15110" max="15119" width="0" style="655" hidden="1" customWidth="1"/>
    <col min="15120" max="15359" width="9.109375" style="655"/>
    <col min="15360" max="15360" width="11" style="655" customWidth="1"/>
    <col min="15361" max="15361" width="47.44140625" style="655" customWidth="1"/>
    <col min="15362" max="15362" width="9.44140625" style="655" customWidth="1"/>
    <col min="15363" max="15363" width="6.44140625" style="655" customWidth="1"/>
    <col min="15364" max="15364" width="9.6640625" style="655" customWidth="1"/>
    <col min="15365" max="15365" width="9.88671875" style="655" customWidth="1"/>
    <col min="15366" max="15375" width="0" style="655" hidden="1" customWidth="1"/>
    <col min="15376" max="15615" width="9.109375" style="655"/>
    <col min="15616" max="15616" width="11" style="655" customWidth="1"/>
    <col min="15617" max="15617" width="47.44140625" style="655" customWidth="1"/>
    <col min="15618" max="15618" width="9.44140625" style="655" customWidth="1"/>
    <col min="15619" max="15619" width="6.44140625" style="655" customWidth="1"/>
    <col min="15620" max="15620" width="9.6640625" style="655" customWidth="1"/>
    <col min="15621" max="15621" width="9.88671875" style="655" customWidth="1"/>
    <col min="15622" max="15631" width="0" style="655" hidden="1" customWidth="1"/>
    <col min="15632" max="15871" width="9.109375" style="655"/>
    <col min="15872" max="15872" width="11" style="655" customWidth="1"/>
    <col min="15873" max="15873" width="47.44140625" style="655" customWidth="1"/>
    <col min="15874" max="15874" width="9.44140625" style="655" customWidth="1"/>
    <col min="15875" max="15875" width="6.44140625" style="655" customWidth="1"/>
    <col min="15876" max="15876" width="9.6640625" style="655" customWidth="1"/>
    <col min="15877" max="15877" width="9.88671875" style="655" customWidth="1"/>
    <col min="15878" max="15887" width="0" style="655" hidden="1" customWidth="1"/>
    <col min="15888" max="16127" width="9.109375" style="655"/>
    <col min="16128" max="16128" width="11" style="655" customWidth="1"/>
    <col min="16129" max="16129" width="47.44140625" style="655" customWidth="1"/>
    <col min="16130" max="16130" width="9.44140625" style="655" customWidth="1"/>
    <col min="16131" max="16131" width="6.44140625" style="655" customWidth="1"/>
    <col min="16132" max="16132" width="9.6640625" style="655" customWidth="1"/>
    <col min="16133" max="16133" width="9.88671875" style="655" customWidth="1"/>
    <col min="16134" max="16143" width="0" style="655" hidden="1" customWidth="1"/>
    <col min="16144" max="16383" width="9.109375" style="655"/>
    <col min="16384" max="16384" width="9.109375" style="655" customWidth="1"/>
  </cols>
  <sheetData>
    <row r="1" spans="1:19" ht="16.5" customHeight="1">
      <c r="A1" s="652" t="s">
        <v>211</v>
      </c>
      <c r="B1" s="653" t="s">
        <v>212</v>
      </c>
      <c r="C1" s="653" t="s">
        <v>213</v>
      </c>
      <c r="D1" s="653" t="s">
        <v>214</v>
      </c>
      <c r="E1" s="654" t="s">
        <v>215</v>
      </c>
      <c r="F1" s="654" t="s">
        <v>164</v>
      </c>
      <c r="R1" s="654" t="s">
        <v>537</v>
      </c>
    </row>
    <row r="2" spans="1:19" s="657" customFormat="1">
      <c r="A2" s="543" t="s">
        <v>220</v>
      </c>
      <c r="B2" s="614"/>
      <c r="C2" s="333"/>
      <c r="D2" s="333"/>
      <c r="E2" s="656" t="s">
        <v>262</v>
      </c>
      <c r="F2" s="656" t="s">
        <v>262</v>
      </c>
      <c r="R2" s="931" t="s">
        <v>538</v>
      </c>
    </row>
    <row r="3" spans="1:19" s="657" customFormat="1" ht="23.25" customHeight="1">
      <c r="A3" s="651" t="str">
        <f>TRIM(MID(Elec_Est!D15,6,30))</f>
        <v/>
      </c>
      <c r="B3" s="929" t="str">
        <f>Elec_Est!D16</f>
        <v>Supply and Installation of the following:</v>
      </c>
      <c r="C3" s="660"/>
      <c r="D3" s="660"/>
      <c r="E3" s="661"/>
      <c r="F3" s="661"/>
      <c r="R3" s="661"/>
      <c r="S3" s="662"/>
    </row>
    <row r="4" spans="1:19" s="662" customFormat="1">
      <c r="A4" s="658"/>
      <c r="B4" s="659"/>
      <c r="C4" s="660"/>
      <c r="D4" s="660"/>
      <c r="E4" s="661"/>
      <c r="F4" s="661"/>
      <c r="R4" s="661"/>
    </row>
    <row r="5" spans="1:19" s="662" customFormat="1">
      <c r="A5" s="658" t="str">
        <f>TRIM(MID(Elec_Est!D19,6,30))</f>
        <v>14</v>
      </c>
      <c r="B5" s="930" t="str">
        <f>Elec_Est!D20</f>
        <v>230V / 0-10V - Actuator - 2NM for VAV box 350mm x 350mm</v>
      </c>
      <c r="C5" s="665">
        <f>Elec_Est!A19</f>
        <v>1</v>
      </c>
      <c r="D5" s="660" t="str">
        <f>Elec_Est!B19</f>
        <v>No</v>
      </c>
      <c r="E5" s="661">
        <v>170</v>
      </c>
      <c r="F5" s="661">
        <f>C5*E5</f>
        <v>170</v>
      </c>
      <c r="R5" s="661">
        <v>2.5</v>
      </c>
    </row>
    <row r="6" spans="1:19" s="662" customFormat="1">
      <c r="A6" s="658"/>
      <c r="B6" s="659"/>
      <c r="C6" s="660"/>
      <c r="D6" s="660"/>
      <c r="E6" s="661"/>
      <c r="F6" s="661"/>
      <c r="R6" s="661"/>
    </row>
    <row r="7" spans="1:19" s="662" customFormat="1">
      <c r="A7" s="658" t="str">
        <f>TRIM(MID(Elec_Est!D29,6,30))</f>
        <v>21</v>
      </c>
      <c r="B7" s="930" t="str">
        <f>Elec_Est!D30</f>
        <v>230V / 0-10V - Actuator - 2NM for VAV box 350mm x 350mm</v>
      </c>
      <c r="C7" s="665">
        <f>Elec_Est!A29</f>
        <v>1</v>
      </c>
      <c r="D7" s="665" t="str">
        <f>Elec_Est!B29</f>
        <v>No</v>
      </c>
      <c r="E7" s="661">
        <v>170</v>
      </c>
      <c r="F7" s="661">
        <f>C7*E7</f>
        <v>170</v>
      </c>
      <c r="R7" s="661">
        <v>2.5</v>
      </c>
    </row>
    <row r="8" spans="1:19" s="662" customFormat="1">
      <c r="A8" s="658"/>
      <c r="B8" s="659"/>
      <c r="C8" s="660"/>
      <c r="D8" s="660"/>
      <c r="E8" s="661"/>
      <c r="F8" s="661"/>
      <c r="R8" s="661"/>
    </row>
    <row r="9" spans="1:19" s="662" customFormat="1">
      <c r="A9" s="658" t="str">
        <f>TRIM(MID(Elec_Est!D39,6,30))</f>
        <v>27</v>
      </c>
      <c r="B9" s="930" t="str">
        <f>Elec_Est!D40</f>
        <v>230V / 0-10V - Actuator - 2NM for VAV box 400mm x 200mm</v>
      </c>
      <c r="C9" s="665">
        <f>Elec_Est!A39</f>
        <v>1</v>
      </c>
      <c r="D9" s="665" t="str">
        <f>Elec_Est!B39</f>
        <v>No</v>
      </c>
      <c r="E9" s="661">
        <v>170</v>
      </c>
      <c r="F9" s="661">
        <f>C9*E9</f>
        <v>170</v>
      </c>
      <c r="R9" s="661">
        <v>2.5</v>
      </c>
    </row>
    <row r="10" spans="1:19" s="662" customFormat="1">
      <c r="A10" s="658"/>
      <c r="B10" s="659"/>
      <c r="C10" s="660"/>
      <c r="D10" s="660"/>
      <c r="E10" s="661"/>
      <c r="F10" s="661"/>
      <c r="R10" s="661"/>
    </row>
    <row r="11" spans="1:19" s="666" customFormat="1">
      <c r="A11" s="658" t="str">
        <f>TRIM(MID(Elec_Est!D49,6,30))</f>
        <v>34</v>
      </c>
      <c r="B11" s="930" t="str">
        <f>Elec_Est!D50</f>
        <v>230V / 0-10V - Actuator - 2NM for VAV box 400mm x 200mm</v>
      </c>
      <c r="C11" s="665">
        <f>Elec_Est!A49</f>
        <v>1</v>
      </c>
      <c r="D11" s="665" t="str">
        <f>Elec_Est!B49</f>
        <v>No</v>
      </c>
      <c r="E11" s="661">
        <v>170</v>
      </c>
      <c r="F11" s="661">
        <f>C11*E11</f>
        <v>170</v>
      </c>
      <c r="R11" s="661">
        <v>2.5</v>
      </c>
    </row>
    <row r="12" spans="1:19" s="662" customFormat="1">
      <c r="A12" s="658"/>
      <c r="B12" s="659"/>
      <c r="C12" s="660"/>
      <c r="D12" s="660"/>
      <c r="E12" s="661"/>
      <c r="F12" s="661"/>
      <c r="R12" s="661"/>
    </row>
    <row r="13" spans="1:19" s="662" customFormat="1">
      <c r="A13" s="658"/>
      <c r="B13" s="664"/>
      <c r="C13" s="665"/>
      <c r="D13" s="665"/>
      <c r="E13" s="661"/>
      <c r="F13" s="661"/>
      <c r="R13" s="661"/>
    </row>
    <row r="14" spans="1:19" s="662" customFormat="1">
      <c r="A14" s="658"/>
      <c r="B14" s="659"/>
      <c r="C14" s="660"/>
      <c r="D14" s="660"/>
      <c r="E14" s="661"/>
      <c r="F14" s="661"/>
      <c r="R14" s="661"/>
    </row>
    <row r="15" spans="1:19" s="666" customFormat="1">
      <c r="A15" s="658"/>
      <c r="B15" s="664"/>
      <c r="C15" s="665"/>
      <c r="D15" s="665"/>
      <c r="E15" s="661"/>
      <c r="F15" s="661"/>
      <c r="R15" s="661"/>
    </row>
    <row r="16" spans="1:19" s="666" customFormat="1">
      <c r="A16" s="658"/>
      <c r="B16" s="659"/>
      <c r="C16" s="660"/>
      <c r="D16" s="660"/>
      <c r="E16" s="661"/>
      <c r="F16" s="661"/>
      <c r="R16" s="661"/>
    </row>
    <row r="17" spans="1:18" s="666" customFormat="1">
      <c r="A17" s="658"/>
      <c r="B17" s="664"/>
      <c r="C17" s="665"/>
      <c r="D17" s="665"/>
      <c r="E17" s="661"/>
      <c r="F17" s="661"/>
      <c r="R17" s="661"/>
    </row>
    <row r="18" spans="1:18" s="666" customFormat="1">
      <c r="A18" s="658"/>
      <c r="B18" s="659"/>
      <c r="C18" s="660"/>
      <c r="D18" s="660"/>
      <c r="E18" s="661"/>
      <c r="F18" s="661"/>
      <c r="R18" s="661"/>
    </row>
    <row r="19" spans="1:18" s="666" customFormat="1">
      <c r="A19" s="658"/>
      <c r="B19" s="664"/>
      <c r="C19" s="665"/>
      <c r="D19" s="665"/>
      <c r="E19" s="661"/>
      <c r="F19" s="661"/>
      <c r="R19" s="661"/>
    </row>
    <row r="20" spans="1:18" s="666" customFormat="1">
      <c r="A20" s="658"/>
      <c r="B20" s="659"/>
      <c r="C20" s="660"/>
      <c r="D20" s="660"/>
      <c r="E20" s="661"/>
      <c r="F20" s="661"/>
      <c r="R20" s="661"/>
    </row>
    <row r="21" spans="1:18" s="666" customFormat="1">
      <c r="A21" s="658"/>
      <c r="B21" s="664"/>
      <c r="C21" s="665"/>
      <c r="D21" s="665"/>
      <c r="E21" s="661"/>
      <c r="F21" s="661"/>
      <c r="R21" s="661"/>
    </row>
    <row r="22" spans="1:18" s="666" customFormat="1">
      <c r="A22" s="658"/>
      <c r="B22" s="659"/>
      <c r="C22" s="660"/>
      <c r="D22" s="660"/>
      <c r="E22" s="661"/>
      <c r="F22" s="661"/>
      <c r="R22" s="661"/>
    </row>
    <row r="23" spans="1:18" s="666" customFormat="1">
      <c r="A23" s="658"/>
      <c r="B23" s="664"/>
      <c r="C23" s="665"/>
      <c r="D23" s="665"/>
      <c r="E23" s="661"/>
      <c r="F23" s="661"/>
      <c r="R23" s="661"/>
    </row>
    <row r="24" spans="1:18" s="666" customFormat="1">
      <c r="A24" s="658"/>
      <c r="B24" s="659"/>
      <c r="C24" s="660"/>
      <c r="D24" s="660"/>
      <c r="E24" s="661"/>
      <c r="F24" s="661"/>
      <c r="R24" s="661"/>
    </row>
    <row r="25" spans="1:18" s="666" customFormat="1">
      <c r="A25" s="658"/>
      <c r="B25" s="664"/>
      <c r="C25" s="665"/>
      <c r="D25" s="665"/>
      <c r="E25" s="661"/>
      <c r="F25" s="661"/>
      <c r="R25" s="661"/>
    </row>
    <row r="26" spans="1:18" s="666" customFormat="1">
      <c r="A26" s="658"/>
      <c r="B26" s="659"/>
      <c r="C26" s="660"/>
      <c r="D26" s="660"/>
      <c r="E26" s="661"/>
      <c r="F26" s="661"/>
      <c r="R26" s="661"/>
    </row>
    <row r="27" spans="1:18" s="666" customFormat="1">
      <c r="A27" s="658"/>
      <c r="B27" s="664"/>
      <c r="C27" s="665"/>
      <c r="D27" s="665"/>
      <c r="E27" s="661"/>
      <c r="F27" s="661"/>
      <c r="R27" s="661"/>
    </row>
    <row r="28" spans="1:18" s="666" customFormat="1">
      <c r="A28" s="658"/>
      <c r="B28" s="659"/>
      <c r="C28" s="660"/>
      <c r="D28" s="660"/>
      <c r="E28" s="661"/>
      <c r="F28" s="661"/>
      <c r="R28" s="661"/>
    </row>
    <row r="29" spans="1:18" s="666" customFormat="1">
      <c r="A29" s="658"/>
      <c r="B29" s="664"/>
      <c r="C29" s="665"/>
      <c r="D29" s="665"/>
      <c r="E29" s="661"/>
      <c r="F29" s="661"/>
      <c r="R29" s="661"/>
    </row>
    <row r="30" spans="1:18" s="666" customFormat="1">
      <c r="A30" s="658"/>
      <c r="B30" s="659"/>
      <c r="C30" s="660"/>
      <c r="D30" s="660"/>
      <c r="E30" s="661"/>
      <c r="F30" s="661"/>
      <c r="R30" s="661"/>
    </row>
    <row r="31" spans="1:18" s="666" customFormat="1">
      <c r="A31" s="658"/>
      <c r="B31" s="664"/>
      <c r="C31" s="665"/>
      <c r="D31" s="665"/>
      <c r="E31" s="661"/>
      <c r="F31" s="661"/>
      <c r="R31" s="661"/>
    </row>
    <row r="32" spans="1:18" s="666" customFormat="1">
      <c r="A32" s="658"/>
      <c r="B32" s="659"/>
      <c r="C32" s="660"/>
      <c r="D32" s="660"/>
      <c r="E32" s="661"/>
      <c r="F32" s="661"/>
      <c r="R32" s="661"/>
    </row>
    <row r="33" spans="1:18" s="666" customFormat="1">
      <c r="A33" s="658"/>
      <c r="B33" s="664"/>
      <c r="C33" s="665"/>
      <c r="D33" s="665"/>
      <c r="E33" s="661"/>
      <c r="F33" s="661"/>
      <c r="R33" s="661"/>
    </row>
    <row r="34" spans="1:18" s="666" customFormat="1">
      <c r="A34" s="658"/>
      <c r="B34" s="664"/>
      <c r="C34" s="665"/>
      <c r="D34" s="665"/>
      <c r="E34" s="661"/>
      <c r="F34" s="661"/>
      <c r="R34" s="661"/>
    </row>
    <row r="35" spans="1:18" s="666" customFormat="1">
      <c r="A35" s="658"/>
      <c r="B35" s="664"/>
      <c r="C35" s="665"/>
      <c r="D35" s="665"/>
      <c r="E35" s="661"/>
      <c r="F35" s="661"/>
      <c r="R35" s="661"/>
    </row>
    <row r="36" spans="1:18" s="666" customFormat="1">
      <c r="A36" s="658"/>
      <c r="B36" s="664"/>
      <c r="C36" s="665"/>
      <c r="D36" s="665"/>
      <c r="E36" s="661"/>
      <c r="F36" s="661"/>
      <c r="R36" s="661"/>
    </row>
    <row r="37" spans="1:18" s="666" customFormat="1">
      <c r="A37" s="658"/>
      <c r="B37" s="664"/>
      <c r="C37" s="665"/>
      <c r="D37" s="665"/>
      <c r="E37" s="661"/>
      <c r="F37" s="661"/>
      <c r="R37" s="661"/>
    </row>
    <row r="38" spans="1:18" s="666" customFormat="1">
      <c r="A38" s="658"/>
      <c r="B38" s="664"/>
      <c r="C38" s="665"/>
      <c r="D38" s="665"/>
      <c r="E38" s="661"/>
      <c r="F38" s="661"/>
      <c r="R38" s="661"/>
    </row>
    <row r="39" spans="1:18" s="666" customFormat="1">
      <c r="A39" s="658"/>
      <c r="B39" s="664"/>
      <c r="C39" s="665"/>
      <c r="D39" s="665"/>
      <c r="E39" s="661"/>
      <c r="F39" s="661"/>
      <c r="R39" s="661"/>
    </row>
    <row r="40" spans="1:18" s="666" customFormat="1">
      <c r="A40" s="658"/>
      <c r="B40" s="664"/>
      <c r="C40" s="665"/>
      <c r="D40" s="665"/>
      <c r="E40" s="661"/>
      <c r="F40" s="661"/>
      <c r="R40" s="661"/>
    </row>
    <row r="41" spans="1:18" s="666" customFormat="1">
      <c r="A41" s="658"/>
      <c r="B41" s="664"/>
      <c r="C41" s="665"/>
      <c r="D41" s="665"/>
      <c r="E41" s="661"/>
      <c r="F41" s="661"/>
      <c r="R41" s="661"/>
    </row>
    <row r="42" spans="1:18" s="666" customFormat="1">
      <c r="A42" s="658"/>
      <c r="B42" s="664"/>
      <c r="C42" s="665"/>
      <c r="D42" s="665"/>
      <c r="E42" s="661"/>
      <c r="F42" s="661"/>
      <c r="R42" s="661"/>
    </row>
    <row r="43" spans="1:18" s="666" customFormat="1">
      <c r="A43" s="658"/>
      <c r="B43" s="664"/>
      <c r="C43" s="665"/>
      <c r="D43" s="665"/>
      <c r="E43" s="661"/>
      <c r="F43" s="661"/>
      <c r="R43" s="661"/>
    </row>
    <row r="44" spans="1:18" s="666" customFormat="1">
      <c r="A44" s="658"/>
      <c r="B44" s="664"/>
      <c r="C44" s="665"/>
      <c r="D44" s="665"/>
      <c r="E44" s="661"/>
      <c r="F44" s="661"/>
      <c r="R44" s="661"/>
    </row>
    <row r="45" spans="1:18" s="666" customFormat="1">
      <c r="A45" s="658"/>
      <c r="B45" s="659"/>
      <c r="C45" s="660"/>
      <c r="D45" s="660"/>
      <c r="E45" s="661"/>
      <c r="F45" s="661"/>
      <c r="R45" s="661"/>
    </row>
    <row r="46" spans="1:18" s="666" customFormat="1">
      <c r="A46" s="658"/>
      <c r="B46" s="659"/>
      <c r="C46" s="660"/>
      <c r="D46" s="660"/>
      <c r="E46" s="661"/>
      <c r="F46" s="661"/>
      <c r="R46" s="661"/>
    </row>
    <row r="47" spans="1:18" s="666" customFormat="1">
      <c r="A47" s="658"/>
      <c r="B47" s="664"/>
      <c r="C47" s="665"/>
      <c r="D47" s="665"/>
      <c r="E47" s="661"/>
      <c r="F47" s="661"/>
      <c r="R47" s="661"/>
    </row>
    <row r="48" spans="1:18" s="666" customFormat="1">
      <c r="A48" s="658"/>
      <c r="B48" s="659"/>
      <c r="C48" s="660"/>
      <c r="D48" s="660"/>
      <c r="E48" s="661"/>
      <c r="F48" s="661"/>
      <c r="R48" s="661"/>
    </row>
    <row r="49" spans="1:19" s="666" customFormat="1">
      <c r="A49" s="658"/>
      <c r="B49" s="664"/>
      <c r="C49" s="665"/>
      <c r="D49" s="665"/>
      <c r="E49" s="661"/>
      <c r="F49" s="661"/>
      <c r="R49" s="661"/>
    </row>
    <row r="50" spans="1:19" s="666" customFormat="1">
      <c r="A50" s="658"/>
      <c r="B50" s="659"/>
      <c r="C50" s="660"/>
      <c r="D50" s="660"/>
      <c r="E50" s="661"/>
      <c r="F50" s="661"/>
      <c r="R50" s="661"/>
    </row>
    <row r="51" spans="1:19" s="666" customFormat="1">
      <c r="A51" s="658"/>
      <c r="B51" s="659"/>
      <c r="C51" s="660"/>
      <c r="D51" s="660"/>
      <c r="E51" s="661"/>
      <c r="F51" s="661"/>
      <c r="R51" s="661"/>
      <c r="S51" s="655"/>
    </row>
    <row r="52" spans="1:19" s="666" customFormat="1">
      <c r="A52" s="658"/>
      <c r="B52" s="667" t="s">
        <v>304</v>
      </c>
      <c r="C52" s="660"/>
      <c r="D52" s="660"/>
      <c r="E52" s="661"/>
      <c r="F52" s="661"/>
      <c r="R52" s="661"/>
      <c r="S52" s="655"/>
    </row>
    <row r="53" spans="1:19" s="666" customFormat="1">
      <c r="A53" s="658"/>
      <c r="B53" s="668"/>
      <c r="C53" s="660"/>
      <c r="D53" s="660"/>
      <c r="E53" s="661"/>
      <c r="F53" s="661"/>
      <c r="R53" s="661"/>
      <c r="S53" s="655"/>
    </row>
    <row r="54" spans="1:19" s="666" customFormat="1">
      <c r="A54" s="658"/>
      <c r="B54" s="667" t="s">
        <v>305</v>
      </c>
      <c r="C54" s="660"/>
      <c r="D54" s="660"/>
      <c r="E54" s="661"/>
      <c r="F54" s="661"/>
      <c r="R54" s="661"/>
      <c r="S54" s="655"/>
    </row>
    <row r="55" spans="1:19">
      <c r="A55" s="669"/>
      <c r="B55" s="334"/>
      <c r="C55" s="670"/>
      <c r="D55" s="670"/>
      <c r="E55" s="671"/>
      <c r="F55" s="671"/>
      <c r="R55" s="671"/>
    </row>
    <row r="56" spans="1:19">
      <c r="A56" s="672" t="s">
        <v>154</v>
      </c>
      <c r="B56" s="650" t="s">
        <v>306</v>
      </c>
      <c r="C56" s="673"/>
      <c r="D56" s="674" t="str">
        <f>ML_Sum!D6</f>
        <v>VAT EXCL.</v>
      </c>
      <c r="E56" s="345" t="s">
        <v>262</v>
      </c>
      <c r="F56" s="675">
        <f>SUM(F3:F55)</f>
        <v>680</v>
      </c>
      <c r="G56" s="676">
        <f t="shared" ref="G56:P56" si="0">SUM(G3:G55)</f>
        <v>0</v>
      </c>
      <c r="H56" s="676">
        <f t="shared" si="0"/>
        <v>0</v>
      </c>
      <c r="I56" s="676">
        <f t="shared" si="0"/>
        <v>0</v>
      </c>
      <c r="J56" s="676">
        <f t="shared" si="0"/>
        <v>0</v>
      </c>
      <c r="K56" s="676">
        <f t="shared" si="0"/>
        <v>0</v>
      </c>
      <c r="L56" s="676">
        <f t="shared" si="0"/>
        <v>0</v>
      </c>
      <c r="M56" s="676">
        <f t="shared" si="0"/>
        <v>0</v>
      </c>
      <c r="N56" s="676">
        <f t="shared" si="0"/>
        <v>0</v>
      </c>
      <c r="O56" s="676">
        <f t="shared" si="0"/>
        <v>0</v>
      </c>
      <c r="P56" s="676">
        <f t="shared" si="0"/>
        <v>0</v>
      </c>
      <c r="R56" s="345" t="s">
        <v>262</v>
      </c>
    </row>
    <row r="57" spans="1:19" ht="16.5" customHeight="1">
      <c r="A57" s="652" t="s">
        <v>211</v>
      </c>
      <c r="B57" s="653" t="s">
        <v>212</v>
      </c>
      <c r="C57" s="653" t="s">
        <v>213</v>
      </c>
      <c r="D57" s="653" t="s">
        <v>214</v>
      </c>
      <c r="E57" s="654" t="s">
        <v>215</v>
      </c>
      <c r="F57" s="654" t="s">
        <v>164</v>
      </c>
      <c r="R57" s="654" t="s">
        <v>215</v>
      </c>
    </row>
    <row r="58" spans="1:19" s="657" customFormat="1">
      <c r="A58" s="332"/>
      <c r="B58" s="614"/>
      <c r="C58" s="333"/>
      <c r="D58" s="333"/>
      <c r="E58" s="656" t="s">
        <v>262</v>
      </c>
      <c r="F58" s="656" t="s">
        <v>262</v>
      </c>
      <c r="R58" s="656" t="s">
        <v>262</v>
      </c>
    </row>
    <row r="59" spans="1:19" s="657" customFormat="1">
      <c r="A59" s="658"/>
      <c r="B59" s="659"/>
      <c r="C59" s="660"/>
      <c r="D59" s="660"/>
      <c r="E59" s="661"/>
      <c r="F59" s="661"/>
      <c r="R59" s="661"/>
      <c r="S59" s="662"/>
    </row>
    <row r="60" spans="1:19" s="662" customFormat="1">
      <c r="A60" s="658"/>
      <c r="B60" s="659"/>
      <c r="C60" s="660"/>
      <c r="D60" s="660"/>
      <c r="E60" s="661"/>
      <c r="F60" s="661"/>
      <c r="R60" s="661"/>
    </row>
    <row r="61" spans="1:19" s="662" customFormat="1">
      <c r="A61" s="658"/>
      <c r="B61" s="663"/>
      <c r="C61" s="660"/>
      <c r="D61" s="660"/>
      <c r="E61" s="661"/>
      <c r="F61" s="661"/>
      <c r="R61" s="661"/>
    </row>
    <row r="62" spans="1:19" s="662" customFormat="1">
      <c r="A62" s="658"/>
      <c r="B62" s="659"/>
      <c r="C62" s="660"/>
      <c r="D62" s="660"/>
      <c r="E62" s="661"/>
      <c r="F62" s="661"/>
      <c r="R62" s="661"/>
    </row>
    <row r="63" spans="1:19" s="662" customFormat="1">
      <c r="A63" s="658"/>
      <c r="B63" s="664"/>
      <c r="C63" s="665"/>
      <c r="D63" s="665"/>
      <c r="E63" s="661"/>
      <c r="F63" s="661"/>
      <c r="R63" s="661"/>
    </row>
    <row r="64" spans="1:19" s="662" customFormat="1">
      <c r="A64" s="658"/>
      <c r="B64" s="659"/>
      <c r="C64" s="660"/>
      <c r="D64" s="660"/>
      <c r="E64" s="661"/>
      <c r="F64" s="661"/>
      <c r="R64" s="661"/>
    </row>
    <row r="65" spans="1:18" s="662" customFormat="1">
      <c r="A65" s="658"/>
      <c r="B65" s="664"/>
      <c r="C65" s="665"/>
      <c r="D65" s="665"/>
      <c r="E65" s="661"/>
      <c r="F65" s="661"/>
      <c r="R65" s="661"/>
    </row>
    <row r="66" spans="1:18" s="662" customFormat="1">
      <c r="A66" s="658"/>
      <c r="B66" s="659"/>
      <c r="C66" s="660"/>
      <c r="D66" s="660"/>
      <c r="E66" s="661"/>
      <c r="F66" s="661"/>
      <c r="R66" s="661"/>
    </row>
    <row r="67" spans="1:18" s="666" customFormat="1">
      <c r="A67" s="658"/>
      <c r="B67" s="664"/>
      <c r="C67" s="665"/>
      <c r="D67" s="665"/>
      <c r="E67" s="661"/>
      <c r="F67" s="661"/>
      <c r="R67" s="661"/>
    </row>
    <row r="68" spans="1:18" s="662" customFormat="1">
      <c r="A68" s="658"/>
      <c r="B68" s="659"/>
      <c r="C68" s="660"/>
      <c r="D68" s="660"/>
      <c r="E68" s="661"/>
      <c r="F68" s="661"/>
      <c r="R68" s="661"/>
    </row>
    <row r="69" spans="1:18" s="662" customFormat="1">
      <c r="A69" s="658"/>
      <c r="B69" s="664"/>
      <c r="C69" s="665"/>
      <c r="D69" s="665"/>
      <c r="E69" s="661"/>
      <c r="F69" s="661"/>
      <c r="R69" s="661"/>
    </row>
    <row r="70" spans="1:18" s="662" customFormat="1">
      <c r="A70" s="658"/>
      <c r="B70" s="659"/>
      <c r="C70" s="660"/>
      <c r="D70" s="660"/>
      <c r="E70" s="661"/>
      <c r="F70" s="661"/>
      <c r="R70" s="661"/>
    </row>
    <row r="71" spans="1:18" s="666" customFormat="1">
      <c r="A71" s="658"/>
      <c r="B71" s="664"/>
      <c r="C71" s="665"/>
      <c r="D71" s="665"/>
      <c r="E71" s="661"/>
      <c r="F71" s="661"/>
      <c r="R71" s="661"/>
    </row>
    <row r="72" spans="1:18" s="666" customFormat="1">
      <c r="A72" s="658"/>
      <c r="B72" s="659"/>
      <c r="C72" s="660"/>
      <c r="D72" s="660"/>
      <c r="E72" s="661"/>
      <c r="F72" s="661"/>
      <c r="R72" s="661"/>
    </row>
    <row r="73" spans="1:18" s="666" customFormat="1">
      <c r="A73" s="658"/>
      <c r="B73" s="664"/>
      <c r="C73" s="665"/>
      <c r="D73" s="665"/>
      <c r="E73" s="661"/>
      <c r="F73" s="661"/>
      <c r="R73" s="661"/>
    </row>
    <row r="74" spans="1:18" s="666" customFormat="1">
      <c r="A74" s="658"/>
      <c r="B74" s="659"/>
      <c r="C74" s="660"/>
      <c r="D74" s="660"/>
      <c r="E74" s="661"/>
      <c r="F74" s="661"/>
      <c r="R74" s="661"/>
    </row>
    <row r="75" spans="1:18" s="666" customFormat="1">
      <c r="A75" s="658"/>
      <c r="B75" s="664"/>
      <c r="C75" s="665"/>
      <c r="D75" s="665"/>
      <c r="E75" s="661"/>
      <c r="F75" s="661"/>
      <c r="R75" s="661"/>
    </row>
    <row r="76" spans="1:18" s="666" customFormat="1">
      <c r="A76" s="658"/>
      <c r="B76" s="659"/>
      <c r="C76" s="660"/>
      <c r="D76" s="660"/>
      <c r="E76" s="661"/>
      <c r="F76" s="661"/>
      <c r="R76" s="661"/>
    </row>
    <row r="77" spans="1:18" s="666" customFormat="1">
      <c r="A77" s="658"/>
      <c r="B77" s="664"/>
      <c r="C77" s="665"/>
      <c r="D77" s="665"/>
      <c r="E77" s="661"/>
      <c r="F77" s="661"/>
      <c r="R77" s="661"/>
    </row>
    <row r="78" spans="1:18" s="666" customFormat="1">
      <c r="A78" s="658"/>
      <c r="B78" s="659"/>
      <c r="C78" s="660"/>
      <c r="D78" s="660"/>
      <c r="E78" s="661"/>
      <c r="F78" s="661"/>
      <c r="R78" s="661"/>
    </row>
    <row r="79" spans="1:18" s="666" customFormat="1">
      <c r="A79" s="658"/>
      <c r="B79" s="664"/>
      <c r="C79" s="665"/>
      <c r="D79" s="665"/>
      <c r="E79" s="661"/>
      <c r="F79" s="661"/>
      <c r="R79" s="661"/>
    </row>
    <row r="80" spans="1:18" s="666" customFormat="1">
      <c r="A80" s="658"/>
      <c r="B80" s="659"/>
      <c r="C80" s="660"/>
      <c r="D80" s="660"/>
      <c r="E80" s="661"/>
      <c r="F80" s="661"/>
      <c r="R80" s="661"/>
    </row>
    <row r="81" spans="1:18" s="666" customFormat="1">
      <c r="A81" s="658"/>
      <c r="B81" s="664"/>
      <c r="C81" s="665"/>
      <c r="D81" s="665"/>
      <c r="E81" s="661"/>
      <c r="F81" s="661"/>
      <c r="R81" s="661"/>
    </row>
    <row r="82" spans="1:18" s="666" customFormat="1">
      <c r="A82" s="658"/>
      <c r="B82" s="659"/>
      <c r="C82" s="660"/>
      <c r="D82" s="660"/>
      <c r="E82" s="661"/>
      <c r="F82" s="661"/>
      <c r="R82" s="661"/>
    </row>
    <row r="83" spans="1:18" s="666" customFormat="1">
      <c r="A83" s="658"/>
      <c r="B83" s="664"/>
      <c r="C83" s="665"/>
      <c r="D83" s="665"/>
      <c r="E83" s="661"/>
      <c r="F83" s="661"/>
      <c r="R83" s="661"/>
    </row>
    <row r="84" spans="1:18" s="666" customFormat="1">
      <c r="A84" s="658"/>
      <c r="B84" s="659"/>
      <c r="C84" s="660"/>
      <c r="D84" s="660"/>
      <c r="E84" s="661"/>
      <c r="F84" s="661"/>
      <c r="R84" s="661"/>
    </row>
    <row r="85" spans="1:18" s="666" customFormat="1">
      <c r="A85" s="658"/>
      <c r="B85" s="664"/>
      <c r="C85" s="665"/>
      <c r="D85" s="665"/>
      <c r="E85" s="661"/>
      <c r="F85" s="661"/>
      <c r="R85" s="661"/>
    </row>
    <row r="86" spans="1:18" s="666" customFormat="1">
      <c r="A86" s="658"/>
      <c r="B86" s="664"/>
      <c r="C86" s="665"/>
      <c r="D86" s="665"/>
      <c r="E86" s="661"/>
      <c r="F86" s="661"/>
      <c r="R86" s="661"/>
    </row>
    <row r="87" spans="1:18" s="666" customFormat="1">
      <c r="A87" s="658"/>
      <c r="B87" s="664"/>
      <c r="C87" s="665"/>
      <c r="D87" s="665"/>
      <c r="E87" s="661"/>
      <c r="F87" s="661"/>
      <c r="R87" s="661"/>
    </row>
    <row r="88" spans="1:18" s="666" customFormat="1">
      <c r="A88" s="658"/>
      <c r="B88" s="664"/>
      <c r="C88" s="665"/>
      <c r="D88" s="665"/>
      <c r="E88" s="661"/>
      <c r="F88" s="661"/>
      <c r="R88" s="661"/>
    </row>
    <row r="89" spans="1:18" s="666" customFormat="1">
      <c r="A89" s="658"/>
      <c r="B89" s="664"/>
      <c r="C89" s="665"/>
      <c r="D89" s="665"/>
      <c r="E89" s="661"/>
      <c r="F89" s="661"/>
      <c r="R89" s="661"/>
    </row>
    <row r="90" spans="1:18" s="666" customFormat="1">
      <c r="A90" s="658"/>
      <c r="B90" s="664"/>
      <c r="C90" s="665"/>
      <c r="D90" s="665"/>
      <c r="E90" s="661"/>
      <c r="F90" s="661"/>
      <c r="R90" s="661"/>
    </row>
    <row r="91" spans="1:18" s="666" customFormat="1">
      <c r="A91" s="658"/>
      <c r="B91" s="664"/>
      <c r="C91" s="665"/>
      <c r="D91" s="665"/>
      <c r="E91" s="661"/>
      <c r="F91" s="661"/>
      <c r="R91" s="661"/>
    </row>
    <row r="92" spans="1:18" s="666" customFormat="1">
      <c r="A92" s="658"/>
      <c r="B92" s="664"/>
      <c r="C92" s="665"/>
      <c r="D92" s="665"/>
      <c r="E92" s="661"/>
      <c r="F92" s="661"/>
      <c r="R92" s="661"/>
    </row>
    <row r="93" spans="1:18" s="666" customFormat="1">
      <c r="A93" s="658"/>
      <c r="B93" s="664"/>
      <c r="C93" s="665"/>
      <c r="D93" s="665"/>
      <c r="E93" s="661"/>
      <c r="F93" s="661"/>
      <c r="R93" s="661"/>
    </row>
    <row r="94" spans="1:18" s="666" customFormat="1">
      <c r="A94" s="658"/>
      <c r="B94" s="664"/>
      <c r="C94" s="665"/>
      <c r="D94" s="665"/>
      <c r="E94" s="661"/>
      <c r="F94" s="661"/>
      <c r="R94" s="661"/>
    </row>
    <row r="95" spans="1:18" s="666" customFormat="1">
      <c r="A95" s="658"/>
      <c r="B95" s="664"/>
      <c r="C95" s="665"/>
      <c r="D95" s="665"/>
      <c r="E95" s="661"/>
      <c r="F95" s="661"/>
      <c r="R95" s="661"/>
    </row>
    <row r="96" spans="1:18" s="666" customFormat="1">
      <c r="A96" s="658"/>
      <c r="B96" s="659"/>
      <c r="C96" s="660"/>
      <c r="D96" s="660"/>
      <c r="E96" s="661"/>
      <c r="F96" s="661"/>
      <c r="R96" s="661"/>
    </row>
    <row r="97" spans="1:18" s="666" customFormat="1">
      <c r="A97" s="658"/>
      <c r="B97" s="664"/>
      <c r="C97" s="665"/>
      <c r="D97" s="665"/>
      <c r="E97" s="661"/>
      <c r="F97" s="661"/>
      <c r="R97" s="661"/>
    </row>
    <row r="98" spans="1:18" s="666" customFormat="1">
      <c r="A98" s="658"/>
      <c r="B98" s="664"/>
      <c r="C98" s="665"/>
      <c r="D98" s="665"/>
      <c r="E98" s="661"/>
      <c r="F98" s="661"/>
      <c r="R98" s="661"/>
    </row>
    <row r="99" spans="1:18" s="666" customFormat="1">
      <c r="A99" s="658"/>
      <c r="B99" s="664"/>
      <c r="C99" s="665"/>
      <c r="D99" s="665"/>
      <c r="E99" s="661"/>
      <c r="F99" s="661"/>
      <c r="R99" s="661"/>
    </row>
    <row r="100" spans="1:18" s="666" customFormat="1">
      <c r="A100" s="658"/>
      <c r="B100" s="659"/>
      <c r="C100" s="660"/>
      <c r="D100" s="660"/>
      <c r="E100" s="661"/>
      <c r="F100" s="661"/>
      <c r="R100" s="661"/>
    </row>
    <row r="101" spans="1:18" s="666" customFormat="1">
      <c r="A101" s="658"/>
      <c r="B101" s="664"/>
      <c r="C101" s="665"/>
      <c r="D101" s="665"/>
      <c r="E101" s="661"/>
      <c r="F101" s="661"/>
      <c r="R101" s="661"/>
    </row>
    <row r="102" spans="1:18" s="666" customFormat="1">
      <c r="A102" s="658"/>
      <c r="B102" s="659"/>
      <c r="C102" s="660"/>
      <c r="D102" s="660"/>
      <c r="E102" s="661"/>
      <c r="F102" s="661"/>
      <c r="R102" s="661"/>
    </row>
    <row r="103" spans="1:18" s="666" customFormat="1">
      <c r="A103" s="658"/>
      <c r="B103" s="664"/>
      <c r="C103" s="665"/>
      <c r="D103" s="665"/>
      <c r="E103" s="661"/>
      <c r="F103" s="661"/>
      <c r="R103" s="661"/>
    </row>
    <row r="104" spans="1:18" s="666" customFormat="1">
      <c r="A104" s="658"/>
      <c r="B104" s="659"/>
      <c r="C104" s="660"/>
      <c r="D104" s="660"/>
      <c r="E104" s="661"/>
      <c r="F104" s="661"/>
      <c r="R104" s="661"/>
    </row>
    <row r="105" spans="1:18" s="666" customFormat="1">
      <c r="A105" s="658"/>
      <c r="B105" s="664"/>
      <c r="C105" s="665"/>
      <c r="D105" s="665"/>
      <c r="E105" s="661"/>
      <c r="F105" s="661"/>
      <c r="R105" s="661"/>
    </row>
    <row r="106" spans="1:18" s="666" customFormat="1">
      <c r="A106" s="658"/>
      <c r="B106" s="659"/>
      <c r="C106" s="660"/>
      <c r="D106" s="660"/>
      <c r="E106" s="661"/>
      <c r="F106" s="661"/>
      <c r="R106" s="661"/>
    </row>
    <row r="107" spans="1:18" s="666" customFormat="1">
      <c r="A107" s="658"/>
      <c r="B107" s="659"/>
      <c r="C107" s="660"/>
      <c r="D107" s="660"/>
      <c r="E107" s="661"/>
      <c r="F107" s="661"/>
      <c r="R107" s="661"/>
    </row>
    <row r="108" spans="1:18" s="666" customFormat="1">
      <c r="A108" s="658"/>
      <c r="B108" s="659"/>
      <c r="C108" s="660"/>
      <c r="D108" s="660"/>
      <c r="E108" s="661"/>
      <c r="F108" s="661"/>
      <c r="R108" s="661"/>
    </row>
    <row r="109" spans="1:18" s="666" customFormat="1">
      <c r="A109" s="658"/>
      <c r="B109" s="659"/>
      <c r="C109" s="660"/>
      <c r="D109" s="660"/>
      <c r="E109" s="661"/>
      <c r="F109" s="661"/>
      <c r="R109" s="661"/>
    </row>
    <row r="110" spans="1:18" s="666" customFormat="1">
      <c r="A110" s="658"/>
      <c r="B110" s="659"/>
      <c r="C110" s="660"/>
      <c r="D110" s="660"/>
      <c r="E110" s="661"/>
      <c r="F110" s="661"/>
      <c r="R110" s="661"/>
    </row>
    <row r="111" spans="1:18">
      <c r="A111" s="669"/>
      <c r="B111" s="677"/>
      <c r="C111" s="670"/>
      <c r="D111" s="670"/>
      <c r="E111" s="671"/>
      <c r="F111" s="671"/>
      <c r="R111" s="671"/>
    </row>
    <row r="112" spans="1:18">
      <c r="A112" s="678" t="s">
        <v>154</v>
      </c>
      <c r="B112" s="679"/>
      <c r="E112" s="681" t="s">
        <v>261</v>
      </c>
      <c r="F112" s="675">
        <f>SUM(F59:F111)</f>
        <v>0</v>
      </c>
      <c r="R112" s="681" t="s">
        <v>261</v>
      </c>
    </row>
    <row r="113" spans="1:19" ht="16.5" customHeight="1">
      <c r="A113" s="652" t="s">
        <v>211</v>
      </c>
      <c r="B113" s="653" t="s">
        <v>212</v>
      </c>
      <c r="C113" s="653" t="s">
        <v>213</v>
      </c>
      <c r="D113" s="653" t="s">
        <v>214</v>
      </c>
      <c r="E113" s="654" t="s">
        <v>215</v>
      </c>
      <c r="F113" s="654" t="s">
        <v>164</v>
      </c>
      <c r="R113" s="654" t="s">
        <v>215</v>
      </c>
    </row>
    <row r="114" spans="1:19" s="657" customFormat="1">
      <c r="A114" s="332"/>
      <c r="B114" s="614"/>
      <c r="C114" s="333"/>
      <c r="D114" s="333"/>
      <c r="E114" s="656" t="s">
        <v>262</v>
      </c>
      <c r="F114" s="656" t="s">
        <v>262</v>
      </c>
      <c r="R114" s="656" t="s">
        <v>262</v>
      </c>
    </row>
    <row r="115" spans="1:19" s="657" customFormat="1">
      <c r="A115" s="658"/>
      <c r="B115" s="659"/>
      <c r="C115" s="660"/>
      <c r="D115" s="660"/>
      <c r="E115" s="661"/>
      <c r="F115" s="661"/>
      <c r="R115" s="661"/>
      <c r="S115" s="662"/>
    </row>
    <row r="116" spans="1:19" s="662" customFormat="1">
      <c r="A116" s="658"/>
      <c r="B116" s="659"/>
      <c r="C116" s="660"/>
      <c r="D116" s="660"/>
      <c r="E116" s="661"/>
      <c r="F116" s="661"/>
      <c r="R116" s="661"/>
    </row>
    <row r="117" spans="1:19" s="662" customFormat="1">
      <c r="A117" s="658"/>
      <c r="B117" s="663"/>
      <c r="C117" s="660"/>
      <c r="D117" s="660"/>
      <c r="E117" s="661"/>
      <c r="F117" s="661"/>
      <c r="R117" s="661"/>
    </row>
    <row r="118" spans="1:19" s="662" customFormat="1">
      <c r="A118" s="658"/>
      <c r="B118" s="659"/>
      <c r="C118" s="660"/>
      <c r="D118" s="660"/>
      <c r="E118" s="661"/>
      <c r="F118" s="661"/>
      <c r="R118" s="661"/>
    </row>
    <row r="119" spans="1:19" s="662" customFormat="1">
      <c r="A119" s="658"/>
      <c r="B119" s="664"/>
      <c r="C119" s="665"/>
      <c r="D119" s="665"/>
      <c r="E119" s="661"/>
      <c r="F119" s="661"/>
      <c r="R119" s="661"/>
    </row>
    <row r="120" spans="1:19" s="662" customFormat="1">
      <c r="A120" s="658"/>
      <c r="B120" s="659"/>
      <c r="C120" s="660"/>
      <c r="D120" s="660"/>
      <c r="E120" s="661"/>
      <c r="F120" s="661"/>
      <c r="R120" s="661"/>
    </row>
    <row r="121" spans="1:19" s="662" customFormat="1">
      <c r="A121" s="658"/>
      <c r="B121" s="664"/>
      <c r="C121" s="665"/>
      <c r="D121" s="665"/>
      <c r="E121" s="661"/>
      <c r="F121" s="661"/>
      <c r="R121" s="661"/>
    </row>
    <row r="122" spans="1:19" s="662" customFormat="1">
      <c r="A122" s="658"/>
      <c r="B122" s="659"/>
      <c r="C122" s="660"/>
      <c r="D122" s="660"/>
      <c r="E122" s="661"/>
      <c r="F122" s="661"/>
      <c r="R122" s="661"/>
    </row>
    <row r="123" spans="1:19" s="666" customFormat="1">
      <c r="A123" s="658"/>
      <c r="B123" s="664"/>
      <c r="C123" s="665"/>
      <c r="D123" s="665"/>
      <c r="E123" s="661"/>
      <c r="F123" s="661"/>
      <c r="R123" s="661"/>
    </row>
    <row r="124" spans="1:19" s="662" customFormat="1">
      <c r="A124" s="658"/>
      <c r="B124" s="659"/>
      <c r="C124" s="660"/>
      <c r="D124" s="660"/>
      <c r="E124" s="661"/>
      <c r="F124" s="661"/>
      <c r="R124" s="661"/>
    </row>
    <row r="125" spans="1:19" s="662" customFormat="1">
      <c r="A125" s="658"/>
      <c r="B125" s="664"/>
      <c r="C125" s="665"/>
      <c r="D125" s="665"/>
      <c r="E125" s="661"/>
      <c r="F125" s="661"/>
      <c r="R125" s="661"/>
    </row>
    <row r="126" spans="1:19" s="662" customFormat="1">
      <c r="A126" s="658"/>
      <c r="B126" s="659"/>
      <c r="C126" s="660"/>
      <c r="D126" s="660"/>
      <c r="E126" s="661"/>
      <c r="F126" s="661"/>
      <c r="R126" s="661"/>
    </row>
    <row r="127" spans="1:19" s="666" customFormat="1">
      <c r="A127" s="658"/>
      <c r="B127" s="664"/>
      <c r="C127" s="665"/>
      <c r="D127" s="665"/>
      <c r="E127" s="661"/>
      <c r="F127" s="661"/>
      <c r="R127" s="661"/>
    </row>
    <row r="128" spans="1:19" s="666" customFormat="1">
      <c r="A128" s="658"/>
      <c r="B128" s="659"/>
      <c r="C128" s="660"/>
      <c r="D128" s="660"/>
      <c r="E128" s="661"/>
      <c r="F128" s="661"/>
      <c r="R128" s="661"/>
    </row>
    <row r="129" spans="1:18" s="666" customFormat="1">
      <c r="A129" s="658"/>
      <c r="B129" s="664"/>
      <c r="C129" s="665"/>
      <c r="D129" s="665"/>
      <c r="E129" s="661"/>
      <c r="F129" s="661"/>
      <c r="R129" s="661"/>
    </row>
    <row r="130" spans="1:18" s="666" customFormat="1">
      <c r="A130" s="658"/>
      <c r="B130" s="659"/>
      <c r="C130" s="660"/>
      <c r="D130" s="660"/>
      <c r="E130" s="661"/>
      <c r="F130" s="661"/>
      <c r="R130" s="661"/>
    </row>
    <row r="131" spans="1:18" s="666" customFormat="1">
      <c r="A131" s="658"/>
      <c r="B131" s="664"/>
      <c r="C131" s="665"/>
      <c r="D131" s="665"/>
      <c r="E131" s="661"/>
      <c r="F131" s="661"/>
      <c r="R131" s="661"/>
    </row>
    <row r="132" spans="1:18" s="666" customFormat="1">
      <c r="A132" s="658"/>
      <c r="B132" s="659"/>
      <c r="C132" s="660"/>
      <c r="D132" s="660"/>
      <c r="E132" s="661"/>
      <c r="F132" s="661"/>
      <c r="R132" s="661"/>
    </row>
    <row r="133" spans="1:18" s="666" customFormat="1">
      <c r="A133" s="658"/>
      <c r="B133" s="664"/>
      <c r="C133" s="665"/>
      <c r="D133" s="665"/>
      <c r="E133" s="661"/>
      <c r="F133" s="661"/>
      <c r="R133" s="661"/>
    </row>
    <row r="134" spans="1:18" s="666" customFormat="1">
      <c r="A134" s="658"/>
      <c r="B134" s="659"/>
      <c r="C134" s="660"/>
      <c r="D134" s="660"/>
      <c r="E134" s="661"/>
      <c r="F134" s="661"/>
      <c r="R134" s="661"/>
    </row>
    <row r="135" spans="1:18" s="666" customFormat="1">
      <c r="A135" s="658"/>
      <c r="B135" s="664"/>
      <c r="C135" s="665"/>
      <c r="D135" s="665"/>
      <c r="E135" s="661"/>
      <c r="F135" s="661"/>
      <c r="R135" s="661"/>
    </row>
    <row r="136" spans="1:18" s="666" customFormat="1">
      <c r="A136" s="658"/>
      <c r="B136" s="659"/>
      <c r="C136" s="660"/>
      <c r="D136" s="660"/>
      <c r="E136" s="661"/>
      <c r="F136" s="661"/>
      <c r="R136" s="661"/>
    </row>
    <row r="137" spans="1:18" s="666" customFormat="1">
      <c r="A137" s="658"/>
      <c r="B137" s="664"/>
      <c r="C137" s="665"/>
      <c r="D137" s="665"/>
      <c r="E137" s="661"/>
      <c r="F137" s="661"/>
      <c r="R137" s="661"/>
    </row>
    <row r="138" spans="1:18" s="666" customFormat="1">
      <c r="A138" s="658"/>
      <c r="B138" s="659"/>
      <c r="C138" s="660"/>
      <c r="D138" s="660"/>
      <c r="E138" s="661"/>
      <c r="F138" s="661"/>
      <c r="R138" s="661"/>
    </row>
    <row r="139" spans="1:18" s="666" customFormat="1">
      <c r="A139" s="658"/>
      <c r="B139" s="664"/>
      <c r="C139" s="665"/>
      <c r="D139" s="665"/>
      <c r="E139" s="661"/>
      <c r="F139" s="661"/>
      <c r="R139" s="661"/>
    </row>
    <row r="140" spans="1:18" s="666" customFormat="1">
      <c r="A140" s="658"/>
      <c r="B140" s="659"/>
      <c r="C140" s="660"/>
      <c r="D140" s="660"/>
      <c r="E140" s="661"/>
      <c r="F140" s="661"/>
      <c r="R140" s="661"/>
    </row>
    <row r="141" spans="1:18" s="666" customFormat="1">
      <c r="A141" s="658"/>
      <c r="B141" s="664"/>
      <c r="C141" s="665"/>
      <c r="D141" s="665"/>
      <c r="E141" s="661"/>
      <c r="F141" s="661"/>
      <c r="R141" s="661"/>
    </row>
    <row r="142" spans="1:18" s="666" customFormat="1">
      <c r="A142" s="658"/>
      <c r="B142" s="659"/>
      <c r="C142" s="660"/>
      <c r="D142" s="660"/>
      <c r="E142" s="661"/>
      <c r="F142" s="661"/>
      <c r="R142" s="661"/>
    </row>
    <row r="143" spans="1:18" s="666" customFormat="1">
      <c r="A143" s="658"/>
      <c r="B143" s="659"/>
      <c r="C143" s="660"/>
      <c r="D143" s="660"/>
      <c r="E143" s="661"/>
      <c r="F143" s="661"/>
      <c r="R143" s="661"/>
    </row>
    <row r="144" spans="1:18" s="666" customFormat="1">
      <c r="A144" s="658"/>
      <c r="B144" s="659"/>
      <c r="C144" s="660"/>
      <c r="D144" s="660"/>
      <c r="E144" s="661"/>
      <c r="F144" s="661"/>
      <c r="R144" s="661"/>
    </row>
    <row r="145" spans="1:18" s="666" customFormat="1">
      <c r="A145" s="658"/>
      <c r="B145" s="659"/>
      <c r="C145" s="660"/>
      <c r="D145" s="660"/>
      <c r="E145" s="661"/>
      <c r="F145" s="661"/>
      <c r="R145" s="661"/>
    </row>
    <row r="146" spans="1:18" s="666" customFormat="1">
      <c r="A146" s="658"/>
      <c r="B146" s="659"/>
      <c r="C146" s="660"/>
      <c r="D146" s="660"/>
      <c r="E146" s="661"/>
      <c r="F146" s="661"/>
      <c r="R146" s="661"/>
    </row>
    <row r="147" spans="1:18" s="666" customFormat="1">
      <c r="A147" s="658"/>
      <c r="B147" s="659"/>
      <c r="C147" s="660"/>
      <c r="D147" s="660"/>
      <c r="E147" s="661"/>
      <c r="F147" s="661"/>
      <c r="R147" s="661"/>
    </row>
    <row r="148" spans="1:18" s="666" customFormat="1">
      <c r="A148" s="658"/>
      <c r="B148" s="659"/>
      <c r="C148" s="660"/>
      <c r="D148" s="660"/>
      <c r="E148" s="661"/>
      <c r="F148" s="661"/>
      <c r="R148" s="661"/>
    </row>
    <row r="149" spans="1:18" s="666" customFormat="1">
      <c r="A149" s="658"/>
      <c r="B149" s="659"/>
      <c r="C149" s="660"/>
      <c r="D149" s="660"/>
      <c r="E149" s="661"/>
      <c r="F149" s="661"/>
      <c r="R149" s="661"/>
    </row>
    <row r="150" spans="1:18" s="666" customFormat="1">
      <c r="A150" s="658"/>
      <c r="B150" s="659"/>
      <c r="C150" s="660"/>
      <c r="D150" s="660"/>
      <c r="E150" s="661"/>
      <c r="F150" s="661"/>
      <c r="R150" s="661"/>
    </row>
    <row r="151" spans="1:18" s="666" customFormat="1">
      <c r="A151" s="658"/>
      <c r="B151" s="659"/>
      <c r="C151" s="660"/>
      <c r="D151" s="660"/>
      <c r="E151" s="661"/>
      <c r="F151" s="661"/>
      <c r="R151" s="661"/>
    </row>
    <row r="152" spans="1:18" s="666" customFormat="1">
      <c r="A152" s="658"/>
      <c r="B152" s="659"/>
      <c r="C152" s="660"/>
      <c r="D152" s="660"/>
      <c r="E152" s="661"/>
      <c r="F152" s="661"/>
      <c r="R152" s="661"/>
    </row>
    <row r="153" spans="1:18" s="666" customFormat="1">
      <c r="A153" s="658"/>
      <c r="B153" s="659"/>
      <c r="C153" s="660"/>
      <c r="D153" s="660"/>
      <c r="E153" s="661"/>
      <c r="F153" s="661"/>
      <c r="R153" s="661"/>
    </row>
    <row r="154" spans="1:18" s="666" customFormat="1">
      <c r="A154" s="658"/>
      <c r="B154" s="664"/>
      <c r="C154" s="665"/>
      <c r="D154" s="665"/>
      <c r="E154" s="661"/>
      <c r="F154" s="661"/>
      <c r="R154" s="661"/>
    </row>
    <row r="155" spans="1:18" s="666" customFormat="1">
      <c r="A155" s="658"/>
      <c r="B155" s="659"/>
      <c r="C155" s="660"/>
      <c r="D155" s="660"/>
      <c r="E155" s="661"/>
      <c r="F155" s="661"/>
      <c r="R155" s="661"/>
    </row>
    <row r="156" spans="1:18" s="666" customFormat="1">
      <c r="A156" s="658"/>
      <c r="B156" s="664"/>
      <c r="C156" s="665"/>
      <c r="D156" s="665"/>
      <c r="E156" s="661"/>
      <c r="F156" s="661"/>
      <c r="R156" s="661"/>
    </row>
    <row r="157" spans="1:18" s="666" customFormat="1">
      <c r="A157" s="658"/>
      <c r="B157" s="664"/>
      <c r="C157" s="665"/>
      <c r="D157" s="665"/>
      <c r="E157" s="661"/>
      <c r="F157" s="661"/>
      <c r="R157" s="661"/>
    </row>
    <row r="158" spans="1:18" s="666" customFormat="1">
      <c r="A158" s="658"/>
      <c r="B158" s="659"/>
      <c r="C158" s="660"/>
      <c r="D158" s="660"/>
      <c r="E158" s="661"/>
      <c r="F158" s="661"/>
      <c r="R158" s="661"/>
    </row>
    <row r="159" spans="1:18" s="666" customFormat="1">
      <c r="A159" s="658"/>
      <c r="B159" s="664"/>
      <c r="C159" s="665"/>
      <c r="D159" s="665"/>
      <c r="E159" s="661"/>
      <c r="F159" s="661"/>
      <c r="R159" s="661"/>
    </row>
    <row r="160" spans="1:18" s="666" customFormat="1">
      <c r="A160" s="658"/>
      <c r="B160" s="659"/>
      <c r="C160" s="660"/>
      <c r="D160" s="660"/>
      <c r="E160" s="661"/>
      <c r="F160" s="661"/>
      <c r="R160" s="661"/>
    </row>
    <row r="161" spans="1:19" s="666" customFormat="1">
      <c r="A161" s="658"/>
      <c r="B161" s="664"/>
      <c r="C161" s="665"/>
      <c r="D161" s="665"/>
      <c r="E161" s="661"/>
      <c r="F161" s="661"/>
      <c r="R161" s="661"/>
    </row>
    <row r="162" spans="1:19" s="666" customFormat="1">
      <c r="A162" s="658"/>
      <c r="B162" s="659"/>
      <c r="C162" s="660"/>
      <c r="D162" s="660"/>
      <c r="E162" s="661"/>
      <c r="F162" s="661"/>
      <c r="R162" s="661"/>
    </row>
    <row r="163" spans="1:19" s="666" customFormat="1">
      <c r="A163" s="658"/>
      <c r="B163" s="659"/>
      <c r="C163" s="660"/>
      <c r="D163" s="660"/>
      <c r="E163" s="661"/>
      <c r="F163" s="661"/>
      <c r="R163" s="661"/>
    </row>
    <row r="164" spans="1:19" s="666" customFormat="1">
      <c r="A164" s="658"/>
      <c r="B164" s="659"/>
      <c r="C164" s="660"/>
      <c r="D164" s="660"/>
      <c r="E164" s="661"/>
      <c r="F164" s="661"/>
      <c r="R164" s="661"/>
    </row>
    <row r="165" spans="1:19" s="666" customFormat="1">
      <c r="A165" s="658"/>
      <c r="B165" s="659"/>
      <c r="C165" s="660"/>
      <c r="D165" s="660"/>
      <c r="E165" s="661"/>
      <c r="F165" s="661"/>
      <c r="R165" s="661"/>
    </row>
    <row r="166" spans="1:19" s="666" customFormat="1">
      <c r="A166" s="658"/>
      <c r="B166" s="659"/>
      <c r="C166" s="660"/>
      <c r="D166" s="660"/>
      <c r="E166" s="661"/>
      <c r="F166" s="661"/>
      <c r="R166" s="661"/>
      <c r="S166" s="655"/>
    </row>
    <row r="167" spans="1:19">
      <c r="A167" s="669"/>
      <c r="B167" s="677"/>
      <c r="C167" s="670"/>
      <c r="D167" s="670"/>
      <c r="E167" s="671"/>
      <c r="F167" s="671"/>
      <c r="R167" s="671"/>
    </row>
    <row r="168" spans="1:19">
      <c r="A168" s="678" t="s">
        <v>154</v>
      </c>
      <c r="B168" s="679"/>
      <c r="E168" s="681" t="s">
        <v>261</v>
      </c>
      <c r="F168" s="675">
        <f>SUM(F115:F167)</f>
        <v>0</v>
      </c>
      <c r="R168" s="681" t="s">
        <v>261</v>
      </c>
    </row>
    <row r="169" spans="1:19" ht="16.5" customHeight="1">
      <c r="A169" s="652" t="s">
        <v>211</v>
      </c>
      <c r="B169" s="653" t="s">
        <v>212</v>
      </c>
      <c r="C169" s="653" t="s">
        <v>213</v>
      </c>
      <c r="D169" s="653" t="s">
        <v>214</v>
      </c>
      <c r="E169" s="654" t="s">
        <v>215</v>
      </c>
      <c r="F169" s="654" t="s">
        <v>164</v>
      </c>
      <c r="R169" s="654" t="s">
        <v>215</v>
      </c>
    </row>
    <row r="170" spans="1:19" s="657" customFormat="1">
      <c r="A170" s="332"/>
      <c r="B170" s="614"/>
      <c r="C170" s="333"/>
      <c r="D170" s="333"/>
      <c r="E170" s="656" t="s">
        <v>262</v>
      </c>
      <c r="F170" s="656" t="s">
        <v>262</v>
      </c>
      <c r="R170" s="656" t="s">
        <v>262</v>
      </c>
    </row>
    <row r="171" spans="1:19" s="657" customFormat="1">
      <c r="A171" s="658"/>
      <c r="B171" s="659"/>
      <c r="C171" s="660"/>
      <c r="D171" s="660"/>
      <c r="E171" s="661"/>
      <c r="F171" s="661"/>
      <c r="R171" s="661"/>
      <c r="S171" s="662"/>
    </row>
    <row r="172" spans="1:19" s="662" customFormat="1">
      <c r="A172" s="658"/>
      <c r="B172" s="659"/>
      <c r="C172" s="660"/>
      <c r="D172" s="660"/>
      <c r="E172" s="661"/>
      <c r="F172" s="661"/>
      <c r="R172" s="661"/>
    </row>
    <row r="173" spans="1:19" s="662" customFormat="1">
      <c r="A173" s="658"/>
      <c r="B173" s="663"/>
      <c r="C173" s="660"/>
      <c r="D173" s="660"/>
      <c r="E173" s="661"/>
      <c r="F173" s="661"/>
      <c r="R173" s="661"/>
    </row>
    <row r="174" spans="1:19" s="662" customFormat="1">
      <c r="A174" s="658"/>
      <c r="B174" s="659"/>
      <c r="C174" s="660"/>
      <c r="D174" s="660"/>
      <c r="E174" s="661"/>
      <c r="F174" s="661"/>
      <c r="R174" s="661"/>
    </row>
    <row r="175" spans="1:19" s="662" customFormat="1">
      <c r="A175" s="658"/>
      <c r="B175" s="664"/>
      <c r="C175" s="665"/>
      <c r="D175" s="665"/>
      <c r="E175" s="661"/>
      <c r="F175" s="661"/>
      <c r="R175" s="661"/>
    </row>
    <row r="176" spans="1:19" s="662" customFormat="1">
      <c r="A176" s="658"/>
      <c r="B176" s="659"/>
      <c r="C176" s="660"/>
      <c r="D176" s="660"/>
      <c r="E176" s="661"/>
      <c r="F176" s="661"/>
      <c r="R176" s="661"/>
    </row>
    <row r="177" spans="1:18" s="662" customFormat="1">
      <c r="A177" s="658"/>
      <c r="B177" s="664"/>
      <c r="C177" s="665"/>
      <c r="D177" s="665"/>
      <c r="E177" s="661"/>
      <c r="F177" s="661"/>
      <c r="R177" s="661"/>
    </row>
    <row r="178" spans="1:18" s="662" customFormat="1">
      <c r="A178" s="658"/>
      <c r="B178" s="659"/>
      <c r="C178" s="660"/>
      <c r="D178" s="660"/>
      <c r="E178" s="661"/>
      <c r="F178" s="661"/>
      <c r="R178" s="661"/>
    </row>
    <row r="179" spans="1:18" s="666" customFormat="1">
      <c r="A179" s="658"/>
      <c r="B179" s="664"/>
      <c r="C179" s="665"/>
      <c r="D179" s="665"/>
      <c r="E179" s="661"/>
      <c r="F179" s="661"/>
      <c r="R179" s="661"/>
    </row>
    <row r="180" spans="1:18" s="662" customFormat="1">
      <c r="A180" s="658"/>
      <c r="B180" s="659"/>
      <c r="C180" s="660"/>
      <c r="D180" s="660"/>
      <c r="E180" s="661"/>
      <c r="F180" s="661"/>
      <c r="R180" s="661"/>
    </row>
    <row r="181" spans="1:18" s="662" customFormat="1">
      <c r="A181" s="658"/>
      <c r="B181" s="664"/>
      <c r="C181" s="665"/>
      <c r="D181" s="665"/>
      <c r="E181" s="661"/>
      <c r="F181" s="661"/>
      <c r="R181" s="661"/>
    </row>
    <row r="182" spans="1:18" s="662" customFormat="1">
      <c r="A182" s="658"/>
      <c r="B182" s="659"/>
      <c r="C182" s="660"/>
      <c r="D182" s="660"/>
      <c r="E182" s="661"/>
      <c r="F182" s="661"/>
      <c r="R182" s="661"/>
    </row>
    <row r="183" spans="1:18" s="666" customFormat="1">
      <c r="A183" s="658"/>
      <c r="B183" s="664"/>
      <c r="C183" s="665"/>
      <c r="D183" s="665"/>
      <c r="E183" s="661"/>
      <c r="F183" s="661"/>
      <c r="R183" s="661"/>
    </row>
    <row r="184" spans="1:18" s="666" customFormat="1">
      <c r="A184" s="658"/>
      <c r="B184" s="659"/>
      <c r="C184" s="660"/>
      <c r="D184" s="660"/>
      <c r="E184" s="661"/>
      <c r="F184" s="661"/>
      <c r="R184" s="661"/>
    </row>
    <row r="185" spans="1:18" s="666" customFormat="1">
      <c r="A185" s="658"/>
      <c r="B185" s="664"/>
      <c r="C185" s="665"/>
      <c r="D185" s="665"/>
      <c r="E185" s="661"/>
      <c r="F185" s="661"/>
      <c r="R185" s="661"/>
    </row>
    <row r="186" spans="1:18" s="666" customFormat="1">
      <c r="A186" s="658"/>
      <c r="B186" s="659"/>
      <c r="C186" s="660"/>
      <c r="D186" s="660"/>
      <c r="E186" s="661"/>
      <c r="F186" s="661"/>
      <c r="R186" s="661"/>
    </row>
    <row r="187" spans="1:18" s="666" customFormat="1">
      <c r="A187" s="658"/>
      <c r="B187" s="664"/>
      <c r="C187" s="665"/>
      <c r="D187" s="665"/>
      <c r="E187" s="661"/>
      <c r="F187" s="661"/>
      <c r="R187" s="661"/>
    </row>
    <row r="188" spans="1:18" s="666" customFormat="1">
      <c r="A188" s="658"/>
      <c r="B188" s="659"/>
      <c r="C188" s="660"/>
      <c r="D188" s="660"/>
      <c r="E188" s="661"/>
      <c r="F188" s="661"/>
      <c r="R188" s="661"/>
    </row>
    <row r="189" spans="1:18" s="666" customFormat="1">
      <c r="A189" s="658"/>
      <c r="B189" s="664"/>
      <c r="C189" s="665"/>
      <c r="D189" s="665"/>
      <c r="E189" s="661"/>
      <c r="F189" s="661"/>
      <c r="R189" s="661"/>
    </row>
    <row r="190" spans="1:18" s="666" customFormat="1">
      <c r="A190" s="658"/>
      <c r="B190" s="659"/>
      <c r="C190" s="660"/>
      <c r="D190" s="660"/>
      <c r="E190" s="661"/>
      <c r="F190" s="661"/>
      <c r="R190" s="661"/>
    </row>
    <row r="191" spans="1:18" s="666" customFormat="1">
      <c r="A191" s="658"/>
      <c r="B191" s="664"/>
      <c r="C191" s="665"/>
      <c r="D191" s="665"/>
      <c r="E191" s="661"/>
      <c r="F191" s="661"/>
      <c r="R191" s="661"/>
    </row>
    <row r="192" spans="1:18" s="666" customFormat="1">
      <c r="A192" s="658"/>
      <c r="B192" s="659"/>
      <c r="C192" s="660"/>
      <c r="D192" s="660"/>
      <c r="E192" s="661"/>
      <c r="F192" s="661"/>
      <c r="R192" s="661"/>
    </row>
    <row r="193" spans="1:18" s="666" customFormat="1">
      <c r="A193" s="658"/>
      <c r="B193" s="664"/>
      <c r="C193" s="665"/>
      <c r="D193" s="665"/>
      <c r="E193" s="661"/>
      <c r="F193" s="661"/>
      <c r="R193" s="661"/>
    </row>
    <row r="194" spans="1:18" s="666" customFormat="1">
      <c r="A194" s="658"/>
      <c r="B194" s="659"/>
      <c r="C194" s="660"/>
      <c r="D194" s="660"/>
      <c r="E194" s="661"/>
      <c r="F194" s="661"/>
      <c r="R194" s="661"/>
    </row>
    <row r="195" spans="1:18" s="666" customFormat="1">
      <c r="A195" s="658"/>
      <c r="B195" s="664"/>
      <c r="C195" s="665"/>
      <c r="D195" s="665"/>
      <c r="E195" s="661"/>
      <c r="F195" s="661"/>
      <c r="R195" s="661"/>
    </row>
    <row r="196" spans="1:18" s="666" customFormat="1">
      <c r="A196" s="658"/>
      <c r="B196" s="659"/>
      <c r="C196" s="660"/>
      <c r="D196" s="660"/>
      <c r="E196" s="661"/>
      <c r="F196" s="661"/>
      <c r="R196" s="661"/>
    </row>
    <row r="197" spans="1:18" s="666" customFormat="1">
      <c r="A197" s="658"/>
      <c r="B197" s="659"/>
      <c r="C197" s="660"/>
      <c r="D197" s="660"/>
      <c r="E197" s="661"/>
      <c r="F197" s="661"/>
      <c r="R197" s="661"/>
    </row>
    <row r="198" spans="1:18" s="666" customFormat="1">
      <c r="A198" s="658"/>
      <c r="B198" s="659"/>
      <c r="C198" s="660"/>
      <c r="D198" s="660"/>
      <c r="E198" s="661"/>
      <c r="F198" s="661"/>
      <c r="R198" s="661"/>
    </row>
    <row r="199" spans="1:18" s="666" customFormat="1">
      <c r="A199" s="658"/>
      <c r="B199" s="659"/>
      <c r="C199" s="660"/>
      <c r="D199" s="660"/>
      <c r="E199" s="661"/>
      <c r="F199" s="661"/>
      <c r="R199" s="661"/>
    </row>
    <row r="200" spans="1:18" s="666" customFormat="1">
      <c r="A200" s="658"/>
      <c r="B200" s="659"/>
      <c r="C200" s="660"/>
      <c r="D200" s="660"/>
      <c r="E200" s="661"/>
      <c r="F200" s="661"/>
      <c r="R200" s="661"/>
    </row>
    <row r="201" spans="1:18" s="666" customFormat="1">
      <c r="A201" s="658"/>
      <c r="B201" s="659"/>
      <c r="C201" s="660"/>
      <c r="D201" s="660"/>
      <c r="E201" s="661"/>
      <c r="F201" s="661"/>
      <c r="R201" s="661"/>
    </row>
    <row r="202" spans="1:18" s="666" customFormat="1">
      <c r="A202" s="658"/>
      <c r="B202" s="659"/>
      <c r="C202" s="660"/>
      <c r="D202" s="660"/>
      <c r="E202" s="661"/>
      <c r="F202" s="661"/>
      <c r="R202" s="661"/>
    </row>
    <row r="203" spans="1:18" s="666" customFormat="1">
      <c r="A203" s="658"/>
      <c r="B203" s="659"/>
      <c r="C203" s="660"/>
      <c r="D203" s="660"/>
      <c r="E203" s="661"/>
      <c r="F203" s="661"/>
      <c r="R203" s="661"/>
    </row>
    <row r="204" spans="1:18" s="666" customFormat="1">
      <c r="A204" s="658"/>
      <c r="B204" s="659"/>
      <c r="C204" s="660"/>
      <c r="D204" s="660"/>
      <c r="E204" s="661"/>
      <c r="F204" s="661"/>
      <c r="R204" s="661"/>
    </row>
    <row r="205" spans="1:18" s="666" customFormat="1">
      <c r="A205" s="658"/>
      <c r="B205" s="659"/>
      <c r="C205" s="660"/>
      <c r="D205" s="660"/>
      <c r="E205" s="661"/>
      <c r="F205" s="661"/>
      <c r="R205" s="661"/>
    </row>
    <row r="206" spans="1:18" s="666" customFormat="1">
      <c r="A206" s="658"/>
      <c r="B206" s="659"/>
      <c r="C206" s="660"/>
      <c r="D206" s="660"/>
      <c r="E206" s="661"/>
      <c r="F206" s="661"/>
      <c r="R206" s="661"/>
    </row>
    <row r="207" spans="1:18" s="666" customFormat="1">
      <c r="A207" s="658"/>
      <c r="B207" s="659"/>
      <c r="C207" s="660"/>
      <c r="D207" s="660"/>
      <c r="E207" s="661"/>
      <c r="F207" s="661"/>
      <c r="R207" s="661"/>
    </row>
    <row r="208" spans="1:18" s="666" customFormat="1">
      <c r="A208" s="658"/>
      <c r="B208" s="659"/>
      <c r="C208" s="660"/>
      <c r="D208" s="660"/>
      <c r="E208" s="661"/>
      <c r="F208" s="661"/>
      <c r="R208" s="661"/>
    </row>
    <row r="209" spans="1:19" s="666" customFormat="1">
      <c r="A209" s="658"/>
      <c r="B209" s="664"/>
      <c r="C209" s="665"/>
      <c r="D209" s="665"/>
      <c r="E209" s="661"/>
      <c r="F209" s="661"/>
      <c r="R209" s="661"/>
    </row>
    <row r="210" spans="1:19" s="666" customFormat="1">
      <c r="A210" s="658"/>
      <c r="B210" s="659"/>
      <c r="C210" s="660"/>
      <c r="D210" s="660"/>
      <c r="E210" s="661"/>
      <c r="F210" s="661"/>
      <c r="R210" s="661"/>
    </row>
    <row r="211" spans="1:19" s="666" customFormat="1">
      <c r="A211" s="658"/>
      <c r="B211" s="664"/>
      <c r="C211" s="665"/>
      <c r="D211" s="665"/>
      <c r="E211" s="661"/>
      <c r="F211" s="661"/>
      <c r="R211" s="661"/>
    </row>
    <row r="212" spans="1:19" s="666" customFormat="1">
      <c r="A212" s="658"/>
      <c r="B212" s="659"/>
      <c r="C212" s="660"/>
      <c r="D212" s="660"/>
      <c r="E212" s="661"/>
      <c r="F212" s="661"/>
      <c r="R212" s="661"/>
    </row>
    <row r="213" spans="1:19" s="666" customFormat="1">
      <c r="A213" s="658"/>
      <c r="B213" s="664"/>
      <c r="C213" s="665"/>
      <c r="D213" s="665"/>
      <c r="E213" s="661"/>
      <c r="F213" s="661"/>
      <c r="R213" s="661"/>
    </row>
    <row r="214" spans="1:19" s="666" customFormat="1">
      <c r="A214" s="658"/>
      <c r="B214" s="659"/>
      <c r="C214" s="660"/>
      <c r="D214" s="660"/>
      <c r="E214" s="661"/>
      <c r="F214" s="661"/>
      <c r="R214" s="661"/>
    </row>
    <row r="215" spans="1:19" s="666" customFormat="1">
      <c r="A215" s="658"/>
      <c r="B215" s="664"/>
      <c r="C215" s="665"/>
      <c r="D215" s="665"/>
      <c r="E215" s="661"/>
      <c r="F215" s="661"/>
      <c r="R215" s="661"/>
    </row>
    <row r="216" spans="1:19" s="666" customFormat="1">
      <c r="A216" s="658"/>
      <c r="B216" s="659"/>
      <c r="C216" s="660"/>
      <c r="D216" s="660"/>
      <c r="E216" s="661"/>
      <c r="F216" s="661"/>
      <c r="R216" s="661"/>
    </row>
    <row r="217" spans="1:19" s="666" customFormat="1">
      <c r="A217" s="658"/>
      <c r="B217" s="664"/>
      <c r="C217" s="665"/>
      <c r="D217" s="665"/>
      <c r="E217" s="661"/>
      <c r="F217" s="661"/>
      <c r="R217" s="661"/>
    </row>
    <row r="218" spans="1:19" s="666" customFormat="1">
      <c r="A218" s="658"/>
      <c r="B218" s="659"/>
      <c r="C218" s="660"/>
      <c r="D218" s="660"/>
      <c r="E218" s="661"/>
      <c r="F218" s="661"/>
      <c r="R218" s="661"/>
    </row>
    <row r="219" spans="1:19" s="666" customFormat="1">
      <c r="A219" s="658"/>
      <c r="B219" s="659"/>
      <c r="C219" s="660"/>
      <c r="D219" s="660"/>
      <c r="E219" s="661"/>
      <c r="F219" s="661"/>
      <c r="R219" s="661"/>
      <c r="S219" s="655"/>
    </row>
    <row r="220" spans="1:19" s="666" customFormat="1">
      <c r="A220" s="658"/>
      <c r="B220" s="659"/>
      <c r="C220" s="660"/>
      <c r="D220" s="660"/>
      <c r="E220" s="661"/>
      <c r="F220" s="661"/>
      <c r="R220" s="661"/>
      <c r="S220" s="655"/>
    </row>
    <row r="221" spans="1:19" s="666" customFormat="1">
      <c r="A221" s="658"/>
      <c r="B221" s="659"/>
      <c r="C221" s="660"/>
      <c r="D221" s="660"/>
      <c r="E221" s="661"/>
      <c r="F221" s="661"/>
      <c r="R221" s="661"/>
      <c r="S221" s="655"/>
    </row>
    <row r="222" spans="1:19" s="666" customFormat="1">
      <c r="A222" s="658"/>
      <c r="B222" s="659"/>
      <c r="C222" s="660"/>
      <c r="D222" s="660"/>
      <c r="E222" s="661"/>
      <c r="F222" s="661"/>
      <c r="R222" s="661"/>
      <c r="S222" s="655"/>
    </row>
    <row r="223" spans="1:19">
      <c r="A223" s="669"/>
      <c r="B223" s="677"/>
      <c r="C223" s="670"/>
      <c r="D223" s="670"/>
      <c r="E223" s="671"/>
      <c r="F223" s="671"/>
      <c r="R223" s="671"/>
    </row>
    <row r="224" spans="1:19">
      <c r="A224" s="678" t="s">
        <v>154</v>
      </c>
      <c r="B224" s="679"/>
      <c r="E224" s="681" t="s">
        <v>261</v>
      </c>
      <c r="F224" s="675">
        <f>SUM(F171:F223)</f>
        <v>0</v>
      </c>
      <c r="R224" s="681" t="s">
        <v>261</v>
      </c>
    </row>
    <row r="225" spans="1:19">
      <c r="A225" s="652" t="s">
        <v>211</v>
      </c>
      <c r="B225" s="653" t="s">
        <v>212</v>
      </c>
      <c r="C225" s="653" t="s">
        <v>213</v>
      </c>
      <c r="D225" s="653" t="s">
        <v>214</v>
      </c>
      <c r="E225" s="654" t="s">
        <v>215</v>
      </c>
      <c r="F225" s="654" t="s">
        <v>164</v>
      </c>
      <c r="R225" s="654" t="s">
        <v>215</v>
      </c>
    </row>
    <row r="226" spans="1:19">
      <c r="A226" s="332"/>
      <c r="B226" s="614"/>
      <c r="C226" s="333"/>
      <c r="D226" s="333"/>
      <c r="E226" s="656" t="s">
        <v>262</v>
      </c>
      <c r="F226" s="656" t="s">
        <v>262</v>
      </c>
      <c r="R226" s="656" t="s">
        <v>262</v>
      </c>
    </row>
    <row r="227" spans="1:19">
      <c r="A227" s="658"/>
      <c r="B227" s="659"/>
      <c r="C227" s="660"/>
      <c r="D227" s="660"/>
      <c r="E227" s="661"/>
      <c r="F227" s="661"/>
      <c r="R227" s="661"/>
    </row>
    <row r="228" spans="1:19">
      <c r="A228" s="658"/>
      <c r="B228" s="659"/>
      <c r="C228" s="660"/>
      <c r="D228" s="660"/>
      <c r="E228" s="661"/>
      <c r="F228" s="661"/>
      <c r="R228" s="661"/>
    </row>
    <row r="229" spans="1:19">
      <c r="A229" s="658"/>
      <c r="B229" s="663"/>
      <c r="C229" s="660"/>
      <c r="D229" s="660"/>
      <c r="E229" s="661"/>
      <c r="F229" s="661"/>
      <c r="R229" s="661"/>
    </row>
    <row r="230" spans="1:19" s="666" customFormat="1">
      <c r="A230" s="658"/>
      <c r="B230" s="659"/>
      <c r="C230" s="660"/>
      <c r="D230" s="660"/>
      <c r="E230" s="661"/>
      <c r="F230" s="661"/>
      <c r="R230" s="661"/>
    </row>
    <row r="231" spans="1:19" s="666" customFormat="1">
      <c r="A231" s="658"/>
      <c r="B231" s="664"/>
      <c r="C231" s="665"/>
      <c r="D231" s="665"/>
      <c r="E231" s="661"/>
      <c r="F231" s="661"/>
      <c r="R231" s="661"/>
    </row>
    <row r="232" spans="1:19" s="666" customFormat="1">
      <c r="A232" s="658"/>
      <c r="B232" s="659"/>
      <c r="C232" s="660"/>
      <c r="D232" s="660"/>
      <c r="E232" s="661"/>
      <c r="F232" s="661"/>
      <c r="R232" s="661"/>
    </row>
    <row r="233" spans="1:19" s="666" customFormat="1">
      <c r="A233" s="658"/>
      <c r="B233" s="664"/>
      <c r="C233" s="665"/>
      <c r="D233" s="665"/>
      <c r="E233" s="661"/>
      <c r="F233" s="661"/>
      <c r="R233" s="661"/>
    </row>
    <row r="234" spans="1:19" s="666" customFormat="1">
      <c r="A234" s="658"/>
      <c r="B234" s="659"/>
      <c r="C234" s="660"/>
      <c r="D234" s="660"/>
      <c r="E234" s="661"/>
      <c r="F234" s="661"/>
      <c r="R234" s="661"/>
    </row>
    <row r="235" spans="1:19" s="666" customFormat="1">
      <c r="A235" s="658"/>
      <c r="B235" s="664"/>
      <c r="C235" s="665"/>
      <c r="D235" s="665"/>
      <c r="E235" s="661"/>
      <c r="F235" s="661"/>
      <c r="R235" s="661"/>
      <c r="S235" s="655"/>
    </row>
    <row r="236" spans="1:19" s="666" customFormat="1">
      <c r="A236" s="658"/>
      <c r="B236" s="659"/>
      <c r="C236" s="660"/>
      <c r="D236" s="660"/>
      <c r="E236" s="661"/>
      <c r="F236" s="661"/>
      <c r="R236" s="661"/>
      <c r="S236" s="655"/>
    </row>
    <row r="237" spans="1:19" s="666" customFormat="1">
      <c r="A237" s="658"/>
      <c r="B237" s="664"/>
      <c r="C237" s="665"/>
      <c r="D237" s="665"/>
      <c r="E237" s="661"/>
      <c r="F237" s="661"/>
      <c r="R237" s="661"/>
      <c r="S237" s="655"/>
    </row>
    <row r="238" spans="1:19" s="666" customFormat="1">
      <c r="A238" s="658"/>
      <c r="B238" s="659"/>
      <c r="C238" s="660"/>
      <c r="D238" s="660"/>
      <c r="E238" s="661"/>
      <c r="F238" s="661"/>
      <c r="R238" s="661"/>
      <c r="S238" s="655"/>
    </row>
    <row r="239" spans="1:19">
      <c r="A239" s="658"/>
      <c r="B239" s="664"/>
      <c r="C239" s="665"/>
      <c r="D239" s="665"/>
      <c r="E239" s="661"/>
      <c r="F239" s="661"/>
      <c r="R239" s="661"/>
    </row>
    <row r="240" spans="1:19">
      <c r="A240" s="658"/>
      <c r="B240" s="659"/>
      <c r="C240" s="660"/>
      <c r="D240" s="660"/>
      <c r="E240" s="661"/>
      <c r="F240" s="661"/>
      <c r="R240" s="661"/>
    </row>
    <row r="241" spans="1:18">
      <c r="A241" s="658"/>
      <c r="B241" s="664"/>
      <c r="C241" s="665"/>
      <c r="D241" s="665"/>
      <c r="E241" s="661"/>
      <c r="F241" s="661"/>
      <c r="R241" s="661"/>
    </row>
    <row r="242" spans="1:18">
      <c r="A242" s="658"/>
      <c r="B242" s="659"/>
      <c r="C242" s="660"/>
      <c r="D242" s="660"/>
      <c r="E242" s="661"/>
      <c r="F242" s="661"/>
      <c r="R242" s="661"/>
    </row>
    <row r="243" spans="1:18">
      <c r="A243" s="658"/>
      <c r="B243" s="664"/>
      <c r="C243" s="665"/>
      <c r="D243" s="665"/>
      <c r="E243" s="661"/>
      <c r="F243" s="661"/>
      <c r="R243" s="661"/>
    </row>
    <row r="244" spans="1:18">
      <c r="A244" s="658"/>
      <c r="B244" s="659"/>
      <c r="C244" s="660"/>
      <c r="D244" s="660"/>
      <c r="E244" s="661"/>
      <c r="F244" s="661"/>
      <c r="R244" s="661"/>
    </row>
    <row r="245" spans="1:18">
      <c r="A245" s="658"/>
      <c r="B245" s="664"/>
      <c r="C245" s="665"/>
      <c r="D245" s="665"/>
      <c r="E245" s="661"/>
      <c r="F245" s="661"/>
      <c r="R245" s="661"/>
    </row>
    <row r="246" spans="1:18">
      <c r="A246" s="658"/>
      <c r="B246" s="659"/>
      <c r="C246" s="660"/>
      <c r="D246" s="660"/>
      <c r="E246" s="661"/>
      <c r="F246" s="661"/>
      <c r="R246" s="661"/>
    </row>
    <row r="247" spans="1:18">
      <c r="A247" s="658"/>
      <c r="B247" s="664"/>
      <c r="C247" s="665"/>
      <c r="D247" s="665"/>
      <c r="E247" s="661"/>
      <c r="F247" s="661"/>
      <c r="R247" s="661"/>
    </row>
    <row r="248" spans="1:18">
      <c r="A248" s="658"/>
      <c r="B248" s="659"/>
      <c r="C248" s="660"/>
      <c r="D248" s="660"/>
      <c r="E248" s="661"/>
      <c r="F248" s="661"/>
      <c r="R248" s="661"/>
    </row>
    <row r="249" spans="1:18">
      <c r="A249" s="658"/>
      <c r="B249" s="664"/>
      <c r="C249" s="665"/>
      <c r="D249" s="665"/>
      <c r="E249" s="661"/>
      <c r="F249" s="661"/>
      <c r="R249" s="661"/>
    </row>
    <row r="250" spans="1:18">
      <c r="A250" s="658"/>
      <c r="B250" s="659"/>
      <c r="C250" s="660"/>
      <c r="D250" s="660"/>
      <c r="E250" s="661"/>
      <c r="F250" s="661"/>
      <c r="R250" s="661"/>
    </row>
    <row r="251" spans="1:18">
      <c r="A251" s="658"/>
      <c r="B251" s="664"/>
      <c r="C251" s="665"/>
      <c r="D251" s="665"/>
      <c r="E251" s="661"/>
      <c r="F251" s="661"/>
      <c r="R251" s="661"/>
    </row>
    <row r="252" spans="1:18">
      <c r="A252" s="658"/>
      <c r="B252" s="659"/>
      <c r="C252" s="660"/>
      <c r="D252" s="660"/>
      <c r="E252" s="661"/>
      <c r="F252" s="661"/>
      <c r="R252" s="661"/>
    </row>
    <row r="253" spans="1:18">
      <c r="A253" s="658"/>
      <c r="B253" s="664"/>
      <c r="C253" s="665"/>
      <c r="D253" s="665"/>
      <c r="E253" s="661"/>
      <c r="F253" s="661"/>
      <c r="R253" s="661"/>
    </row>
    <row r="254" spans="1:18">
      <c r="A254" s="658"/>
      <c r="B254" s="664"/>
      <c r="C254" s="665"/>
      <c r="D254" s="665"/>
      <c r="E254" s="661"/>
      <c r="F254" s="661"/>
      <c r="R254" s="661"/>
    </row>
    <row r="255" spans="1:18">
      <c r="A255" s="658"/>
      <c r="B255" s="664"/>
      <c r="C255" s="665"/>
      <c r="D255" s="665"/>
      <c r="E255" s="661"/>
      <c r="F255" s="661"/>
      <c r="R255" s="661"/>
    </row>
    <row r="256" spans="1:18">
      <c r="A256" s="658"/>
      <c r="B256" s="664"/>
      <c r="C256" s="665"/>
      <c r="D256" s="665"/>
      <c r="E256" s="661"/>
      <c r="F256" s="661"/>
      <c r="R256" s="661"/>
    </row>
    <row r="257" spans="1:18">
      <c r="A257" s="658"/>
      <c r="B257" s="664"/>
      <c r="C257" s="665"/>
      <c r="D257" s="665"/>
      <c r="E257" s="661"/>
      <c r="F257" s="661"/>
      <c r="R257" s="661"/>
    </row>
    <row r="258" spans="1:18">
      <c r="A258" s="658"/>
      <c r="B258" s="664"/>
      <c r="C258" s="665"/>
      <c r="D258" s="665"/>
      <c r="E258" s="661"/>
      <c r="F258" s="661"/>
      <c r="R258" s="661"/>
    </row>
    <row r="259" spans="1:18">
      <c r="A259" s="658"/>
      <c r="B259" s="664"/>
      <c r="C259" s="665"/>
      <c r="D259" s="665"/>
      <c r="E259" s="661"/>
      <c r="F259" s="661"/>
      <c r="R259" s="661"/>
    </row>
    <row r="260" spans="1:18">
      <c r="A260" s="658"/>
      <c r="B260" s="664"/>
      <c r="C260" s="665"/>
      <c r="D260" s="665"/>
      <c r="E260" s="661"/>
      <c r="F260" s="661"/>
      <c r="R260" s="661"/>
    </row>
    <row r="261" spans="1:18">
      <c r="A261" s="658"/>
      <c r="B261" s="664"/>
      <c r="C261" s="665"/>
      <c r="D261" s="665"/>
      <c r="E261" s="661"/>
      <c r="F261" s="661"/>
      <c r="R261" s="661"/>
    </row>
    <row r="262" spans="1:18">
      <c r="A262" s="658"/>
      <c r="B262" s="664"/>
      <c r="C262" s="665"/>
      <c r="D262" s="665"/>
      <c r="E262" s="661"/>
      <c r="F262" s="661"/>
      <c r="R262" s="661"/>
    </row>
    <row r="263" spans="1:18">
      <c r="A263" s="658"/>
      <c r="B263" s="664"/>
      <c r="C263" s="665"/>
      <c r="D263" s="665"/>
      <c r="E263" s="661"/>
      <c r="F263" s="661"/>
      <c r="R263" s="661"/>
    </row>
    <row r="264" spans="1:18">
      <c r="A264" s="658"/>
      <c r="B264" s="664"/>
      <c r="C264" s="665"/>
      <c r="D264" s="665"/>
      <c r="E264" s="661"/>
      <c r="F264" s="661"/>
      <c r="R264" s="661"/>
    </row>
    <row r="265" spans="1:18">
      <c r="A265" s="658"/>
      <c r="B265" s="659"/>
      <c r="C265" s="660"/>
      <c r="D265" s="660"/>
      <c r="E265" s="661"/>
      <c r="F265" s="661"/>
      <c r="R265" s="661"/>
    </row>
    <row r="266" spans="1:18">
      <c r="A266" s="658"/>
      <c r="B266" s="659"/>
      <c r="C266" s="660"/>
      <c r="D266" s="660"/>
      <c r="E266" s="661"/>
      <c r="F266" s="661"/>
      <c r="R266" s="661"/>
    </row>
    <row r="267" spans="1:18">
      <c r="A267" s="658"/>
      <c r="B267" s="659"/>
      <c r="C267" s="660"/>
      <c r="D267" s="660"/>
      <c r="E267" s="661"/>
      <c r="F267" s="661"/>
      <c r="R267" s="661"/>
    </row>
    <row r="268" spans="1:18">
      <c r="A268" s="658"/>
      <c r="B268" s="664"/>
      <c r="C268" s="665"/>
      <c r="D268" s="665"/>
      <c r="E268" s="661"/>
      <c r="F268" s="661"/>
      <c r="R268" s="661"/>
    </row>
    <row r="269" spans="1:18">
      <c r="A269" s="658"/>
      <c r="B269" s="664"/>
      <c r="C269" s="665"/>
      <c r="D269" s="665"/>
      <c r="E269" s="661"/>
      <c r="F269" s="661"/>
      <c r="R269" s="661"/>
    </row>
    <row r="270" spans="1:18">
      <c r="A270" s="658"/>
      <c r="B270" s="659"/>
      <c r="C270" s="660"/>
      <c r="D270" s="660"/>
      <c r="E270" s="661"/>
      <c r="F270" s="661"/>
      <c r="R270" s="661"/>
    </row>
    <row r="271" spans="1:18">
      <c r="A271" s="658"/>
      <c r="B271" s="664"/>
      <c r="C271" s="665"/>
      <c r="D271" s="665"/>
      <c r="E271" s="661"/>
      <c r="F271" s="661"/>
      <c r="R271" s="661"/>
    </row>
    <row r="272" spans="1:18">
      <c r="A272" s="658"/>
      <c r="B272" s="659"/>
      <c r="C272" s="660"/>
      <c r="D272" s="660"/>
      <c r="E272" s="661"/>
      <c r="F272" s="661"/>
      <c r="R272" s="661"/>
    </row>
    <row r="273" spans="1:18">
      <c r="A273" s="658"/>
      <c r="B273" s="664"/>
      <c r="C273" s="665"/>
      <c r="D273" s="665"/>
      <c r="E273" s="661"/>
      <c r="F273" s="661"/>
      <c r="R273" s="661"/>
    </row>
    <row r="274" spans="1:18">
      <c r="A274" s="658"/>
      <c r="B274" s="659"/>
      <c r="C274" s="660"/>
      <c r="D274" s="660"/>
      <c r="E274" s="661"/>
      <c r="F274" s="661"/>
      <c r="R274" s="661"/>
    </row>
    <row r="275" spans="1:18">
      <c r="A275" s="658"/>
      <c r="B275" s="659"/>
      <c r="C275" s="660"/>
      <c r="D275" s="660"/>
      <c r="E275" s="661"/>
      <c r="F275" s="661"/>
      <c r="R275" s="661"/>
    </row>
    <row r="276" spans="1:18">
      <c r="A276" s="658"/>
      <c r="B276" s="659"/>
      <c r="C276" s="660"/>
      <c r="D276" s="660"/>
      <c r="E276" s="661"/>
      <c r="F276" s="661"/>
      <c r="R276" s="661"/>
    </row>
    <row r="277" spans="1:18">
      <c r="A277" s="658"/>
      <c r="B277" s="659"/>
      <c r="C277" s="660"/>
      <c r="D277" s="660"/>
      <c r="E277" s="661"/>
      <c r="F277" s="661"/>
      <c r="R277" s="661"/>
    </row>
    <row r="278" spans="1:18">
      <c r="A278" s="658"/>
      <c r="B278" s="659"/>
      <c r="C278" s="660"/>
      <c r="D278" s="660"/>
      <c r="E278" s="661"/>
      <c r="F278" s="661"/>
      <c r="R278" s="661"/>
    </row>
    <row r="279" spans="1:18">
      <c r="A279" s="669"/>
      <c r="B279" s="677"/>
      <c r="C279" s="670"/>
      <c r="D279" s="670"/>
      <c r="E279" s="671"/>
      <c r="F279" s="671"/>
      <c r="R279" s="671"/>
    </row>
    <row r="280" spans="1:18">
      <c r="A280" s="678" t="s">
        <v>154</v>
      </c>
      <c r="B280" s="679"/>
      <c r="E280" s="681" t="s">
        <v>261</v>
      </c>
      <c r="F280" s="675">
        <f>SUM(F227:F279)</f>
        <v>0</v>
      </c>
      <c r="R280" s="681" t="s">
        <v>261</v>
      </c>
    </row>
    <row r="281" spans="1:18">
      <c r="A281" s="652" t="s">
        <v>211</v>
      </c>
      <c r="B281" s="653" t="s">
        <v>212</v>
      </c>
      <c r="C281" s="653" t="s">
        <v>213</v>
      </c>
      <c r="D281" s="653" t="s">
        <v>214</v>
      </c>
      <c r="E281" s="654" t="s">
        <v>215</v>
      </c>
      <c r="F281" s="654" t="s">
        <v>164</v>
      </c>
      <c r="R281" s="654" t="s">
        <v>215</v>
      </c>
    </row>
    <row r="282" spans="1:18">
      <c r="A282" s="332"/>
      <c r="B282" s="614"/>
      <c r="C282" s="333"/>
      <c r="D282" s="333"/>
      <c r="E282" s="656" t="s">
        <v>262</v>
      </c>
      <c r="F282" s="656" t="s">
        <v>262</v>
      </c>
      <c r="R282" s="656" t="s">
        <v>262</v>
      </c>
    </row>
    <row r="283" spans="1:18">
      <c r="A283" s="658"/>
      <c r="B283" s="659"/>
      <c r="C283" s="660"/>
      <c r="D283" s="660"/>
      <c r="E283" s="661"/>
      <c r="F283" s="661"/>
      <c r="R283" s="661"/>
    </row>
    <row r="284" spans="1:18">
      <c r="A284" s="658"/>
      <c r="B284" s="659"/>
      <c r="C284" s="660"/>
      <c r="D284" s="660"/>
      <c r="E284" s="661"/>
      <c r="F284" s="661"/>
      <c r="R284" s="661"/>
    </row>
    <row r="285" spans="1:18">
      <c r="A285" s="658"/>
      <c r="B285" s="663"/>
      <c r="C285" s="660"/>
      <c r="D285" s="660"/>
      <c r="E285" s="661"/>
      <c r="F285" s="661"/>
      <c r="R285" s="661"/>
    </row>
    <row r="286" spans="1:18">
      <c r="A286" s="658"/>
      <c r="B286" s="659"/>
      <c r="C286" s="660"/>
      <c r="D286" s="660"/>
      <c r="E286" s="661"/>
      <c r="F286" s="661"/>
      <c r="R286" s="661"/>
    </row>
    <row r="287" spans="1:18">
      <c r="A287" s="658"/>
      <c r="B287" s="664"/>
      <c r="C287" s="665"/>
      <c r="D287" s="665"/>
      <c r="E287" s="661"/>
      <c r="F287" s="661"/>
      <c r="R287" s="661"/>
    </row>
    <row r="288" spans="1:18">
      <c r="A288" s="658"/>
      <c r="B288" s="659"/>
      <c r="C288" s="660"/>
      <c r="D288" s="660"/>
      <c r="E288" s="661"/>
      <c r="F288" s="661"/>
      <c r="R288" s="661"/>
    </row>
    <row r="289" spans="1:18">
      <c r="A289" s="658"/>
      <c r="B289" s="664"/>
      <c r="C289" s="665"/>
      <c r="D289" s="665"/>
      <c r="E289" s="661"/>
      <c r="F289" s="661"/>
      <c r="R289" s="661"/>
    </row>
    <row r="290" spans="1:18">
      <c r="A290" s="658"/>
      <c r="B290" s="659"/>
      <c r="C290" s="660"/>
      <c r="D290" s="660"/>
      <c r="E290" s="661"/>
      <c r="F290" s="661"/>
      <c r="R290" s="661"/>
    </row>
    <row r="291" spans="1:18">
      <c r="A291" s="658"/>
      <c r="B291" s="664"/>
      <c r="C291" s="665"/>
      <c r="D291" s="665"/>
      <c r="E291" s="661"/>
      <c r="F291" s="661"/>
      <c r="R291" s="661"/>
    </row>
    <row r="292" spans="1:18">
      <c r="A292" s="658"/>
      <c r="B292" s="659"/>
      <c r="C292" s="660"/>
      <c r="D292" s="660"/>
      <c r="E292" s="661"/>
      <c r="F292" s="661"/>
      <c r="R292" s="661"/>
    </row>
    <row r="293" spans="1:18">
      <c r="A293" s="658"/>
      <c r="B293" s="664"/>
      <c r="C293" s="665"/>
      <c r="D293" s="665"/>
      <c r="E293" s="661"/>
      <c r="F293" s="661"/>
      <c r="R293" s="661"/>
    </row>
    <row r="294" spans="1:18">
      <c r="A294" s="658"/>
      <c r="B294" s="659"/>
      <c r="C294" s="660"/>
      <c r="D294" s="660"/>
      <c r="E294" s="661"/>
      <c r="F294" s="661"/>
      <c r="R294" s="661"/>
    </row>
    <row r="295" spans="1:18">
      <c r="A295" s="658"/>
      <c r="B295" s="664"/>
      <c r="C295" s="665"/>
      <c r="D295" s="665"/>
      <c r="E295" s="661"/>
      <c r="F295" s="661"/>
      <c r="R295" s="661"/>
    </row>
    <row r="296" spans="1:18">
      <c r="A296" s="658"/>
      <c r="B296" s="659"/>
      <c r="C296" s="660"/>
      <c r="D296" s="660"/>
      <c r="E296" s="661"/>
      <c r="F296" s="661"/>
      <c r="R296" s="661"/>
    </row>
    <row r="297" spans="1:18">
      <c r="A297" s="658"/>
      <c r="B297" s="664"/>
      <c r="C297" s="665"/>
      <c r="D297" s="665"/>
      <c r="E297" s="661"/>
      <c r="F297" s="661"/>
      <c r="R297" s="661"/>
    </row>
    <row r="298" spans="1:18">
      <c r="A298" s="658"/>
      <c r="B298" s="659"/>
      <c r="C298" s="660"/>
      <c r="D298" s="660"/>
      <c r="E298" s="661"/>
      <c r="F298" s="661"/>
      <c r="R298" s="661"/>
    </row>
    <row r="299" spans="1:18">
      <c r="A299" s="658"/>
      <c r="B299" s="664"/>
      <c r="C299" s="665"/>
      <c r="D299" s="665"/>
      <c r="E299" s="661"/>
      <c r="F299" s="661"/>
      <c r="R299" s="661"/>
    </row>
    <row r="300" spans="1:18">
      <c r="A300" s="658"/>
      <c r="B300" s="659"/>
      <c r="C300" s="660"/>
      <c r="D300" s="660"/>
      <c r="E300" s="661"/>
      <c r="F300" s="661"/>
      <c r="R300" s="661"/>
    </row>
    <row r="301" spans="1:18">
      <c r="A301" s="658"/>
      <c r="B301" s="664"/>
      <c r="C301" s="665"/>
      <c r="D301" s="665"/>
      <c r="E301" s="661"/>
      <c r="F301" s="661"/>
      <c r="R301" s="661"/>
    </row>
    <row r="302" spans="1:18">
      <c r="A302" s="658"/>
      <c r="B302" s="659"/>
      <c r="C302" s="660"/>
      <c r="D302" s="660"/>
      <c r="E302" s="661"/>
      <c r="F302" s="661"/>
      <c r="R302" s="661"/>
    </row>
    <row r="303" spans="1:18">
      <c r="A303" s="658"/>
      <c r="B303" s="664"/>
      <c r="C303" s="665"/>
      <c r="D303" s="665"/>
      <c r="E303" s="661"/>
      <c r="F303" s="661"/>
      <c r="R303" s="661"/>
    </row>
    <row r="304" spans="1:18">
      <c r="A304" s="658"/>
      <c r="B304" s="659"/>
      <c r="C304" s="660"/>
      <c r="D304" s="660"/>
      <c r="E304" s="661"/>
      <c r="F304" s="661"/>
      <c r="R304" s="661"/>
    </row>
    <row r="305" spans="1:18">
      <c r="A305" s="658"/>
      <c r="B305" s="664"/>
      <c r="C305" s="665"/>
      <c r="D305" s="665"/>
      <c r="E305" s="661"/>
      <c r="F305" s="661"/>
      <c r="R305" s="661"/>
    </row>
    <row r="306" spans="1:18">
      <c r="A306" s="658"/>
      <c r="B306" s="659"/>
      <c r="C306" s="660"/>
      <c r="D306" s="660"/>
      <c r="E306" s="661"/>
      <c r="F306" s="661"/>
      <c r="R306" s="661"/>
    </row>
    <row r="307" spans="1:18">
      <c r="A307" s="658"/>
      <c r="B307" s="659"/>
      <c r="C307" s="660"/>
      <c r="D307" s="660"/>
      <c r="E307" s="661"/>
      <c r="F307" s="661"/>
      <c r="R307" s="661"/>
    </row>
    <row r="308" spans="1:18">
      <c r="A308" s="658"/>
      <c r="B308" s="659"/>
      <c r="C308" s="660"/>
      <c r="D308" s="660"/>
      <c r="E308" s="661"/>
      <c r="F308" s="661"/>
      <c r="R308" s="661"/>
    </row>
    <row r="309" spans="1:18">
      <c r="A309" s="658"/>
      <c r="B309" s="659"/>
      <c r="C309" s="660"/>
      <c r="D309" s="660"/>
      <c r="E309" s="661"/>
      <c r="F309" s="661"/>
      <c r="R309" s="661"/>
    </row>
    <row r="310" spans="1:18">
      <c r="A310" s="658"/>
      <c r="B310" s="659"/>
      <c r="C310" s="660"/>
      <c r="D310" s="660"/>
      <c r="E310" s="661"/>
      <c r="F310" s="661"/>
      <c r="R310" s="661"/>
    </row>
    <row r="311" spans="1:18">
      <c r="A311" s="658"/>
      <c r="B311" s="659"/>
      <c r="C311" s="660"/>
      <c r="D311" s="660"/>
      <c r="E311" s="661"/>
      <c r="F311" s="661"/>
      <c r="R311" s="661"/>
    </row>
    <row r="312" spans="1:18">
      <c r="A312" s="658"/>
      <c r="B312" s="659"/>
      <c r="C312" s="660"/>
      <c r="D312" s="660"/>
      <c r="E312" s="661"/>
      <c r="F312" s="661"/>
      <c r="R312" s="661"/>
    </row>
    <row r="313" spans="1:18">
      <c r="A313" s="658"/>
      <c r="B313" s="659"/>
      <c r="C313" s="660"/>
      <c r="D313" s="660"/>
      <c r="E313" s="661"/>
      <c r="F313" s="661"/>
      <c r="R313" s="661"/>
    </row>
    <row r="314" spans="1:18">
      <c r="A314" s="658"/>
      <c r="B314" s="659"/>
      <c r="C314" s="660"/>
      <c r="D314" s="660"/>
      <c r="E314" s="661"/>
      <c r="F314" s="661"/>
      <c r="R314" s="661"/>
    </row>
    <row r="315" spans="1:18">
      <c r="A315" s="658"/>
      <c r="B315" s="659"/>
      <c r="C315" s="660"/>
      <c r="D315" s="660"/>
      <c r="E315" s="661"/>
      <c r="F315" s="661"/>
      <c r="R315" s="661"/>
    </row>
    <row r="316" spans="1:18">
      <c r="A316" s="658"/>
      <c r="B316" s="659"/>
      <c r="C316" s="660"/>
      <c r="D316" s="660"/>
      <c r="E316" s="661"/>
      <c r="F316" s="661"/>
      <c r="R316" s="661"/>
    </row>
    <row r="317" spans="1:18">
      <c r="A317" s="658"/>
      <c r="B317" s="659"/>
      <c r="C317" s="660"/>
      <c r="D317" s="660"/>
      <c r="E317" s="661"/>
      <c r="F317" s="661"/>
      <c r="R317" s="661"/>
    </row>
    <row r="318" spans="1:18">
      <c r="A318" s="658"/>
      <c r="B318" s="659"/>
      <c r="C318" s="660"/>
      <c r="D318" s="660"/>
      <c r="E318" s="661"/>
      <c r="F318" s="661"/>
      <c r="R318" s="661"/>
    </row>
    <row r="319" spans="1:18">
      <c r="A319" s="658"/>
      <c r="B319" s="664"/>
      <c r="C319" s="665"/>
      <c r="D319" s="665"/>
      <c r="E319" s="661"/>
      <c r="F319" s="661"/>
      <c r="R319" s="661"/>
    </row>
    <row r="320" spans="1:18">
      <c r="A320" s="658"/>
      <c r="B320" s="659"/>
      <c r="C320" s="660"/>
      <c r="D320" s="660"/>
      <c r="E320" s="661"/>
      <c r="F320" s="661"/>
      <c r="R320" s="661"/>
    </row>
    <row r="321" spans="1:18">
      <c r="A321" s="658"/>
      <c r="B321" s="664"/>
      <c r="C321" s="665"/>
      <c r="D321" s="665"/>
      <c r="E321" s="661"/>
      <c r="F321" s="661"/>
      <c r="R321" s="661"/>
    </row>
    <row r="322" spans="1:18">
      <c r="A322" s="658"/>
      <c r="B322" s="659"/>
      <c r="C322" s="660"/>
      <c r="D322" s="660"/>
      <c r="E322" s="661"/>
      <c r="F322" s="661"/>
      <c r="R322" s="661"/>
    </row>
    <row r="323" spans="1:18">
      <c r="A323" s="658"/>
      <c r="B323" s="659"/>
      <c r="C323" s="660"/>
      <c r="D323" s="660"/>
      <c r="E323" s="661"/>
      <c r="F323" s="661"/>
      <c r="R323" s="661"/>
    </row>
    <row r="324" spans="1:18">
      <c r="A324" s="658"/>
      <c r="B324" s="664"/>
      <c r="C324" s="665"/>
      <c r="D324" s="665"/>
      <c r="E324" s="661"/>
      <c r="F324" s="661"/>
      <c r="R324" s="661"/>
    </row>
    <row r="325" spans="1:18">
      <c r="A325" s="658"/>
      <c r="B325" s="659"/>
      <c r="C325" s="660"/>
      <c r="D325" s="660"/>
      <c r="E325" s="661"/>
      <c r="F325" s="661"/>
      <c r="R325" s="661"/>
    </row>
    <row r="326" spans="1:18">
      <c r="A326" s="658"/>
      <c r="B326" s="664"/>
      <c r="C326" s="665"/>
      <c r="D326" s="665"/>
      <c r="E326" s="661"/>
      <c r="F326" s="661"/>
      <c r="R326" s="661"/>
    </row>
    <row r="327" spans="1:18">
      <c r="A327" s="658"/>
      <c r="B327" s="659"/>
      <c r="C327" s="660"/>
      <c r="D327" s="660"/>
      <c r="E327" s="661"/>
      <c r="F327" s="661"/>
      <c r="R327" s="661"/>
    </row>
    <row r="328" spans="1:18">
      <c r="A328" s="658"/>
      <c r="B328" s="664"/>
      <c r="C328" s="665"/>
      <c r="D328" s="665"/>
      <c r="E328" s="661"/>
      <c r="F328" s="661"/>
      <c r="R328" s="661"/>
    </row>
    <row r="329" spans="1:18">
      <c r="A329" s="658"/>
      <c r="B329" s="659"/>
      <c r="C329" s="660"/>
      <c r="D329" s="660"/>
      <c r="E329" s="661"/>
      <c r="F329" s="661"/>
      <c r="R329" s="661"/>
    </row>
    <row r="330" spans="1:18">
      <c r="A330" s="658"/>
      <c r="B330" s="664"/>
      <c r="C330" s="665"/>
      <c r="D330" s="665"/>
      <c r="E330" s="661"/>
      <c r="F330" s="661"/>
      <c r="R330" s="661"/>
    </row>
    <row r="331" spans="1:18">
      <c r="A331" s="658"/>
      <c r="B331" s="659"/>
      <c r="C331" s="660"/>
      <c r="D331" s="660"/>
      <c r="E331" s="661"/>
      <c r="F331" s="661"/>
      <c r="R331" s="661"/>
    </row>
    <row r="332" spans="1:18">
      <c r="A332" s="658"/>
      <c r="B332" s="659"/>
      <c r="C332" s="660"/>
      <c r="D332" s="660"/>
      <c r="E332" s="661"/>
      <c r="F332" s="661"/>
      <c r="R332" s="661"/>
    </row>
    <row r="333" spans="1:18">
      <c r="A333" s="658"/>
      <c r="B333" s="659"/>
      <c r="C333" s="660"/>
      <c r="D333" s="660"/>
      <c r="E333" s="661"/>
      <c r="F333" s="661"/>
      <c r="R333" s="661"/>
    </row>
    <row r="334" spans="1:18">
      <c r="A334" s="658"/>
      <c r="B334" s="659"/>
      <c r="C334" s="660"/>
      <c r="D334" s="660"/>
      <c r="E334" s="661"/>
      <c r="F334" s="661"/>
      <c r="R334" s="661"/>
    </row>
    <row r="335" spans="1:18">
      <c r="A335" s="658"/>
      <c r="B335" s="659"/>
      <c r="C335" s="660"/>
      <c r="D335" s="660"/>
      <c r="E335" s="661"/>
      <c r="F335" s="661"/>
      <c r="R335" s="661"/>
    </row>
    <row r="336" spans="1:18">
      <c r="A336" s="669"/>
      <c r="B336" s="677"/>
      <c r="C336" s="670"/>
      <c r="D336" s="670"/>
      <c r="E336" s="671"/>
      <c r="F336" s="671"/>
      <c r="R336" s="671"/>
    </row>
    <row r="337" spans="1:18">
      <c r="A337" s="678" t="s">
        <v>154</v>
      </c>
      <c r="B337" s="679"/>
      <c r="E337" s="681" t="s">
        <v>261</v>
      </c>
      <c r="F337" s="675">
        <f>SUM(F283:F336)</f>
        <v>0</v>
      </c>
      <c r="R337" s="681" t="s">
        <v>261</v>
      </c>
    </row>
    <row r="338" spans="1:18">
      <c r="A338" s="652" t="s">
        <v>211</v>
      </c>
      <c r="B338" s="653" t="s">
        <v>212</v>
      </c>
      <c r="C338" s="653" t="s">
        <v>213</v>
      </c>
      <c r="D338" s="653" t="s">
        <v>214</v>
      </c>
      <c r="E338" s="654" t="s">
        <v>215</v>
      </c>
      <c r="F338" s="654" t="s">
        <v>164</v>
      </c>
      <c r="R338" s="654" t="s">
        <v>215</v>
      </c>
    </row>
    <row r="339" spans="1:18">
      <c r="A339" s="332"/>
      <c r="B339" s="614"/>
      <c r="C339" s="333"/>
      <c r="D339" s="333"/>
      <c r="E339" s="656" t="s">
        <v>262</v>
      </c>
      <c r="F339" s="656" t="s">
        <v>262</v>
      </c>
      <c r="R339" s="656" t="s">
        <v>262</v>
      </c>
    </row>
    <row r="340" spans="1:18">
      <c r="A340" s="658"/>
      <c r="B340" s="659"/>
      <c r="C340" s="660"/>
      <c r="D340" s="660"/>
      <c r="E340" s="661"/>
      <c r="F340" s="661"/>
      <c r="R340" s="661"/>
    </row>
    <row r="341" spans="1:18">
      <c r="A341" s="658"/>
      <c r="B341" s="659"/>
      <c r="C341" s="660"/>
      <c r="D341" s="660"/>
      <c r="E341" s="661"/>
      <c r="F341" s="661"/>
      <c r="R341" s="661"/>
    </row>
    <row r="342" spans="1:18">
      <c r="A342" s="658"/>
      <c r="B342" s="663"/>
      <c r="C342" s="660"/>
      <c r="D342" s="660"/>
      <c r="E342" s="661"/>
      <c r="F342" s="661"/>
      <c r="R342" s="661"/>
    </row>
    <row r="343" spans="1:18">
      <c r="A343" s="658"/>
      <c r="B343" s="659"/>
      <c r="C343" s="660"/>
      <c r="D343" s="660"/>
      <c r="E343" s="661"/>
      <c r="F343" s="661"/>
      <c r="R343" s="661"/>
    </row>
    <row r="344" spans="1:18">
      <c r="A344" s="658"/>
      <c r="B344" s="664"/>
      <c r="C344" s="665"/>
      <c r="D344" s="665"/>
      <c r="E344" s="661"/>
      <c r="F344" s="661"/>
      <c r="R344" s="661"/>
    </row>
    <row r="345" spans="1:18">
      <c r="A345" s="658"/>
      <c r="B345" s="659"/>
      <c r="C345" s="660"/>
      <c r="D345" s="660"/>
      <c r="E345" s="661"/>
      <c r="F345" s="661"/>
      <c r="R345" s="661"/>
    </row>
    <row r="346" spans="1:18">
      <c r="A346" s="658"/>
      <c r="B346" s="664"/>
      <c r="C346" s="665"/>
      <c r="D346" s="665"/>
      <c r="E346" s="661"/>
      <c r="F346" s="661"/>
      <c r="R346" s="661"/>
    </row>
    <row r="347" spans="1:18">
      <c r="A347" s="658"/>
      <c r="B347" s="659"/>
      <c r="C347" s="660"/>
      <c r="D347" s="660"/>
      <c r="E347" s="661"/>
      <c r="F347" s="661"/>
      <c r="R347" s="661"/>
    </row>
    <row r="348" spans="1:18">
      <c r="A348" s="658"/>
      <c r="B348" s="664"/>
      <c r="C348" s="665"/>
      <c r="D348" s="665"/>
      <c r="E348" s="661"/>
      <c r="F348" s="661"/>
      <c r="R348" s="661"/>
    </row>
    <row r="349" spans="1:18">
      <c r="A349" s="658"/>
      <c r="B349" s="659"/>
      <c r="C349" s="660"/>
      <c r="D349" s="660"/>
      <c r="E349" s="661"/>
      <c r="F349" s="661"/>
      <c r="R349" s="661"/>
    </row>
    <row r="350" spans="1:18">
      <c r="A350" s="658"/>
      <c r="B350" s="664"/>
      <c r="C350" s="665"/>
      <c r="D350" s="665"/>
      <c r="E350" s="661"/>
      <c r="F350" s="661"/>
      <c r="R350" s="661"/>
    </row>
    <row r="351" spans="1:18">
      <c r="A351" s="658"/>
      <c r="B351" s="659"/>
      <c r="C351" s="660"/>
      <c r="D351" s="660"/>
      <c r="E351" s="661"/>
      <c r="F351" s="661"/>
      <c r="R351" s="661"/>
    </row>
    <row r="352" spans="1:18">
      <c r="A352" s="658"/>
      <c r="B352" s="664"/>
      <c r="C352" s="665"/>
      <c r="D352" s="665"/>
      <c r="E352" s="661"/>
      <c r="F352" s="661"/>
      <c r="R352" s="661"/>
    </row>
    <row r="353" spans="1:18">
      <c r="A353" s="658"/>
      <c r="B353" s="659"/>
      <c r="C353" s="660"/>
      <c r="D353" s="660"/>
      <c r="E353" s="661"/>
      <c r="F353" s="661"/>
      <c r="R353" s="661"/>
    </row>
    <row r="354" spans="1:18">
      <c r="A354" s="658"/>
      <c r="B354" s="664"/>
      <c r="C354" s="665"/>
      <c r="D354" s="665"/>
      <c r="E354" s="661"/>
      <c r="F354" s="661"/>
      <c r="R354" s="661"/>
    </row>
    <row r="355" spans="1:18">
      <c r="A355" s="658"/>
      <c r="B355" s="659"/>
      <c r="C355" s="660"/>
      <c r="D355" s="660"/>
      <c r="E355" s="661"/>
      <c r="F355" s="661"/>
      <c r="R355" s="661"/>
    </row>
    <row r="356" spans="1:18">
      <c r="A356" s="658"/>
      <c r="B356" s="664"/>
      <c r="C356" s="665"/>
      <c r="D356" s="665"/>
      <c r="E356" s="661"/>
      <c r="F356" s="661"/>
      <c r="R356" s="661"/>
    </row>
    <row r="357" spans="1:18">
      <c r="A357" s="658"/>
      <c r="B357" s="659"/>
      <c r="C357" s="660"/>
      <c r="D357" s="660"/>
      <c r="E357" s="661"/>
      <c r="F357" s="661"/>
      <c r="R357" s="661"/>
    </row>
    <row r="358" spans="1:18">
      <c r="A358" s="658"/>
      <c r="B358" s="664"/>
      <c r="C358" s="665"/>
      <c r="D358" s="665"/>
      <c r="E358" s="661"/>
      <c r="F358" s="661"/>
      <c r="R358" s="661"/>
    </row>
    <row r="359" spans="1:18">
      <c r="A359" s="658"/>
      <c r="B359" s="659"/>
      <c r="C359" s="660"/>
      <c r="D359" s="660"/>
      <c r="E359" s="661"/>
      <c r="F359" s="661"/>
      <c r="R359" s="661"/>
    </row>
    <row r="360" spans="1:18">
      <c r="A360" s="658"/>
      <c r="B360" s="664"/>
      <c r="C360" s="665"/>
      <c r="D360" s="665"/>
      <c r="E360" s="661"/>
      <c r="F360" s="661"/>
      <c r="R360" s="661"/>
    </row>
    <row r="361" spans="1:18">
      <c r="A361" s="658"/>
      <c r="B361" s="659"/>
      <c r="C361" s="660"/>
      <c r="D361" s="660"/>
      <c r="E361" s="661"/>
      <c r="F361" s="661"/>
      <c r="R361" s="661"/>
    </row>
    <row r="362" spans="1:18">
      <c r="A362" s="658"/>
      <c r="B362" s="664"/>
      <c r="C362" s="665"/>
      <c r="D362" s="665"/>
      <c r="E362" s="661"/>
      <c r="F362" s="661"/>
      <c r="R362" s="661"/>
    </row>
    <row r="363" spans="1:18">
      <c r="A363" s="658"/>
      <c r="B363" s="659"/>
      <c r="C363" s="660"/>
      <c r="D363" s="660"/>
      <c r="E363" s="661"/>
      <c r="F363" s="661"/>
      <c r="R363" s="661"/>
    </row>
    <row r="364" spans="1:18">
      <c r="A364" s="658"/>
      <c r="B364" s="664"/>
      <c r="C364" s="665"/>
      <c r="D364" s="665"/>
      <c r="E364" s="661"/>
      <c r="F364" s="661"/>
      <c r="R364" s="661"/>
    </row>
    <row r="365" spans="1:18">
      <c r="A365" s="658"/>
      <c r="B365" s="659"/>
      <c r="C365" s="660"/>
      <c r="D365" s="660"/>
      <c r="E365" s="661"/>
      <c r="F365" s="661"/>
      <c r="R365" s="661"/>
    </row>
    <row r="366" spans="1:18">
      <c r="A366" s="658"/>
      <c r="B366" s="664"/>
      <c r="C366" s="665"/>
      <c r="D366" s="665"/>
      <c r="E366" s="661"/>
      <c r="F366" s="661"/>
      <c r="R366" s="661"/>
    </row>
    <row r="367" spans="1:18">
      <c r="A367" s="658"/>
      <c r="B367" s="664"/>
      <c r="C367" s="665"/>
      <c r="D367" s="665"/>
      <c r="E367" s="661"/>
      <c r="F367" s="661"/>
      <c r="R367" s="661"/>
    </row>
    <row r="368" spans="1:18">
      <c r="A368" s="658"/>
      <c r="B368" s="664"/>
      <c r="C368" s="665"/>
      <c r="D368" s="665"/>
      <c r="E368" s="661"/>
      <c r="F368" s="661"/>
      <c r="R368" s="661"/>
    </row>
    <row r="369" spans="1:18">
      <c r="A369" s="658"/>
      <c r="B369" s="664"/>
      <c r="C369" s="665"/>
      <c r="D369" s="665"/>
      <c r="E369" s="661"/>
      <c r="F369" s="661"/>
      <c r="R369" s="661"/>
    </row>
    <row r="370" spans="1:18">
      <c r="A370" s="658"/>
      <c r="B370" s="664"/>
      <c r="C370" s="665"/>
      <c r="D370" s="665"/>
      <c r="E370" s="661"/>
      <c r="F370" s="661"/>
      <c r="R370" s="661"/>
    </row>
    <row r="371" spans="1:18">
      <c r="A371" s="658"/>
      <c r="B371" s="664"/>
      <c r="C371" s="665"/>
      <c r="D371" s="665"/>
      <c r="E371" s="661"/>
      <c r="F371" s="661"/>
      <c r="R371" s="661"/>
    </row>
    <row r="372" spans="1:18">
      <c r="A372" s="658"/>
      <c r="B372" s="664"/>
      <c r="C372" s="665"/>
      <c r="D372" s="665"/>
      <c r="E372" s="661"/>
      <c r="F372" s="661"/>
      <c r="R372" s="661"/>
    </row>
    <row r="373" spans="1:18">
      <c r="A373" s="658"/>
      <c r="B373" s="664"/>
      <c r="C373" s="665"/>
      <c r="D373" s="665"/>
      <c r="E373" s="661"/>
      <c r="F373" s="661"/>
      <c r="R373" s="661"/>
    </row>
    <row r="374" spans="1:18">
      <c r="A374" s="658"/>
      <c r="B374" s="664"/>
      <c r="C374" s="665"/>
      <c r="D374" s="665"/>
      <c r="E374" s="661"/>
      <c r="F374" s="661"/>
      <c r="R374" s="661"/>
    </row>
    <row r="375" spans="1:18">
      <c r="A375" s="658"/>
      <c r="B375" s="664"/>
      <c r="C375" s="665"/>
      <c r="D375" s="665"/>
      <c r="E375" s="661"/>
      <c r="F375" s="661"/>
      <c r="R375" s="661"/>
    </row>
    <row r="376" spans="1:18">
      <c r="A376" s="658"/>
      <c r="B376" s="664"/>
      <c r="C376" s="665"/>
      <c r="D376" s="665"/>
      <c r="E376" s="661"/>
      <c r="F376" s="661"/>
      <c r="R376" s="661"/>
    </row>
    <row r="377" spans="1:18">
      <c r="A377" s="658"/>
      <c r="B377" s="664"/>
      <c r="C377" s="665"/>
      <c r="D377" s="665"/>
      <c r="E377" s="661"/>
      <c r="F377" s="661"/>
      <c r="R377" s="661"/>
    </row>
    <row r="378" spans="1:18">
      <c r="A378" s="658"/>
      <c r="B378" s="664"/>
      <c r="C378" s="665"/>
      <c r="D378" s="665"/>
      <c r="E378" s="661"/>
      <c r="F378" s="661"/>
      <c r="R378" s="661"/>
    </row>
    <row r="379" spans="1:18">
      <c r="A379" s="658"/>
      <c r="B379" s="664"/>
      <c r="C379" s="665"/>
      <c r="D379" s="665"/>
      <c r="E379" s="661"/>
      <c r="F379" s="661"/>
      <c r="R379" s="661"/>
    </row>
    <row r="380" spans="1:18">
      <c r="A380" s="658"/>
      <c r="B380" s="659"/>
      <c r="C380" s="660"/>
      <c r="D380" s="660"/>
      <c r="E380" s="661"/>
      <c r="F380" s="661"/>
      <c r="R380" s="661"/>
    </row>
    <row r="381" spans="1:18">
      <c r="A381" s="658"/>
      <c r="B381" s="664"/>
      <c r="C381" s="665"/>
      <c r="D381" s="665"/>
      <c r="E381" s="661"/>
      <c r="F381" s="661"/>
      <c r="R381" s="661"/>
    </row>
    <row r="382" spans="1:18">
      <c r="A382" s="658"/>
      <c r="B382" s="659"/>
      <c r="C382" s="660"/>
      <c r="D382" s="660"/>
      <c r="E382" s="661"/>
      <c r="F382" s="661"/>
      <c r="R382" s="661"/>
    </row>
    <row r="383" spans="1:18">
      <c r="A383" s="658"/>
      <c r="B383" s="664"/>
      <c r="C383" s="665"/>
      <c r="D383" s="665"/>
      <c r="E383" s="661"/>
      <c r="F383" s="661"/>
      <c r="R383" s="661"/>
    </row>
    <row r="384" spans="1:18">
      <c r="A384" s="658"/>
      <c r="B384" s="659"/>
      <c r="C384" s="660"/>
      <c r="D384" s="660"/>
      <c r="E384" s="661"/>
      <c r="F384" s="661"/>
      <c r="R384" s="661"/>
    </row>
    <row r="385" spans="1:18">
      <c r="A385" s="658"/>
      <c r="B385" s="664"/>
      <c r="C385" s="665"/>
      <c r="D385" s="665"/>
      <c r="E385" s="661"/>
      <c r="F385" s="661"/>
      <c r="R385" s="661"/>
    </row>
    <row r="386" spans="1:18">
      <c r="A386" s="658"/>
      <c r="B386" s="659"/>
      <c r="C386" s="660"/>
      <c r="D386" s="660"/>
      <c r="E386" s="661"/>
      <c r="F386" s="661"/>
      <c r="R386" s="661"/>
    </row>
    <row r="387" spans="1:18">
      <c r="A387" s="658"/>
      <c r="B387" s="664"/>
      <c r="C387" s="665"/>
      <c r="D387" s="665"/>
      <c r="E387" s="661"/>
      <c r="F387" s="661"/>
      <c r="R387" s="661"/>
    </row>
    <row r="388" spans="1:18">
      <c r="A388" s="658"/>
      <c r="B388" s="659"/>
      <c r="C388" s="660"/>
      <c r="D388" s="660"/>
      <c r="E388" s="661"/>
      <c r="F388" s="661"/>
      <c r="R388" s="661"/>
    </row>
    <row r="389" spans="1:18">
      <c r="A389" s="658"/>
      <c r="B389" s="659"/>
      <c r="C389" s="660"/>
      <c r="D389" s="660"/>
      <c r="E389" s="661"/>
      <c r="F389" s="661"/>
      <c r="R389" s="661"/>
    </row>
    <row r="390" spans="1:18">
      <c r="A390" s="658"/>
      <c r="B390" s="659"/>
      <c r="C390" s="660"/>
      <c r="D390" s="660"/>
      <c r="E390" s="661"/>
      <c r="F390" s="661"/>
      <c r="R390" s="661"/>
    </row>
    <row r="391" spans="1:18">
      <c r="A391" s="658"/>
      <c r="B391" s="659"/>
      <c r="C391" s="660"/>
      <c r="D391" s="660"/>
      <c r="E391" s="661"/>
      <c r="F391" s="661"/>
      <c r="R391" s="661"/>
    </row>
    <row r="392" spans="1:18">
      <c r="A392" s="658"/>
      <c r="B392" s="659"/>
      <c r="C392" s="660"/>
      <c r="D392" s="660"/>
      <c r="E392" s="661"/>
      <c r="F392" s="661"/>
      <c r="R392" s="661"/>
    </row>
    <row r="393" spans="1:18">
      <c r="A393" s="669"/>
      <c r="B393" s="677"/>
      <c r="C393" s="670"/>
      <c r="D393" s="670"/>
      <c r="E393" s="671"/>
      <c r="F393" s="671"/>
      <c r="R393" s="671"/>
    </row>
    <row r="394" spans="1:18">
      <c r="A394" s="678" t="s">
        <v>154</v>
      </c>
      <c r="B394" s="679"/>
      <c r="E394" s="681" t="s">
        <v>261</v>
      </c>
      <c r="F394" s="675">
        <f>SUM(F340:F393)</f>
        <v>0</v>
      </c>
      <c r="R394" s="681" t="s">
        <v>261</v>
      </c>
    </row>
    <row r="395" spans="1:18">
      <c r="A395" s="652" t="s">
        <v>211</v>
      </c>
      <c r="B395" s="653" t="s">
        <v>212</v>
      </c>
      <c r="C395" s="653" t="s">
        <v>213</v>
      </c>
      <c r="D395" s="653" t="s">
        <v>214</v>
      </c>
      <c r="E395" s="654" t="s">
        <v>215</v>
      </c>
      <c r="F395" s="654" t="s">
        <v>164</v>
      </c>
      <c r="R395" s="654" t="s">
        <v>215</v>
      </c>
    </row>
    <row r="396" spans="1:18">
      <c r="A396" s="332"/>
      <c r="B396" s="614"/>
      <c r="C396" s="333"/>
      <c r="D396" s="333"/>
      <c r="E396" s="656" t="s">
        <v>262</v>
      </c>
      <c r="F396" s="656" t="s">
        <v>262</v>
      </c>
      <c r="R396" s="656" t="s">
        <v>262</v>
      </c>
    </row>
    <row r="397" spans="1:18">
      <c r="A397" s="658"/>
      <c r="B397" s="659"/>
      <c r="C397" s="660"/>
      <c r="D397" s="660"/>
      <c r="E397" s="661"/>
      <c r="F397" s="661"/>
      <c r="R397" s="661"/>
    </row>
    <row r="398" spans="1:18">
      <c r="A398" s="658"/>
      <c r="B398" s="659"/>
      <c r="C398" s="660"/>
      <c r="D398" s="660"/>
      <c r="E398" s="661"/>
      <c r="F398" s="661"/>
      <c r="R398" s="661"/>
    </row>
    <row r="399" spans="1:18">
      <c r="A399" s="658"/>
      <c r="B399" s="663"/>
      <c r="C399" s="660"/>
      <c r="D399" s="660"/>
      <c r="E399" s="661"/>
      <c r="F399" s="661"/>
      <c r="R399" s="661"/>
    </row>
    <row r="400" spans="1:18">
      <c r="A400" s="658"/>
      <c r="B400" s="659"/>
      <c r="C400" s="660"/>
      <c r="D400" s="660"/>
      <c r="E400" s="661"/>
      <c r="F400" s="661"/>
      <c r="R400" s="661"/>
    </row>
    <row r="401" spans="1:18">
      <c r="A401" s="658"/>
      <c r="B401" s="664"/>
      <c r="C401" s="665"/>
      <c r="D401" s="665"/>
      <c r="E401" s="661"/>
      <c r="F401" s="661"/>
      <c r="R401" s="661"/>
    </row>
    <row r="402" spans="1:18">
      <c r="A402" s="658"/>
      <c r="B402" s="659"/>
      <c r="C402" s="660"/>
      <c r="D402" s="660"/>
      <c r="E402" s="661"/>
      <c r="F402" s="661"/>
      <c r="R402" s="661"/>
    </row>
    <row r="403" spans="1:18">
      <c r="A403" s="658"/>
      <c r="B403" s="664"/>
      <c r="C403" s="665"/>
      <c r="D403" s="665"/>
      <c r="E403" s="661"/>
      <c r="F403" s="661"/>
      <c r="R403" s="661"/>
    </row>
    <row r="404" spans="1:18">
      <c r="A404" s="658"/>
      <c r="B404" s="659"/>
      <c r="C404" s="660"/>
      <c r="D404" s="660"/>
      <c r="E404" s="661"/>
      <c r="F404" s="661"/>
      <c r="R404" s="661"/>
    </row>
    <row r="405" spans="1:18">
      <c r="A405" s="658"/>
      <c r="B405" s="664"/>
      <c r="C405" s="665"/>
      <c r="D405" s="665"/>
      <c r="E405" s="661"/>
      <c r="F405" s="661"/>
      <c r="R405" s="661"/>
    </row>
    <row r="406" spans="1:18">
      <c r="A406" s="658"/>
      <c r="B406" s="659"/>
      <c r="C406" s="660"/>
      <c r="D406" s="660"/>
      <c r="E406" s="661"/>
      <c r="F406" s="661"/>
      <c r="R406" s="661"/>
    </row>
    <row r="407" spans="1:18">
      <c r="A407" s="658"/>
      <c r="B407" s="664"/>
      <c r="C407" s="665"/>
      <c r="D407" s="665"/>
      <c r="E407" s="661"/>
      <c r="F407" s="661"/>
      <c r="R407" s="661"/>
    </row>
    <row r="408" spans="1:18">
      <c r="A408" s="658"/>
      <c r="B408" s="659"/>
      <c r="C408" s="660"/>
      <c r="D408" s="660"/>
      <c r="E408" s="661"/>
      <c r="F408" s="661"/>
      <c r="R408" s="661"/>
    </row>
    <row r="409" spans="1:18">
      <c r="A409" s="658"/>
      <c r="B409" s="664"/>
      <c r="C409" s="665"/>
      <c r="D409" s="665"/>
      <c r="E409" s="661"/>
      <c r="F409" s="661"/>
      <c r="R409" s="661"/>
    </row>
    <row r="410" spans="1:18">
      <c r="A410" s="658"/>
      <c r="B410" s="659"/>
      <c r="C410" s="660"/>
      <c r="D410" s="660"/>
      <c r="E410" s="661"/>
      <c r="F410" s="661"/>
      <c r="R410" s="661"/>
    </row>
    <row r="411" spans="1:18">
      <c r="A411" s="658"/>
      <c r="B411" s="664"/>
      <c r="C411" s="665"/>
      <c r="D411" s="665"/>
      <c r="E411" s="661"/>
      <c r="F411" s="661"/>
      <c r="R411" s="661"/>
    </row>
    <row r="412" spans="1:18">
      <c r="A412" s="658"/>
      <c r="B412" s="659"/>
      <c r="C412" s="660"/>
      <c r="D412" s="660"/>
      <c r="E412" s="661"/>
      <c r="F412" s="661"/>
      <c r="R412" s="661"/>
    </row>
    <row r="413" spans="1:18">
      <c r="A413" s="658"/>
      <c r="B413" s="664"/>
      <c r="C413" s="665"/>
      <c r="D413" s="665"/>
      <c r="E413" s="661"/>
      <c r="F413" s="661"/>
      <c r="R413" s="661"/>
    </row>
    <row r="414" spans="1:18">
      <c r="A414" s="658"/>
      <c r="B414" s="659"/>
      <c r="C414" s="660"/>
      <c r="D414" s="660"/>
      <c r="E414" s="661"/>
      <c r="F414" s="661"/>
      <c r="R414" s="661"/>
    </row>
    <row r="415" spans="1:18">
      <c r="A415" s="658"/>
      <c r="B415" s="664"/>
      <c r="C415" s="665"/>
      <c r="D415" s="665"/>
      <c r="E415" s="661"/>
      <c r="F415" s="661"/>
      <c r="R415" s="661"/>
    </row>
    <row r="416" spans="1:18">
      <c r="A416" s="658"/>
      <c r="B416" s="659"/>
      <c r="C416" s="660"/>
      <c r="D416" s="660"/>
      <c r="E416" s="661"/>
      <c r="F416" s="661"/>
      <c r="R416" s="661"/>
    </row>
    <row r="417" spans="1:18">
      <c r="A417" s="658"/>
      <c r="B417" s="664"/>
      <c r="C417" s="665"/>
      <c r="D417" s="665"/>
      <c r="E417" s="661"/>
      <c r="F417" s="661"/>
      <c r="R417" s="661"/>
    </row>
    <row r="418" spans="1:18">
      <c r="A418" s="658"/>
      <c r="B418" s="659"/>
      <c r="C418" s="660"/>
      <c r="D418" s="660"/>
      <c r="E418" s="661"/>
      <c r="F418" s="661"/>
      <c r="R418" s="661"/>
    </row>
    <row r="419" spans="1:18">
      <c r="A419" s="658"/>
      <c r="B419" s="659"/>
      <c r="C419" s="660"/>
      <c r="D419" s="660"/>
      <c r="E419" s="661"/>
      <c r="F419" s="661"/>
      <c r="R419" s="661"/>
    </row>
    <row r="420" spans="1:18">
      <c r="A420" s="658"/>
      <c r="B420" s="659"/>
      <c r="C420" s="660"/>
      <c r="D420" s="660"/>
      <c r="E420" s="661"/>
      <c r="F420" s="661"/>
      <c r="R420" s="661"/>
    </row>
    <row r="421" spans="1:18">
      <c r="A421" s="658"/>
      <c r="B421" s="659"/>
      <c r="C421" s="660"/>
      <c r="D421" s="660"/>
      <c r="E421" s="661"/>
      <c r="F421" s="661"/>
      <c r="R421" s="661"/>
    </row>
    <row r="422" spans="1:18">
      <c r="A422" s="658"/>
      <c r="B422" s="659"/>
      <c r="C422" s="660"/>
      <c r="D422" s="660"/>
      <c r="E422" s="661"/>
      <c r="F422" s="661"/>
      <c r="R422" s="661"/>
    </row>
    <row r="423" spans="1:18">
      <c r="A423" s="658"/>
      <c r="B423" s="659"/>
      <c r="C423" s="660"/>
      <c r="D423" s="660"/>
      <c r="E423" s="661"/>
      <c r="F423" s="661"/>
      <c r="R423" s="661"/>
    </row>
    <row r="424" spans="1:18">
      <c r="A424" s="658"/>
      <c r="B424" s="659"/>
      <c r="C424" s="660"/>
      <c r="D424" s="660"/>
      <c r="E424" s="661"/>
      <c r="F424" s="661"/>
      <c r="R424" s="661"/>
    </row>
    <row r="425" spans="1:18">
      <c r="A425" s="658"/>
      <c r="B425" s="659"/>
      <c r="C425" s="660"/>
      <c r="D425" s="660"/>
      <c r="E425" s="661"/>
      <c r="F425" s="661"/>
      <c r="R425" s="661"/>
    </row>
    <row r="426" spans="1:18">
      <c r="A426" s="658"/>
      <c r="B426" s="659"/>
      <c r="C426" s="660"/>
      <c r="D426" s="660"/>
      <c r="E426" s="661"/>
      <c r="F426" s="661"/>
      <c r="R426" s="661"/>
    </row>
    <row r="427" spans="1:18">
      <c r="A427" s="658"/>
      <c r="B427" s="659"/>
      <c r="C427" s="660"/>
      <c r="D427" s="660"/>
      <c r="E427" s="661"/>
      <c r="F427" s="661"/>
      <c r="R427" s="661"/>
    </row>
    <row r="428" spans="1:18">
      <c r="A428" s="658"/>
      <c r="B428" s="659"/>
      <c r="C428" s="660"/>
      <c r="D428" s="660"/>
      <c r="E428" s="661"/>
      <c r="F428" s="661"/>
      <c r="R428" s="661"/>
    </row>
    <row r="429" spans="1:18">
      <c r="A429" s="658"/>
      <c r="B429" s="659"/>
      <c r="C429" s="660"/>
      <c r="D429" s="660"/>
      <c r="E429" s="661"/>
      <c r="F429" s="661"/>
      <c r="R429" s="661"/>
    </row>
    <row r="430" spans="1:18">
      <c r="A430" s="658"/>
      <c r="B430" s="659"/>
      <c r="C430" s="660"/>
      <c r="D430" s="660"/>
      <c r="E430" s="661"/>
      <c r="F430" s="661"/>
      <c r="R430" s="661"/>
    </row>
    <row r="431" spans="1:18">
      <c r="A431" s="658"/>
      <c r="B431" s="659"/>
      <c r="C431" s="660"/>
      <c r="D431" s="660"/>
      <c r="E431" s="661"/>
      <c r="F431" s="661"/>
      <c r="R431" s="661"/>
    </row>
    <row r="432" spans="1:18">
      <c r="A432" s="658"/>
      <c r="B432" s="659"/>
      <c r="C432" s="660"/>
      <c r="D432" s="660"/>
      <c r="E432" s="661"/>
      <c r="F432" s="661"/>
      <c r="R432" s="661"/>
    </row>
    <row r="433" spans="1:18">
      <c r="A433" s="658"/>
      <c r="B433" s="664"/>
      <c r="C433" s="665"/>
      <c r="D433" s="665"/>
      <c r="E433" s="661"/>
      <c r="F433" s="661"/>
      <c r="R433" s="661"/>
    </row>
    <row r="434" spans="1:18">
      <c r="A434" s="658"/>
      <c r="B434" s="659"/>
      <c r="C434" s="660"/>
      <c r="D434" s="660"/>
      <c r="E434" s="661"/>
      <c r="F434" s="661"/>
      <c r="R434" s="661"/>
    </row>
    <row r="435" spans="1:18">
      <c r="A435" s="658"/>
      <c r="B435" s="664"/>
      <c r="C435" s="665"/>
      <c r="D435" s="665"/>
      <c r="E435" s="661"/>
      <c r="F435" s="661"/>
      <c r="R435" s="661"/>
    </row>
    <row r="436" spans="1:18">
      <c r="A436" s="658"/>
      <c r="B436" s="664"/>
      <c r="C436" s="665"/>
      <c r="D436" s="665"/>
      <c r="E436" s="661"/>
      <c r="F436" s="661"/>
      <c r="R436" s="661"/>
    </row>
    <row r="437" spans="1:18">
      <c r="A437" s="658"/>
      <c r="B437" s="659"/>
      <c r="C437" s="660"/>
      <c r="D437" s="660"/>
      <c r="E437" s="661"/>
      <c r="F437" s="661"/>
      <c r="R437" s="661"/>
    </row>
    <row r="438" spans="1:18">
      <c r="A438" s="658"/>
      <c r="B438" s="664"/>
      <c r="C438" s="665"/>
      <c r="D438" s="665"/>
      <c r="E438" s="661"/>
      <c r="F438" s="661"/>
      <c r="R438" s="661"/>
    </row>
    <row r="439" spans="1:18">
      <c r="A439" s="658"/>
      <c r="B439" s="659"/>
      <c r="C439" s="660"/>
      <c r="D439" s="660"/>
      <c r="E439" s="661"/>
      <c r="F439" s="661"/>
      <c r="R439" s="661"/>
    </row>
    <row r="440" spans="1:18">
      <c r="A440" s="658"/>
      <c r="B440" s="664"/>
      <c r="C440" s="665"/>
      <c r="D440" s="665"/>
      <c r="E440" s="661"/>
      <c r="F440" s="661"/>
      <c r="R440" s="661"/>
    </row>
    <row r="441" spans="1:18">
      <c r="A441" s="658"/>
      <c r="B441" s="659"/>
      <c r="C441" s="660"/>
      <c r="D441" s="660"/>
      <c r="E441" s="661"/>
      <c r="F441" s="661"/>
      <c r="R441" s="661"/>
    </row>
    <row r="442" spans="1:18">
      <c r="A442" s="658"/>
      <c r="B442" s="664"/>
      <c r="C442" s="665"/>
      <c r="D442" s="665"/>
      <c r="E442" s="661"/>
      <c r="F442" s="661"/>
      <c r="R442" s="661"/>
    </row>
    <row r="443" spans="1:18">
      <c r="A443" s="658"/>
      <c r="B443" s="659"/>
      <c r="C443" s="660"/>
      <c r="D443" s="660"/>
      <c r="E443" s="661"/>
      <c r="F443" s="661"/>
      <c r="R443" s="661"/>
    </row>
    <row r="444" spans="1:18">
      <c r="A444" s="658"/>
      <c r="B444" s="664"/>
      <c r="C444" s="665"/>
      <c r="D444" s="665"/>
      <c r="E444" s="661"/>
      <c r="F444" s="661"/>
      <c r="R444" s="661"/>
    </row>
    <row r="445" spans="1:18">
      <c r="A445" s="658"/>
      <c r="B445" s="659"/>
      <c r="C445" s="660"/>
      <c r="D445" s="660"/>
      <c r="E445" s="661"/>
      <c r="F445" s="661"/>
      <c r="R445" s="661"/>
    </row>
    <row r="446" spans="1:18">
      <c r="A446" s="658"/>
      <c r="B446" s="659"/>
      <c r="C446" s="660"/>
      <c r="D446" s="660"/>
      <c r="E446" s="661"/>
      <c r="F446" s="661"/>
      <c r="R446" s="661"/>
    </row>
    <row r="447" spans="1:18">
      <c r="A447" s="658"/>
      <c r="B447" s="659"/>
      <c r="C447" s="660"/>
      <c r="D447" s="660"/>
      <c r="E447" s="661"/>
      <c r="F447" s="661"/>
      <c r="R447" s="661"/>
    </row>
    <row r="448" spans="1:18">
      <c r="A448" s="658"/>
      <c r="B448" s="659"/>
      <c r="C448" s="660"/>
      <c r="D448" s="660"/>
      <c r="E448" s="661"/>
      <c r="F448" s="661"/>
      <c r="R448" s="661"/>
    </row>
    <row r="449" spans="1:18">
      <c r="A449" s="658"/>
      <c r="B449" s="659"/>
      <c r="C449" s="660"/>
      <c r="D449" s="660"/>
      <c r="E449" s="661"/>
      <c r="F449" s="661"/>
      <c r="R449" s="661"/>
    </row>
    <row r="450" spans="1:18">
      <c r="A450" s="669"/>
      <c r="B450" s="677"/>
      <c r="C450" s="670"/>
      <c r="D450" s="670"/>
      <c r="E450" s="671"/>
      <c r="F450" s="671"/>
      <c r="R450" s="671"/>
    </row>
    <row r="451" spans="1:18">
      <c r="A451" s="678" t="s">
        <v>154</v>
      </c>
      <c r="B451" s="679"/>
      <c r="E451" s="681" t="s">
        <v>261</v>
      </c>
      <c r="F451" s="675">
        <f>SUM(F397:F450)</f>
        <v>0</v>
      </c>
      <c r="R451" s="681" t="s">
        <v>261</v>
      </c>
    </row>
    <row r="452" spans="1:18">
      <c r="A452" s="652" t="s">
        <v>211</v>
      </c>
      <c r="B452" s="653" t="s">
        <v>212</v>
      </c>
      <c r="C452" s="653" t="s">
        <v>213</v>
      </c>
      <c r="D452" s="653" t="s">
        <v>214</v>
      </c>
      <c r="E452" s="654" t="s">
        <v>215</v>
      </c>
      <c r="F452" s="654" t="s">
        <v>164</v>
      </c>
      <c r="R452" s="654" t="s">
        <v>215</v>
      </c>
    </row>
    <row r="453" spans="1:18">
      <c r="A453" s="332"/>
      <c r="B453" s="614"/>
      <c r="C453" s="333"/>
      <c r="D453" s="333"/>
      <c r="E453" s="656" t="s">
        <v>262</v>
      </c>
      <c r="F453" s="656" t="s">
        <v>262</v>
      </c>
      <c r="R453" s="656" t="s">
        <v>262</v>
      </c>
    </row>
    <row r="454" spans="1:18">
      <c r="A454" s="658"/>
      <c r="B454" s="659"/>
      <c r="C454" s="660"/>
      <c r="D454" s="660"/>
      <c r="E454" s="661"/>
      <c r="F454" s="661"/>
      <c r="R454" s="661"/>
    </row>
    <row r="455" spans="1:18">
      <c r="A455" s="658"/>
      <c r="B455" s="659"/>
      <c r="C455" s="660"/>
      <c r="D455" s="660"/>
      <c r="E455" s="661"/>
      <c r="F455" s="661"/>
      <c r="R455" s="661"/>
    </row>
    <row r="456" spans="1:18">
      <c r="A456" s="658"/>
      <c r="B456" s="663"/>
      <c r="C456" s="660"/>
      <c r="D456" s="660"/>
      <c r="E456" s="661"/>
      <c r="F456" s="661"/>
      <c r="R456" s="661"/>
    </row>
    <row r="457" spans="1:18">
      <c r="A457" s="658"/>
      <c r="B457" s="659"/>
      <c r="C457" s="660"/>
      <c r="D457" s="660"/>
      <c r="E457" s="661"/>
      <c r="F457" s="661"/>
      <c r="R457" s="661"/>
    </row>
    <row r="458" spans="1:18">
      <c r="A458" s="658"/>
      <c r="B458" s="664"/>
      <c r="C458" s="665"/>
      <c r="D458" s="665"/>
      <c r="E458" s="661"/>
      <c r="F458" s="661"/>
      <c r="R458" s="661"/>
    </row>
    <row r="459" spans="1:18">
      <c r="A459" s="658"/>
      <c r="B459" s="659"/>
      <c r="C459" s="660"/>
      <c r="D459" s="660"/>
      <c r="E459" s="661"/>
      <c r="F459" s="661"/>
      <c r="R459" s="661"/>
    </row>
    <row r="460" spans="1:18">
      <c r="A460" s="658"/>
      <c r="B460" s="664"/>
      <c r="C460" s="665"/>
      <c r="D460" s="665"/>
      <c r="E460" s="661"/>
      <c r="F460" s="661"/>
      <c r="R460" s="661"/>
    </row>
    <row r="461" spans="1:18">
      <c r="A461" s="658"/>
      <c r="B461" s="659"/>
      <c r="C461" s="660"/>
      <c r="D461" s="660"/>
      <c r="E461" s="661"/>
      <c r="F461" s="661"/>
      <c r="R461" s="661"/>
    </row>
    <row r="462" spans="1:18">
      <c r="A462" s="658"/>
      <c r="B462" s="664"/>
      <c r="C462" s="665"/>
      <c r="D462" s="665"/>
      <c r="E462" s="661"/>
      <c r="F462" s="661"/>
      <c r="R462" s="661"/>
    </row>
    <row r="463" spans="1:18">
      <c r="A463" s="658"/>
      <c r="B463" s="659"/>
      <c r="C463" s="660"/>
      <c r="D463" s="660"/>
      <c r="E463" s="661"/>
      <c r="F463" s="661"/>
      <c r="R463" s="661"/>
    </row>
    <row r="464" spans="1:18">
      <c r="A464" s="658"/>
      <c r="B464" s="664"/>
      <c r="C464" s="665"/>
      <c r="D464" s="665"/>
      <c r="E464" s="661"/>
      <c r="F464" s="661"/>
      <c r="R464" s="661"/>
    </row>
    <row r="465" spans="1:18">
      <c r="A465" s="658"/>
      <c r="B465" s="659"/>
      <c r="C465" s="660"/>
      <c r="D465" s="660"/>
      <c r="E465" s="661"/>
      <c r="F465" s="661"/>
      <c r="R465" s="661"/>
    </row>
    <row r="466" spans="1:18">
      <c r="A466" s="658"/>
      <c r="B466" s="664"/>
      <c r="C466" s="665"/>
      <c r="D466" s="665"/>
      <c r="E466" s="661"/>
      <c r="F466" s="661"/>
      <c r="R466" s="661"/>
    </row>
    <row r="467" spans="1:18">
      <c r="A467" s="658"/>
      <c r="B467" s="659"/>
      <c r="C467" s="660"/>
      <c r="D467" s="660"/>
      <c r="E467" s="661"/>
      <c r="F467" s="661"/>
      <c r="R467" s="661"/>
    </row>
    <row r="468" spans="1:18">
      <c r="A468" s="658"/>
      <c r="B468" s="664"/>
      <c r="C468" s="665"/>
      <c r="D468" s="665"/>
      <c r="E468" s="661"/>
      <c r="F468" s="661"/>
      <c r="R468" s="661"/>
    </row>
    <row r="469" spans="1:18">
      <c r="A469" s="658"/>
      <c r="B469" s="659"/>
      <c r="C469" s="660"/>
      <c r="D469" s="660"/>
      <c r="E469" s="661"/>
      <c r="F469" s="661"/>
      <c r="R469" s="661"/>
    </row>
    <row r="470" spans="1:18">
      <c r="A470" s="658"/>
      <c r="B470" s="664"/>
      <c r="C470" s="665"/>
      <c r="D470" s="665"/>
      <c r="E470" s="661"/>
      <c r="F470" s="661"/>
      <c r="R470" s="661"/>
    </row>
    <row r="471" spans="1:18">
      <c r="A471" s="658"/>
      <c r="B471" s="659"/>
      <c r="C471" s="660"/>
      <c r="D471" s="660"/>
      <c r="E471" s="661"/>
      <c r="F471" s="661"/>
      <c r="R471" s="661"/>
    </row>
    <row r="472" spans="1:18">
      <c r="A472" s="658"/>
      <c r="B472" s="664"/>
      <c r="C472" s="665"/>
      <c r="D472" s="665"/>
      <c r="E472" s="661"/>
      <c r="F472" s="661"/>
      <c r="R472" s="661"/>
    </row>
    <row r="473" spans="1:18">
      <c r="A473" s="658"/>
      <c r="B473" s="659"/>
      <c r="C473" s="660"/>
      <c r="D473" s="660"/>
      <c r="E473" s="661"/>
      <c r="F473" s="661"/>
      <c r="R473" s="661"/>
    </row>
    <row r="474" spans="1:18">
      <c r="A474" s="658"/>
      <c r="B474" s="664"/>
      <c r="C474" s="665"/>
      <c r="D474" s="665"/>
      <c r="E474" s="661"/>
      <c r="F474" s="661"/>
      <c r="R474" s="661"/>
    </row>
    <row r="475" spans="1:18">
      <c r="A475" s="658"/>
      <c r="B475" s="659"/>
      <c r="C475" s="660"/>
      <c r="D475" s="660"/>
      <c r="E475" s="661"/>
      <c r="F475" s="661"/>
      <c r="R475" s="661"/>
    </row>
    <row r="476" spans="1:18">
      <c r="A476" s="658"/>
      <c r="B476" s="664"/>
      <c r="C476" s="665"/>
      <c r="D476" s="665"/>
      <c r="E476" s="661"/>
      <c r="F476" s="661"/>
      <c r="R476" s="661"/>
    </row>
    <row r="477" spans="1:18">
      <c r="A477" s="658"/>
      <c r="B477" s="659"/>
      <c r="C477" s="660"/>
      <c r="D477" s="660"/>
      <c r="E477" s="661"/>
      <c r="F477" s="661"/>
      <c r="R477" s="661"/>
    </row>
    <row r="478" spans="1:18">
      <c r="A478" s="658"/>
      <c r="B478" s="664"/>
      <c r="C478" s="665"/>
      <c r="D478" s="665"/>
      <c r="E478" s="661"/>
      <c r="F478" s="661"/>
      <c r="R478" s="661"/>
    </row>
    <row r="479" spans="1:18">
      <c r="A479" s="658"/>
      <c r="B479" s="659"/>
      <c r="C479" s="660"/>
      <c r="D479" s="660"/>
      <c r="E479" s="661"/>
      <c r="F479" s="661"/>
      <c r="R479" s="661"/>
    </row>
    <row r="480" spans="1:18">
      <c r="A480" s="658"/>
      <c r="B480" s="659"/>
      <c r="C480" s="660"/>
      <c r="D480" s="660"/>
      <c r="E480" s="661"/>
      <c r="F480" s="661"/>
      <c r="R480" s="661"/>
    </row>
    <row r="481" spans="1:18">
      <c r="A481" s="658"/>
      <c r="B481" s="659"/>
      <c r="C481" s="660"/>
      <c r="D481" s="660"/>
      <c r="E481" s="661"/>
      <c r="F481" s="661"/>
      <c r="R481" s="661"/>
    </row>
    <row r="482" spans="1:18">
      <c r="A482" s="658"/>
      <c r="B482" s="659"/>
      <c r="C482" s="660"/>
      <c r="D482" s="660"/>
      <c r="E482" s="661"/>
      <c r="F482" s="661"/>
      <c r="R482" s="661"/>
    </row>
    <row r="483" spans="1:18">
      <c r="A483" s="658"/>
      <c r="B483" s="659"/>
      <c r="C483" s="660"/>
      <c r="D483" s="660"/>
      <c r="E483" s="661"/>
      <c r="F483" s="661"/>
      <c r="R483" s="661"/>
    </row>
    <row r="484" spans="1:18">
      <c r="A484" s="658"/>
      <c r="B484" s="659"/>
      <c r="C484" s="660"/>
      <c r="D484" s="660"/>
      <c r="E484" s="661"/>
      <c r="F484" s="661"/>
      <c r="R484" s="661"/>
    </row>
    <row r="485" spans="1:18">
      <c r="A485" s="658"/>
      <c r="B485" s="659"/>
      <c r="C485" s="660"/>
      <c r="D485" s="660"/>
      <c r="E485" s="661"/>
      <c r="F485" s="661"/>
      <c r="R485" s="661"/>
    </row>
    <row r="486" spans="1:18">
      <c r="A486" s="658"/>
      <c r="B486" s="659"/>
      <c r="C486" s="660"/>
      <c r="D486" s="660"/>
      <c r="E486" s="661"/>
      <c r="F486" s="661"/>
      <c r="R486" s="661"/>
    </row>
    <row r="487" spans="1:18">
      <c r="A487" s="658"/>
      <c r="B487" s="659"/>
      <c r="C487" s="660"/>
      <c r="D487" s="660"/>
      <c r="E487" s="661"/>
      <c r="F487" s="661"/>
      <c r="R487" s="661"/>
    </row>
    <row r="488" spans="1:18">
      <c r="A488" s="658"/>
      <c r="B488" s="659"/>
      <c r="C488" s="660"/>
      <c r="D488" s="660"/>
      <c r="E488" s="661"/>
      <c r="F488" s="661"/>
      <c r="R488" s="661"/>
    </row>
    <row r="489" spans="1:18">
      <c r="A489" s="658"/>
      <c r="B489" s="659"/>
      <c r="C489" s="660"/>
      <c r="D489" s="660"/>
      <c r="E489" s="661"/>
      <c r="F489" s="661"/>
      <c r="R489" s="661"/>
    </row>
    <row r="490" spans="1:18">
      <c r="A490" s="658"/>
      <c r="B490" s="659"/>
      <c r="C490" s="660"/>
      <c r="D490" s="660"/>
      <c r="E490" s="661"/>
      <c r="F490" s="661"/>
      <c r="R490" s="661"/>
    </row>
    <row r="491" spans="1:18">
      <c r="A491" s="658"/>
      <c r="B491" s="659"/>
      <c r="C491" s="660"/>
      <c r="D491" s="660"/>
      <c r="E491" s="661"/>
      <c r="F491" s="661"/>
      <c r="R491" s="661"/>
    </row>
    <row r="492" spans="1:18">
      <c r="A492" s="658"/>
      <c r="B492" s="659"/>
      <c r="C492" s="660"/>
      <c r="D492" s="660"/>
      <c r="E492" s="661"/>
      <c r="F492" s="661"/>
      <c r="R492" s="661"/>
    </row>
    <row r="493" spans="1:18">
      <c r="A493" s="658"/>
      <c r="B493" s="664"/>
      <c r="C493" s="665"/>
      <c r="D493" s="665"/>
      <c r="E493" s="661"/>
      <c r="F493" s="661"/>
      <c r="R493" s="661"/>
    </row>
    <row r="494" spans="1:18">
      <c r="A494" s="658"/>
      <c r="B494" s="659"/>
      <c r="C494" s="660"/>
      <c r="D494" s="660"/>
      <c r="E494" s="661"/>
      <c r="F494" s="661"/>
      <c r="R494" s="661"/>
    </row>
    <row r="495" spans="1:18">
      <c r="A495" s="658"/>
      <c r="B495" s="664"/>
      <c r="C495" s="665"/>
      <c r="D495" s="665"/>
      <c r="E495" s="661"/>
      <c r="F495" s="661"/>
      <c r="R495" s="661"/>
    </row>
    <row r="496" spans="1:18">
      <c r="A496" s="658"/>
      <c r="B496" s="659"/>
      <c r="C496" s="660"/>
      <c r="D496" s="660"/>
      <c r="E496" s="661"/>
      <c r="F496" s="661"/>
      <c r="R496" s="661"/>
    </row>
    <row r="497" spans="1:18">
      <c r="A497" s="658"/>
      <c r="B497" s="664"/>
      <c r="C497" s="665"/>
      <c r="D497" s="665"/>
      <c r="E497" s="661"/>
      <c r="F497" s="661"/>
      <c r="R497" s="661"/>
    </row>
    <row r="498" spans="1:18">
      <c r="A498" s="658"/>
      <c r="B498" s="659"/>
      <c r="C498" s="660"/>
      <c r="D498" s="660"/>
      <c r="E498" s="661"/>
      <c r="F498" s="661"/>
      <c r="R498" s="661"/>
    </row>
    <row r="499" spans="1:18">
      <c r="A499" s="658"/>
      <c r="B499" s="664"/>
      <c r="C499" s="665"/>
      <c r="D499" s="665"/>
      <c r="E499" s="661"/>
      <c r="F499" s="661"/>
      <c r="R499" s="661"/>
    </row>
    <row r="500" spans="1:18">
      <c r="A500" s="658"/>
      <c r="B500" s="659"/>
      <c r="C500" s="660"/>
      <c r="D500" s="660"/>
      <c r="E500" s="661"/>
      <c r="F500" s="661"/>
      <c r="R500" s="661"/>
    </row>
    <row r="501" spans="1:18">
      <c r="A501" s="658"/>
      <c r="B501" s="664"/>
      <c r="C501" s="665"/>
      <c r="D501" s="665"/>
      <c r="E501" s="661"/>
      <c r="F501" s="661"/>
      <c r="R501" s="661"/>
    </row>
    <row r="502" spans="1:18">
      <c r="A502" s="658"/>
      <c r="B502" s="659"/>
      <c r="C502" s="660"/>
      <c r="D502" s="660"/>
      <c r="E502" s="661"/>
      <c r="F502" s="661"/>
      <c r="R502" s="661"/>
    </row>
    <row r="503" spans="1:18">
      <c r="A503" s="658"/>
      <c r="B503" s="659"/>
      <c r="C503" s="660"/>
      <c r="D503" s="660"/>
      <c r="E503" s="661"/>
      <c r="F503" s="661"/>
      <c r="R503" s="661"/>
    </row>
    <row r="504" spans="1:18">
      <c r="A504" s="658"/>
      <c r="B504" s="659"/>
      <c r="C504" s="660"/>
      <c r="D504" s="660"/>
      <c r="E504" s="661"/>
      <c r="F504" s="661"/>
      <c r="R504" s="661"/>
    </row>
    <row r="505" spans="1:18">
      <c r="A505" s="658"/>
      <c r="B505" s="659"/>
      <c r="C505" s="660"/>
      <c r="D505" s="660"/>
      <c r="E505" s="661"/>
      <c r="F505" s="661"/>
      <c r="R505" s="661"/>
    </row>
    <row r="506" spans="1:18">
      <c r="A506" s="658"/>
      <c r="B506" s="659"/>
      <c r="C506" s="660"/>
      <c r="D506" s="660"/>
      <c r="E506" s="661"/>
      <c r="F506" s="661"/>
      <c r="R506" s="661"/>
    </row>
    <row r="507" spans="1:18">
      <c r="A507" s="669"/>
      <c r="B507" s="677"/>
      <c r="C507" s="670"/>
      <c r="D507" s="670"/>
      <c r="E507" s="671"/>
      <c r="F507" s="671"/>
      <c r="R507" s="671"/>
    </row>
    <row r="508" spans="1:18">
      <c r="A508" s="678" t="s">
        <v>154</v>
      </c>
      <c r="B508" s="679"/>
      <c r="E508" s="681" t="s">
        <v>261</v>
      </c>
      <c r="F508" s="675">
        <f>SUM(F454:F507)</f>
        <v>0</v>
      </c>
      <c r="R508" s="681" t="s">
        <v>261</v>
      </c>
    </row>
    <row r="509" spans="1:18">
      <c r="A509" s="652" t="s">
        <v>211</v>
      </c>
      <c r="B509" s="653" t="s">
        <v>212</v>
      </c>
      <c r="C509" s="653" t="s">
        <v>213</v>
      </c>
      <c r="D509" s="653" t="s">
        <v>214</v>
      </c>
      <c r="E509" s="654" t="s">
        <v>215</v>
      </c>
      <c r="F509" s="654" t="s">
        <v>164</v>
      </c>
      <c r="R509" s="654" t="s">
        <v>215</v>
      </c>
    </row>
    <row r="510" spans="1:18">
      <c r="A510" s="332"/>
      <c r="B510" s="614"/>
      <c r="C510" s="333"/>
      <c r="D510" s="333"/>
      <c r="E510" s="656" t="s">
        <v>262</v>
      </c>
      <c r="F510" s="656" t="s">
        <v>262</v>
      </c>
      <c r="R510" s="656" t="s">
        <v>262</v>
      </c>
    </row>
    <row r="511" spans="1:18">
      <c r="A511" s="658"/>
      <c r="B511" s="659"/>
      <c r="C511" s="660"/>
      <c r="D511" s="660"/>
      <c r="E511" s="661"/>
      <c r="F511" s="661"/>
      <c r="R511" s="661"/>
    </row>
    <row r="512" spans="1:18">
      <c r="A512" s="658"/>
      <c r="B512" s="659"/>
      <c r="C512" s="660"/>
      <c r="D512" s="660"/>
      <c r="E512" s="661"/>
      <c r="F512" s="661"/>
      <c r="R512" s="661"/>
    </row>
    <row r="513" spans="1:18">
      <c r="A513" s="658"/>
      <c r="B513" s="663"/>
      <c r="C513" s="660"/>
      <c r="D513" s="660"/>
      <c r="E513" s="661"/>
      <c r="F513" s="661"/>
      <c r="R513" s="661"/>
    </row>
    <row r="514" spans="1:18">
      <c r="A514" s="658"/>
      <c r="B514" s="659"/>
      <c r="C514" s="660"/>
      <c r="D514" s="660"/>
      <c r="E514" s="661"/>
      <c r="F514" s="661"/>
      <c r="R514" s="661"/>
    </row>
    <row r="515" spans="1:18">
      <c r="A515" s="658"/>
      <c r="B515" s="664"/>
      <c r="C515" s="665"/>
      <c r="D515" s="665"/>
      <c r="E515" s="661"/>
      <c r="F515" s="661"/>
      <c r="R515" s="661"/>
    </row>
    <row r="516" spans="1:18">
      <c r="A516" s="658"/>
      <c r="B516" s="659"/>
      <c r="C516" s="660"/>
      <c r="D516" s="660"/>
      <c r="E516" s="661"/>
      <c r="F516" s="661"/>
      <c r="R516" s="661"/>
    </row>
    <row r="517" spans="1:18">
      <c r="A517" s="658"/>
      <c r="B517" s="664"/>
      <c r="C517" s="665"/>
      <c r="D517" s="665"/>
      <c r="E517" s="661"/>
      <c r="F517" s="661"/>
      <c r="R517" s="661"/>
    </row>
    <row r="518" spans="1:18">
      <c r="A518" s="658"/>
      <c r="B518" s="659"/>
      <c r="C518" s="660"/>
      <c r="D518" s="660"/>
      <c r="E518" s="661"/>
      <c r="F518" s="661"/>
      <c r="R518" s="661"/>
    </row>
    <row r="519" spans="1:18">
      <c r="A519" s="658"/>
      <c r="B519" s="664"/>
      <c r="C519" s="665"/>
      <c r="D519" s="665"/>
      <c r="E519" s="661"/>
      <c r="F519" s="661"/>
      <c r="R519" s="661"/>
    </row>
    <row r="520" spans="1:18">
      <c r="A520" s="658"/>
      <c r="B520" s="659"/>
      <c r="C520" s="660"/>
      <c r="D520" s="660"/>
      <c r="E520" s="661"/>
      <c r="F520" s="661"/>
      <c r="R520" s="661"/>
    </row>
    <row r="521" spans="1:18">
      <c r="A521" s="658"/>
      <c r="B521" s="664"/>
      <c r="C521" s="665"/>
      <c r="D521" s="665"/>
      <c r="E521" s="661"/>
      <c r="F521" s="661"/>
      <c r="R521" s="661"/>
    </row>
    <row r="522" spans="1:18">
      <c r="A522" s="658"/>
      <c r="B522" s="659"/>
      <c r="C522" s="660"/>
      <c r="D522" s="660"/>
      <c r="E522" s="661"/>
      <c r="F522" s="661"/>
      <c r="R522" s="661"/>
    </row>
    <row r="523" spans="1:18">
      <c r="A523" s="658"/>
      <c r="B523" s="664"/>
      <c r="C523" s="665"/>
      <c r="D523" s="665"/>
      <c r="E523" s="661"/>
      <c r="F523" s="661"/>
      <c r="R523" s="661"/>
    </row>
    <row r="524" spans="1:18">
      <c r="A524" s="658"/>
      <c r="B524" s="659"/>
      <c r="C524" s="660"/>
      <c r="D524" s="660"/>
      <c r="E524" s="661"/>
      <c r="F524" s="661"/>
      <c r="R524" s="661"/>
    </row>
    <row r="525" spans="1:18">
      <c r="A525" s="658"/>
      <c r="B525" s="664"/>
      <c r="C525" s="665"/>
      <c r="D525" s="665"/>
      <c r="E525" s="661"/>
      <c r="F525" s="661"/>
      <c r="R525" s="661"/>
    </row>
    <row r="526" spans="1:18">
      <c r="A526" s="658"/>
      <c r="B526" s="659"/>
      <c r="C526" s="660"/>
      <c r="D526" s="660"/>
      <c r="E526" s="661"/>
      <c r="F526" s="661"/>
      <c r="R526" s="661"/>
    </row>
    <row r="527" spans="1:18">
      <c r="A527" s="658"/>
      <c r="B527" s="664"/>
      <c r="C527" s="665"/>
      <c r="D527" s="665"/>
      <c r="E527" s="661"/>
      <c r="F527" s="661"/>
      <c r="R527" s="661"/>
    </row>
    <row r="528" spans="1:18">
      <c r="A528" s="658"/>
      <c r="B528" s="659"/>
      <c r="C528" s="660"/>
      <c r="D528" s="660"/>
      <c r="E528" s="661"/>
      <c r="F528" s="661"/>
      <c r="R528" s="661"/>
    </row>
    <row r="529" spans="1:18">
      <c r="A529" s="658"/>
      <c r="B529" s="664"/>
      <c r="C529" s="665"/>
      <c r="D529" s="665"/>
      <c r="E529" s="661"/>
      <c r="F529" s="661"/>
      <c r="R529" s="661"/>
    </row>
    <row r="530" spans="1:18">
      <c r="A530" s="658"/>
      <c r="B530" s="659"/>
      <c r="C530" s="660"/>
      <c r="D530" s="660"/>
      <c r="E530" s="661"/>
      <c r="F530" s="661"/>
      <c r="R530" s="661"/>
    </row>
    <row r="531" spans="1:18">
      <c r="A531" s="658"/>
      <c r="B531" s="664"/>
      <c r="C531" s="665"/>
      <c r="D531" s="665"/>
      <c r="E531" s="661"/>
      <c r="F531" s="661"/>
      <c r="R531" s="661"/>
    </row>
    <row r="532" spans="1:18">
      <c r="A532" s="658"/>
      <c r="B532" s="659"/>
      <c r="C532" s="660"/>
      <c r="D532" s="660"/>
      <c r="E532" s="661"/>
      <c r="F532" s="661"/>
      <c r="R532" s="661"/>
    </row>
    <row r="533" spans="1:18">
      <c r="A533" s="658"/>
      <c r="B533" s="664"/>
      <c r="C533" s="665"/>
      <c r="D533" s="665"/>
      <c r="E533" s="661"/>
      <c r="F533" s="661"/>
      <c r="R533" s="661"/>
    </row>
    <row r="534" spans="1:18">
      <c r="A534" s="658"/>
      <c r="B534" s="664"/>
      <c r="C534" s="665"/>
      <c r="D534" s="665"/>
      <c r="E534" s="661"/>
      <c r="F534" s="661"/>
      <c r="R534" s="661"/>
    </row>
    <row r="535" spans="1:18">
      <c r="A535" s="658"/>
      <c r="B535" s="664"/>
      <c r="C535" s="665"/>
      <c r="D535" s="665"/>
      <c r="E535" s="661"/>
      <c r="F535" s="661"/>
      <c r="R535" s="661"/>
    </row>
    <row r="536" spans="1:18">
      <c r="A536" s="658"/>
      <c r="B536" s="664"/>
      <c r="C536" s="665"/>
      <c r="D536" s="665"/>
      <c r="E536" s="661"/>
      <c r="F536" s="661"/>
      <c r="R536" s="661"/>
    </row>
    <row r="537" spans="1:18">
      <c r="A537" s="658"/>
      <c r="B537" s="664"/>
      <c r="C537" s="665"/>
      <c r="D537" s="665"/>
      <c r="E537" s="661"/>
      <c r="F537" s="661"/>
      <c r="R537" s="661"/>
    </row>
    <row r="538" spans="1:18">
      <c r="A538" s="658"/>
      <c r="B538" s="664"/>
      <c r="C538" s="665"/>
      <c r="D538" s="665"/>
      <c r="E538" s="661"/>
      <c r="F538" s="661"/>
      <c r="R538" s="661"/>
    </row>
    <row r="539" spans="1:18">
      <c r="A539" s="658"/>
      <c r="B539" s="664"/>
      <c r="C539" s="665"/>
      <c r="D539" s="665"/>
      <c r="E539" s="661"/>
      <c r="F539" s="661"/>
      <c r="R539" s="661"/>
    </row>
    <row r="540" spans="1:18">
      <c r="A540" s="658"/>
      <c r="B540" s="664"/>
      <c r="C540" s="665"/>
      <c r="D540" s="665"/>
      <c r="E540" s="661"/>
      <c r="F540" s="661"/>
      <c r="R540" s="661"/>
    </row>
    <row r="541" spans="1:18">
      <c r="A541" s="658"/>
      <c r="B541" s="664"/>
      <c r="C541" s="665"/>
      <c r="D541" s="665"/>
      <c r="E541" s="661"/>
      <c r="F541" s="661"/>
      <c r="R541" s="661"/>
    </row>
    <row r="542" spans="1:18">
      <c r="A542" s="658"/>
      <c r="B542" s="664"/>
      <c r="C542" s="665"/>
      <c r="D542" s="665"/>
      <c r="E542" s="661"/>
      <c r="F542" s="661"/>
      <c r="R542" s="661"/>
    </row>
    <row r="543" spans="1:18">
      <c r="A543" s="658"/>
      <c r="B543" s="664"/>
      <c r="C543" s="665"/>
      <c r="D543" s="665"/>
      <c r="E543" s="661"/>
      <c r="F543" s="661"/>
      <c r="R543" s="661"/>
    </row>
    <row r="544" spans="1:18">
      <c r="A544" s="658"/>
      <c r="B544" s="664"/>
      <c r="C544" s="665"/>
      <c r="D544" s="665"/>
      <c r="E544" s="661"/>
      <c r="F544" s="661"/>
      <c r="R544" s="661"/>
    </row>
    <row r="545" spans="1:18">
      <c r="A545" s="658"/>
      <c r="B545" s="664"/>
      <c r="C545" s="665"/>
      <c r="D545" s="665"/>
      <c r="E545" s="661"/>
      <c r="F545" s="661"/>
      <c r="R545" s="661"/>
    </row>
    <row r="546" spans="1:18">
      <c r="A546" s="658"/>
      <c r="B546" s="664"/>
      <c r="C546" s="665"/>
      <c r="D546" s="665"/>
      <c r="E546" s="661"/>
      <c r="F546" s="661"/>
      <c r="R546" s="661"/>
    </row>
    <row r="547" spans="1:18">
      <c r="A547" s="658"/>
      <c r="B547" s="664"/>
      <c r="C547" s="665"/>
      <c r="D547" s="665"/>
      <c r="E547" s="661"/>
      <c r="F547" s="661"/>
      <c r="R547" s="661"/>
    </row>
    <row r="548" spans="1:18">
      <c r="A548" s="658"/>
      <c r="B548" s="664"/>
      <c r="C548" s="665"/>
      <c r="D548" s="665"/>
      <c r="E548" s="661"/>
      <c r="F548" s="661"/>
      <c r="R548" s="661"/>
    </row>
    <row r="549" spans="1:18">
      <c r="A549" s="658"/>
      <c r="B549" s="664"/>
      <c r="C549" s="665"/>
      <c r="D549" s="665"/>
      <c r="E549" s="661"/>
      <c r="F549" s="661"/>
      <c r="R549" s="661"/>
    </row>
    <row r="550" spans="1:18">
      <c r="A550" s="658"/>
      <c r="B550" s="664"/>
      <c r="C550" s="665"/>
      <c r="D550" s="665"/>
      <c r="E550" s="661"/>
      <c r="F550" s="661"/>
      <c r="R550" s="661"/>
    </row>
    <row r="551" spans="1:18">
      <c r="A551" s="658"/>
      <c r="B551" s="664"/>
      <c r="C551" s="665"/>
      <c r="D551" s="665"/>
      <c r="E551" s="661"/>
      <c r="F551" s="661"/>
      <c r="R551" s="661"/>
    </row>
    <row r="552" spans="1:18">
      <c r="A552" s="658"/>
      <c r="B552" s="664"/>
      <c r="C552" s="665"/>
      <c r="D552" s="665"/>
      <c r="E552" s="661"/>
      <c r="F552" s="661"/>
      <c r="R552" s="661"/>
    </row>
    <row r="553" spans="1:18">
      <c r="A553" s="658"/>
      <c r="B553" s="664"/>
      <c r="C553" s="665"/>
      <c r="D553" s="665"/>
      <c r="E553" s="661"/>
      <c r="F553" s="661"/>
      <c r="R553" s="661"/>
    </row>
    <row r="554" spans="1:18">
      <c r="A554" s="658"/>
      <c r="B554" s="664"/>
      <c r="C554" s="665"/>
      <c r="D554" s="665"/>
      <c r="E554" s="661"/>
      <c r="F554" s="661"/>
      <c r="R554" s="661"/>
    </row>
    <row r="555" spans="1:18">
      <c r="A555" s="658"/>
      <c r="B555" s="659"/>
      <c r="C555" s="660"/>
      <c r="D555" s="660"/>
      <c r="E555" s="661"/>
      <c r="F555" s="661"/>
      <c r="R555" s="661"/>
    </row>
    <row r="556" spans="1:18">
      <c r="A556" s="658"/>
      <c r="B556" s="664"/>
      <c r="C556" s="665"/>
      <c r="D556" s="665"/>
      <c r="E556" s="661"/>
      <c r="F556" s="661"/>
      <c r="R556" s="661"/>
    </row>
    <row r="557" spans="1:18">
      <c r="A557" s="658"/>
      <c r="B557" s="659"/>
      <c r="C557" s="660"/>
      <c r="D557" s="660"/>
      <c r="E557" s="661"/>
      <c r="F557" s="661"/>
      <c r="R557" s="661"/>
    </row>
    <row r="558" spans="1:18">
      <c r="A558" s="658"/>
      <c r="B558" s="664"/>
      <c r="C558" s="665"/>
      <c r="D558" s="665"/>
      <c r="E558" s="661"/>
      <c r="F558" s="661"/>
      <c r="R558" s="661"/>
    </row>
    <row r="559" spans="1:18">
      <c r="A559" s="658"/>
      <c r="B559" s="659"/>
      <c r="C559" s="660"/>
      <c r="D559" s="660"/>
      <c r="E559" s="661"/>
      <c r="F559" s="661"/>
      <c r="R559" s="661"/>
    </row>
    <row r="560" spans="1:18">
      <c r="A560" s="658"/>
      <c r="B560" s="659"/>
      <c r="C560" s="660"/>
      <c r="D560" s="660"/>
      <c r="E560" s="661"/>
      <c r="F560" s="661"/>
      <c r="R560" s="661"/>
    </row>
    <row r="561" spans="1:18">
      <c r="A561" s="658"/>
      <c r="B561" s="659"/>
      <c r="C561" s="660"/>
      <c r="D561" s="660"/>
      <c r="E561" s="661"/>
      <c r="F561" s="661"/>
      <c r="R561" s="661"/>
    </row>
    <row r="562" spans="1:18">
      <c r="A562" s="658"/>
      <c r="B562" s="659"/>
      <c r="C562" s="660"/>
      <c r="D562" s="660"/>
      <c r="E562" s="661"/>
      <c r="F562" s="661"/>
      <c r="R562" s="661"/>
    </row>
    <row r="563" spans="1:18">
      <c r="A563" s="658"/>
      <c r="B563" s="659"/>
      <c r="C563" s="660"/>
      <c r="D563" s="660"/>
      <c r="E563" s="661"/>
      <c r="F563" s="661"/>
      <c r="R563" s="661"/>
    </row>
    <row r="564" spans="1:18">
      <c r="A564" s="669"/>
      <c r="B564" s="677"/>
      <c r="C564" s="670"/>
      <c r="D564" s="670"/>
      <c r="E564" s="671"/>
      <c r="F564" s="671"/>
      <c r="R564" s="671"/>
    </row>
    <row r="565" spans="1:18">
      <c r="A565" s="678" t="s">
        <v>154</v>
      </c>
      <c r="B565" s="679"/>
      <c r="E565" s="681" t="s">
        <v>261</v>
      </c>
      <c r="F565" s="675">
        <f>SUM(F511:F564)</f>
        <v>0</v>
      </c>
      <c r="R565" s="681" t="s">
        <v>261</v>
      </c>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82" customWidth="1"/>
    <col min="2" max="2" width="35.5546875" style="683" customWidth="1"/>
    <col min="3" max="3" width="6.33203125" style="719" customWidth="1"/>
    <col min="4" max="6" width="6.33203125" style="680" customWidth="1"/>
    <col min="7" max="7" width="6.44140625" style="680" customWidth="1"/>
    <col min="8" max="8" width="9" style="684" customWidth="1"/>
    <col min="9" max="9" width="8.6640625" style="685" customWidth="1"/>
    <col min="10" max="10" width="9" style="684" customWidth="1"/>
    <col min="11" max="11" width="8.6640625" style="685" customWidth="1"/>
    <col min="12" max="19" width="9.109375" style="655" customWidth="1"/>
    <col min="20" max="256" width="9.109375" style="655"/>
    <col min="257" max="257" width="8.33203125" style="655" customWidth="1"/>
    <col min="258" max="258" width="35.5546875" style="655" customWidth="1"/>
    <col min="259" max="262" width="6.33203125" style="655" customWidth="1"/>
    <col min="263" max="263" width="6.44140625" style="655" customWidth="1"/>
    <col min="264" max="264" width="9" style="655" customWidth="1"/>
    <col min="265" max="265" width="8.6640625" style="655" customWidth="1"/>
    <col min="266" max="275" width="0" style="655" hidden="1" customWidth="1"/>
    <col min="276" max="512" width="9.109375" style="655"/>
    <col min="513" max="513" width="8.33203125" style="655" customWidth="1"/>
    <col min="514" max="514" width="35.5546875" style="655" customWidth="1"/>
    <col min="515" max="518" width="6.33203125" style="655" customWidth="1"/>
    <col min="519" max="519" width="6.44140625" style="655" customWidth="1"/>
    <col min="520" max="520" width="9" style="655" customWidth="1"/>
    <col min="521" max="521" width="8.6640625" style="655" customWidth="1"/>
    <col min="522" max="531" width="0" style="655" hidden="1" customWidth="1"/>
    <col min="532" max="768" width="9.109375" style="655"/>
    <col min="769" max="769" width="8.33203125" style="655" customWidth="1"/>
    <col min="770" max="770" width="35.5546875" style="655" customWidth="1"/>
    <col min="771" max="774" width="6.33203125" style="655" customWidth="1"/>
    <col min="775" max="775" width="6.44140625" style="655" customWidth="1"/>
    <col min="776" max="776" width="9" style="655" customWidth="1"/>
    <col min="777" max="777" width="8.6640625" style="655" customWidth="1"/>
    <col min="778" max="787" width="0" style="655" hidden="1" customWidth="1"/>
    <col min="788" max="1024" width="9.109375" style="655"/>
    <col min="1025" max="1025" width="8.33203125" style="655" customWidth="1"/>
    <col min="1026" max="1026" width="35.5546875" style="655" customWidth="1"/>
    <col min="1027" max="1030" width="6.33203125" style="655" customWidth="1"/>
    <col min="1031" max="1031" width="6.44140625" style="655" customWidth="1"/>
    <col min="1032" max="1032" width="9" style="655" customWidth="1"/>
    <col min="1033" max="1033" width="8.6640625" style="655" customWidth="1"/>
    <col min="1034" max="1043" width="0" style="655" hidden="1" customWidth="1"/>
    <col min="1044" max="1280" width="9.109375" style="655"/>
    <col min="1281" max="1281" width="8.33203125" style="655" customWidth="1"/>
    <col min="1282" max="1282" width="35.5546875" style="655" customWidth="1"/>
    <col min="1283" max="1286" width="6.33203125" style="655" customWidth="1"/>
    <col min="1287" max="1287" width="6.44140625" style="655" customWidth="1"/>
    <col min="1288" max="1288" width="9" style="655" customWidth="1"/>
    <col min="1289" max="1289" width="8.6640625" style="655" customWidth="1"/>
    <col min="1290" max="1299" width="0" style="655" hidden="1" customWidth="1"/>
    <col min="1300" max="1536" width="9.109375" style="655"/>
    <col min="1537" max="1537" width="8.33203125" style="655" customWidth="1"/>
    <col min="1538" max="1538" width="35.5546875" style="655" customWidth="1"/>
    <col min="1539" max="1542" width="6.33203125" style="655" customWidth="1"/>
    <col min="1543" max="1543" width="6.44140625" style="655" customWidth="1"/>
    <col min="1544" max="1544" width="9" style="655" customWidth="1"/>
    <col min="1545" max="1545" width="8.6640625" style="655" customWidth="1"/>
    <col min="1546" max="1555" width="0" style="655" hidden="1" customWidth="1"/>
    <col min="1556" max="1792" width="9.109375" style="655"/>
    <col min="1793" max="1793" width="8.33203125" style="655" customWidth="1"/>
    <col min="1794" max="1794" width="35.5546875" style="655" customWidth="1"/>
    <col min="1795" max="1798" width="6.33203125" style="655" customWidth="1"/>
    <col min="1799" max="1799" width="6.44140625" style="655" customWidth="1"/>
    <col min="1800" max="1800" width="9" style="655" customWidth="1"/>
    <col min="1801" max="1801" width="8.6640625" style="655" customWidth="1"/>
    <col min="1802" max="1811" width="0" style="655" hidden="1" customWidth="1"/>
    <col min="1812" max="2048" width="9.109375" style="655"/>
    <col min="2049" max="2049" width="8.33203125" style="655" customWidth="1"/>
    <col min="2050" max="2050" width="35.5546875" style="655" customWidth="1"/>
    <col min="2051" max="2054" width="6.33203125" style="655" customWidth="1"/>
    <col min="2055" max="2055" width="6.44140625" style="655" customWidth="1"/>
    <col min="2056" max="2056" width="9" style="655" customWidth="1"/>
    <col min="2057" max="2057" width="8.6640625" style="655" customWidth="1"/>
    <col min="2058" max="2067" width="0" style="655" hidden="1" customWidth="1"/>
    <col min="2068" max="2304" width="9.109375" style="655"/>
    <col min="2305" max="2305" width="8.33203125" style="655" customWidth="1"/>
    <col min="2306" max="2306" width="35.5546875" style="655" customWidth="1"/>
    <col min="2307" max="2310" width="6.33203125" style="655" customWidth="1"/>
    <col min="2311" max="2311" width="6.44140625" style="655" customWidth="1"/>
    <col min="2312" max="2312" width="9" style="655" customWidth="1"/>
    <col min="2313" max="2313" width="8.6640625" style="655" customWidth="1"/>
    <col min="2314" max="2323" width="0" style="655" hidden="1" customWidth="1"/>
    <col min="2324" max="2560" width="9.109375" style="655"/>
    <col min="2561" max="2561" width="8.33203125" style="655" customWidth="1"/>
    <col min="2562" max="2562" width="35.5546875" style="655" customWidth="1"/>
    <col min="2563" max="2566" width="6.33203125" style="655" customWidth="1"/>
    <col min="2567" max="2567" width="6.44140625" style="655" customWidth="1"/>
    <col min="2568" max="2568" width="9" style="655" customWidth="1"/>
    <col min="2569" max="2569" width="8.6640625" style="655" customWidth="1"/>
    <col min="2570" max="2579" width="0" style="655" hidden="1" customWidth="1"/>
    <col min="2580" max="2816" width="9.109375" style="655"/>
    <col min="2817" max="2817" width="8.33203125" style="655" customWidth="1"/>
    <col min="2818" max="2818" width="35.5546875" style="655" customWidth="1"/>
    <col min="2819" max="2822" width="6.33203125" style="655" customWidth="1"/>
    <col min="2823" max="2823" width="6.44140625" style="655" customWidth="1"/>
    <col min="2824" max="2824" width="9" style="655" customWidth="1"/>
    <col min="2825" max="2825" width="8.6640625" style="655" customWidth="1"/>
    <col min="2826" max="2835" width="0" style="655" hidden="1" customWidth="1"/>
    <col min="2836" max="3072" width="9.109375" style="655"/>
    <col min="3073" max="3073" width="8.33203125" style="655" customWidth="1"/>
    <col min="3074" max="3074" width="35.5546875" style="655" customWidth="1"/>
    <col min="3075" max="3078" width="6.33203125" style="655" customWidth="1"/>
    <col min="3079" max="3079" width="6.44140625" style="655" customWidth="1"/>
    <col min="3080" max="3080" width="9" style="655" customWidth="1"/>
    <col min="3081" max="3081" width="8.6640625" style="655" customWidth="1"/>
    <col min="3082" max="3091" width="0" style="655" hidden="1" customWidth="1"/>
    <col min="3092" max="3328" width="9.109375" style="655"/>
    <col min="3329" max="3329" width="8.33203125" style="655" customWidth="1"/>
    <col min="3330" max="3330" width="35.5546875" style="655" customWidth="1"/>
    <col min="3331" max="3334" width="6.33203125" style="655" customWidth="1"/>
    <col min="3335" max="3335" width="6.44140625" style="655" customWidth="1"/>
    <col min="3336" max="3336" width="9" style="655" customWidth="1"/>
    <col min="3337" max="3337" width="8.6640625" style="655" customWidth="1"/>
    <col min="3338" max="3347" width="0" style="655" hidden="1" customWidth="1"/>
    <col min="3348" max="3584" width="9.109375" style="655"/>
    <col min="3585" max="3585" width="8.33203125" style="655" customWidth="1"/>
    <col min="3586" max="3586" width="35.5546875" style="655" customWidth="1"/>
    <col min="3587" max="3590" width="6.33203125" style="655" customWidth="1"/>
    <col min="3591" max="3591" width="6.44140625" style="655" customWidth="1"/>
    <col min="3592" max="3592" width="9" style="655" customWidth="1"/>
    <col min="3593" max="3593" width="8.6640625" style="655" customWidth="1"/>
    <col min="3594" max="3603" width="0" style="655" hidden="1" customWidth="1"/>
    <col min="3604" max="3840" width="9.109375" style="655"/>
    <col min="3841" max="3841" width="8.33203125" style="655" customWidth="1"/>
    <col min="3842" max="3842" width="35.5546875" style="655" customWidth="1"/>
    <col min="3843" max="3846" width="6.33203125" style="655" customWidth="1"/>
    <col min="3847" max="3847" width="6.44140625" style="655" customWidth="1"/>
    <col min="3848" max="3848" width="9" style="655" customWidth="1"/>
    <col min="3849" max="3849" width="8.6640625" style="655" customWidth="1"/>
    <col min="3850" max="3859" width="0" style="655" hidden="1" customWidth="1"/>
    <col min="3860" max="4096" width="9.109375" style="655"/>
    <col min="4097" max="4097" width="8.33203125" style="655" customWidth="1"/>
    <col min="4098" max="4098" width="35.5546875" style="655" customWidth="1"/>
    <col min="4099" max="4102" width="6.33203125" style="655" customWidth="1"/>
    <col min="4103" max="4103" width="6.44140625" style="655" customWidth="1"/>
    <col min="4104" max="4104" width="9" style="655" customWidth="1"/>
    <col min="4105" max="4105" width="8.6640625" style="655" customWidth="1"/>
    <col min="4106" max="4115" width="0" style="655" hidden="1" customWidth="1"/>
    <col min="4116" max="4352" width="9.109375" style="655"/>
    <col min="4353" max="4353" width="8.33203125" style="655" customWidth="1"/>
    <col min="4354" max="4354" width="35.5546875" style="655" customWidth="1"/>
    <col min="4355" max="4358" width="6.33203125" style="655" customWidth="1"/>
    <col min="4359" max="4359" width="6.44140625" style="655" customWidth="1"/>
    <col min="4360" max="4360" width="9" style="655" customWidth="1"/>
    <col min="4361" max="4361" width="8.6640625" style="655" customWidth="1"/>
    <col min="4362" max="4371" width="0" style="655" hidden="1" customWidth="1"/>
    <col min="4372" max="4608" width="9.109375" style="655"/>
    <col min="4609" max="4609" width="8.33203125" style="655" customWidth="1"/>
    <col min="4610" max="4610" width="35.5546875" style="655" customWidth="1"/>
    <col min="4611" max="4614" width="6.33203125" style="655" customWidth="1"/>
    <col min="4615" max="4615" width="6.44140625" style="655" customWidth="1"/>
    <col min="4616" max="4616" width="9" style="655" customWidth="1"/>
    <col min="4617" max="4617" width="8.6640625" style="655" customWidth="1"/>
    <col min="4618" max="4627" width="0" style="655" hidden="1" customWidth="1"/>
    <col min="4628" max="4864" width="9.109375" style="655"/>
    <col min="4865" max="4865" width="8.33203125" style="655" customWidth="1"/>
    <col min="4866" max="4866" width="35.5546875" style="655" customWidth="1"/>
    <col min="4867" max="4870" width="6.33203125" style="655" customWidth="1"/>
    <col min="4871" max="4871" width="6.44140625" style="655" customWidth="1"/>
    <col min="4872" max="4872" width="9" style="655" customWidth="1"/>
    <col min="4873" max="4873" width="8.6640625" style="655" customWidth="1"/>
    <col min="4874" max="4883" width="0" style="655" hidden="1" customWidth="1"/>
    <col min="4884" max="5120" width="9.109375" style="655"/>
    <col min="5121" max="5121" width="8.33203125" style="655" customWidth="1"/>
    <col min="5122" max="5122" width="35.5546875" style="655" customWidth="1"/>
    <col min="5123" max="5126" width="6.33203125" style="655" customWidth="1"/>
    <col min="5127" max="5127" width="6.44140625" style="655" customWidth="1"/>
    <col min="5128" max="5128" width="9" style="655" customWidth="1"/>
    <col min="5129" max="5129" width="8.6640625" style="655" customWidth="1"/>
    <col min="5130" max="5139" width="0" style="655" hidden="1" customWidth="1"/>
    <col min="5140" max="5376" width="9.109375" style="655"/>
    <col min="5377" max="5377" width="8.33203125" style="655" customWidth="1"/>
    <col min="5378" max="5378" width="35.5546875" style="655" customWidth="1"/>
    <col min="5379" max="5382" width="6.33203125" style="655" customWidth="1"/>
    <col min="5383" max="5383" width="6.44140625" style="655" customWidth="1"/>
    <col min="5384" max="5384" width="9" style="655" customWidth="1"/>
    <col min="5385" max="5385" width="8.6640625" style="655" customWidth="1"/>
    <col min="5386" max="5395" width="0" style="655" hidden="1" customWidth="1"/>
    <col min="5396" max="5632" width="9.109375" style="655"/>
    <col min="5633" max="5633" width="8.33203125" style="655" customWidth="1"/>
    <col min="5634" max="5634" width="35.5546875" style="655" customWidth="1"/>
    <col min="5635" max="5638" width="6.33203125" style="655" customWidth="1"/>
    <col min="5639" max="5639" width="6.44140625" style="655" customWidth="1"/>
    <col min="5640" max="5640" width="9" style="655" customWidth="1"/>
    <col min="5641" max="5641" width="8.6640625" style="655" customWidth="1"/>
    <col min="5642" max="5651" width="0" style="655" hidden="1" customWidth="1"/>
    <col min="5652" max="5888" width="9.109375" style="655"/>
    <col min="5889" max="5889" width="8.33203125" style="655" customWidth="1"/>
    <col min="5890" max="5890" width="35.5546875" style="655" customWidth="1"/>
    <col min="5891" max="5894" width="6.33203125" style="655" customWidth="1"/>
    <col min="5895" max="5895" width="6.44140625" style="655" customWidth="1"/>
    <col min="5896" max="5896" width="9" style="655" customWidth="1"/>
    <col min="5897" max="5897" width="8.6640625" style="655" customWidth="1"/>
    <col min="5898" max="5907" width="0" style="655" hidden="1" customWidth="1"/>
    <col min="5908" max="6144" width="9.109375" style="655"/>
    <col min="6145" max="6145" width="8.33203125" style="655" customWidth="1"/>
    <col min="6146" max="6146" width="35.5546875" style="655" customWidth="1"/>
    <col min="6147" max="6150" width="6.33203125" style="655" customWidth="1"/>
    <col min="6151" max="6151" width="6.44140625" style="655" customWidth="1"/>
    <col min="6152" max="6152" width="9" style="655" customWidth="1"/>
    <col min="6153" max="6153" width="8.6640625" style="655" customWidth="1"/>
    <col min="6154" max="6163" width="0" style="655" hidden="1" customWidth="1"/>
    <col min="6164" max="6400" width="9.109375" style="655"/>
    <col min="6401" max="6401" width="8.33203125" style="655" customWidth="1"/>
    <col min="6402" max="6402" width="35.5546875" style="655" customWidth="1"/>
    <col min="6403" max="6406" width="6.33203125" style="655" customWidth="1"/>
    <col min="6407" max="6407" width="6.44140625" style="655" customWidth="1"/>
    <col min="6408" max="6408" width="9" style="655" customWidth="1"/>
    <col min="6409" max="6409" width="8.6640625" style="655" customWidth="1"/>
    <col min="6410" max="6419" width="0" style="655" hidden="1" customWidth="1"/>
    <col min="6420" max="6656" width="9.109375" style="655"/>
    <col min="6657" max="6657" width="8.33203125" style="655" customWidth="1"/>
    <col min="6658" max="6658" width="35.5546875" style="655" customWidth="1"/>
    <col min="6659" max="6662" width="6.33203125" style="655" customWidth="1"/>
    <col min="6663" max="6663" width="6.44140625" style="655" customWidth="1"/>
    <col min="6664" max="6664" width="9" style="655" customWidth="1"/>
    <col min="6665" max="6665" width="8.6640625" style="655" customWidth="1"/>
    <col min="6666" max="6675" width="0" style="655" hidden="1" customWidth="1"/>
    <col min="6676" max="6912" width="9.109375" style="655"/>
    <col min="6913" max="6913" width="8.33203125" style="655" customWidth="1"/>
    <col min="6914" max="6914" width="35.5546875" style="655" customWidth="1"/>
    <col min="6915" max="6918" width="6.33203125" style="655" customWidth="1"/>
    <col min="6919" max="6919" width="6.44140625" style="655" customWidth="1"/>
    <col min="6920" max="6920" width="9" style="655" customWidth="1"/>
    <col min="6921" max="6921" width="8.6640625" style="655" customWidth="1"/>
    <col min="6922" max="6931" width="0" style="655" hidden="1" customWidth="1"/>
    <col min="6932" max="7168" width="9.109375" style="655"/>
    <col min="7169" max="7169" width="8.33203125" style="655" customWidth="1"/>
    <col min="7170" max="7170" width="35.5546875" style="655" customWidth="1"/>
    <col min="7171" max="7174" width="6.33203125" style="655" customWidth="1"/>
    <col min="7175" max="7175" width="6.44140625" style="655" customWidth="1"/>
    <col min="7176" max="7176" width="9" style="655" customWidth="1"/>
    <col min="7177" max="7177" width="8.6640625" style="655" customWidth="1"/>
    <col min="7178" max="7187" width="0" style="655" hidden="1" customWidth="1"/>
    <col min="7188" max="7424" width="9.109375" style="655"/>
    <col min="7425" max="7425" width="8.33203125" style="655" customWidth="1"/>
    <col min="7426" max="7426" width="35.5546875" style="655" customWidth="1"/>
    <col min="7427" max="7430" width="6.33203125" style="655" customWidth="1"/>
    <col min="7431" max="7431" width="6.44140625" style="655" customWidth="1"/>
    <col min="7432" max="7432" width="9" style="655" customWidth="1"/>
    <col min="7433" max="7433" width="8.6640625" style="655" customWidth="1"/>
    <col min="7434" max="7443" width="0" style="655" hidden="1" customWidth="1"/>
    <col min="7444" max="7680" width="9.109375" style="655"/>
    <col min="7681" max="7681" width="8.33203125" style="655" customWidth="1"/>
    <col min="7682" max="7682" width="35.5546875" style="655" customWidth="1"/>
    <col min="7683" max="7686" width="6.33203125" style="655" customWidth="1"/>
    <col min="7687" max="7687" width="6.44140625" style="655" customWidth="1"/>
    <col min="7688" max="7688" width="9" style="655" customWidth="1"/>
    <col min="7689" max="7689" width="8.6640625" style="655" customWidth="1"/>
    <col min="7690" max="7699" width="0" style="655" hidden="1" customWidth="1"/>
    <col min="7700" max="7936" width="9.109375" style="655"/>
    <col min="7937" max="7937" width="8.33203125" style="655" customWidth="1"/>
    <col min="7938" max="7938" width="35.5546875" style="655" customWidth="1"/>
    <col min="7939" max="7942" width="6.33203125" style="655" customWidth="1"/>
    <col min="7943" max="7943" width="6.44140625" style="655" customWidth="1"/>
    <col min="7944" max="7944" width="9" style="655" customWidth="1"/>
    <col min="7945" max="7945" width="8.6640625" style="655" customWidth="1"/>
    <col min="7946" max="7955" width="0" style="655" hidden="1" customWidth="1"/>
    <col min="7956" max="8192" width="9.109375" style="655"/>
    <col min="8193" max="8193" width="8.33203125" style="655" customWidth="1"/>
    <col min="8194" max="8194" width="35.5546875" style="655" customWidth="1"/>
    <col min="8195" max="8198" width="6.33203125" style="655" customWidth="1"/>
    <col min="8199" max="8199" width="6.44140625" style="655" customWidth="1"/>
    <col min="8200" max="8200" width="9" style="655" customWidth="1"/>
    <col min="8201" max="8201" width="8.6640625" style="655" customWidth="1"/>
    <col min="8202" max="8211" width="0" style="655" hidden="1" customWidth="1"/>
    <col min="8212" max="8448" width="9.109375" style="655"/>
    <col min="8449" max="8449" width="8.33203125" style="655" customWidth="1"/>
    <col min="8450" max="8450" width="35.5546875" style="655" customWidth="1"/>
    <col min="8451" max="8454" width="6.33203125" style="655" customWidth="1"/>
    <col min="8455" max="8455" width="6.44140625" style="655" customWidth="1"/>
    <col min="8456" max="8456" width="9" style="655" customWidth="1"/>
    <col min="8457" max="8457" width="8.6640625" style="655" customWidth="1"/>
    <col min="8458" max="8467" width="0" style="655" hidden="1" customWidth="1"/>
    <col min="8468" max="8704" width="9.109375" style="655"/>
    <col min="8705" max="8705" width="8.33203125" style="655" customWidth="1"/>
    <col min="8706" max="8706" width="35.5546875" style="655" customWidth="1"/>
    <col min="8707" max="8710" width="6.33203125" style="655" customWidth="1"/>
    <col min="8711" max="8711" width="6.44140625" style="655" customWidth="1"/>
    <col min="8712" max="8712" width="9" style="655" customWidth="1"/>
    <col min="8713" max="8713" width="8.6640625" style="655" customWidth="1"/>
    <col min="8714" max="8723" width="0" style="655" hidden="1" customWidth="1"/>
    <col min="8724" max="8960" width="9.109375" style="655"/>
    <col min="8961" max="8961" width="8.33203125" style="655" customWidth="1"/>
    <col min="8962" max="8962" width="35.5546875" style="655" customWidth="1"/>
    <col min="8963" max="8966" width="6.33203125" style="655" customWidth="1"/>
    <col min="8967" max="8967" width="6.44140625" style="655" customWidth="1"/>
    <col min="8968" max="8968" width="9" style="655" customWidth="1"/>
    <col min="8969" max="8969" width="8.6640625" style="655" customWidth="1"/>
    <col min="8970" max="8979" width="0" style="655" hidden="1" customWidth="1"/>
    <col min="8980" max="9216" width="9.109375" style="655"/>
    <col min="9217" max="9217" width="8.33203125" style="655" customWidth="1"/>
    <col min="9218" max="9218" width="35.5546875" style="655" customWidth="1"/>
    <col min="9219" max="9222" width="6.33203125" style="655" customWidth="1"/>
    <col min="9223" max="9223" width="6.44140625" style="655" customWidth="1"/>
    <col min="9224" max="9224" width="9" style="655" customWidth="1"/>
    <col min="9225" max="9225" width="8.6640625" style="655" customWidth="1"/>
    <col min="9226" max="9235" width="0" style="655" hidden="1" customWidth="1"/>
    <col min="9236" max="9472" width="9.109375" style="655"/>
    <col min="9473" max="9473" width="8.33203125" style="655" customWidth="1"/>
    <col min="9474" max="9474" width="35.5546875" style="655" customWidth="1"/>
    <col min="9475" max="9478" width="6.33203125" style="655" customWidth="1"/>
    <col min="9479" max="9479" width="6.44140625" style="655" customWidth="1"/>
    <col min="9480" max="9480" width="9" style="655" customWidth="1"/>
    <col min="9481" max="9481" width="8.6640625" style="655" customWidth="1"/>
    <col min="9482" max="9491" width="0" style="655" hidden="1" customWidth="1"/>
    <col min="9492" max="9728" width="9.109375" style="655"/>
    <col min="9729" max="9729" width="8.33203125" style="655" customWidth="1"/>
    <col min="9730" max="9730" width="35.5546875" style="655" customWidth="1"/>
    <col min="9731" max="9734" width="6.33203125" style="655" customWidth="1"/>
    <col min="9735" max="9735" width="6.44140625" style="655" customWidth="1"/>
    <col min="9736" max="9736" width="9" style="655" customWidth="1"/>
    <col min="9737" max="9737" width="8.6640625" style="655" customWidth="1"/>
    <col min="9738" max="9747" width="0" style="655" hidden="1" customWidth="1"/>
    <col min="9748" max="9984" width="9.109375" style="655"/>
    <col min="9985" max="9985" width="8.33203125" style="655" customWidth="1"/>
    <col min="9986" max="9986" width="35.5546875" style="655" customWidth="1"/>
    <col min="9987" max="9990" width="6.33203125" style="655" customWidth="1"/>
    <col min="9991" max="9991" width="6.44140625" style="655" customWidth="1"/>
    <col min="9992" max="9992" width="9" style="655" customWidth="1"/>
    <col min="9993" max="9993" width="8.6640625" style="655" customWidth="1"/>
    <col min="9994" max="10003" width="0" style="655" hidden="1" customWidth="1"/>
    <col min="10004" max="10240" width="9.109375" style="655"/>
    <col min="10241" max="10241" width="8.33203125" style="655" customWidth="1"/>
    <col min="10242" max="10242" width="35.5546875" style="655" customWidth="1"/>
    <col min="10243" max="10246" width="6.33203125" style="655" customWidth="1"/>
    <col min="10247" max="10247" width="6.44140625" style="655" customWidth="1"/>
    <col min="10248" max="10248" width="9" style="655" customWidth="1"/>
    <col min="10249" max="10249" width="8.6640625" style="655" customWidth="1"/>
    <col min="10250" max="10259" width="0" style="655" hidden="1" customWidth="1"/>
    <col min="10260" max="10496" width="9.109375" style="655"/>
    <col min="10497" max="10497" width="8.33203125" style="655" customWidth="1"/>
    <col min="10498" max="10498" width="35.5546875" style="655" customWidth="1"/>
    <col min="10499" max="10502" width="6.33203125" style="655" customWidth="1"/>
    <col min="10503" max="10503" width="6.44140625" style="655" customWidth="1"/>
    <col min="10504" max="10504" width="9" style="655" customWidth="1"/>
    <col min="10505" max="10505" width="8.6640625" style="655" customWidth="1"/>
    <col min="10506" max="10515" width="0" style="655" hidden="1" customWidth="1"/>
    <col min="10516" max="10752" width="9.109375" style="655"/>
    <col min="10753" max="10753" width="8.33203125" style="655" customWidth="1"/>
    <col min="10754" max="10754" width="35.5546875" style="655" customWidth="1"/>
    <col min="10755" max="10758" width="6.33203125" style="655" customWidth="1"/>
    <col min="10759" max="10759" width="6.44140625" style="655" customWidth="1"/>
    <col min="10760" max="10760" width="9" style="655" customWidth="1"/>
    <col min="10761" max="10761" width="8.6640625" style="655" customWidth="1"/>
    <col min="10762" max="10771" width="0" style="655" hidden="1" customWidth="1"/>
    <col min="10772" max="11008" width="9.109375" style="655"/>
    <col min="11009" max="11009" width="8.33203125" style="655" customWidth="1"/>
    <col min="11010" max="11010" width="35.5546875" style="655" customWidth="1"/>
    <col min="11011" max="11014" width="6.33203125" style="655" customWidth="1"/>
    <col min="11015" max="11015" width="6.44140625" style="655" customWidth="1"/>
    <col min="11016" max="11016" width="9" style="655" customWidth="1"/>
    <col min="11017" max="11017" width="8.6640625" style="655" customWidth="1"/>
    <col min="11018" max="11027" width="0" style="655" hidden="1" customWidth="1"/>
    <col min="11028" max="11264" width="9.109375" style="655"/>
    <col min="11265" max="11265" width="8.33203125" style="655" customWidth="1"/>
    <col min="11266" max="11266" width="35.5546875" style="655" customWidth="1"/>
    <col min="11267" max="11270" width="6.33203125" style="655" customWidth="1"/>
    <col min="11271" max="11271" width="6.44140625" style="655" customWidth="1"/>
    <col min="11272" max="11272" width="9" style="655" customWidth="1"/>
    <col min="11273" max="11273" width="8.6640625" style="655" customWidth="1"/>
    <col min="11274" max="11283" width="0" style="655" hidden="1" customWidth="1"/>
    <col min="11284" max="11520" width="9.109375" style="655"/>
    <col min="11521" max="11521" width="8.33203125" style="655" customWidth="1"/>
    <col min="11522" max="11522" width="35.5546875" style="655" customWidth="1"/>
    <col min="11523" max="11526" width="6.33203125" style="655" customWidth="1"/>
    <col min="11527" max="11527" width="6.44140625" style="655" customWidth="1"/>
    <col min="11528" max="11528" width="9" style="655" customWidth="1"/>
    <col min="11529" max="11529" width="8.6640625" style="655" customWidth="1"/>
    <col min="11530" max="11539" width="0" style="655" hidden="1" customWidth="1"/>
    <col min="11540" max="11776" width="9.109375" style="655"/>
    <col min="11777" max="11777" width="8.33203125" style="655" customWidth="1"/>
    <col min="11778" max="11778" width="35.5546875" style="655" customWidth="1"/>
    <col min="11779" max="11782" width="6.33203125" style="655" customWidth="1"/>
    <col min="11783" max="11783" width="6.44140625" style="655" customWidth="1"/>
    <col min="11784" max="11784" width="9" style="655" customWidth="1"/>
    <col min="11785" max="11785" width="8.6640625" style="655" customWidth="1"/>
    <col min="11786" max="11795" width="0" style="655" hidden="1" customWidth="1"/>
    <col min="11796" max="12032" width="9.109375" style="655"/>
    <col min="12033" max="12033" width="8.33203125" style="655" customWidth="1"/>
    <col min="12034" max="12034" width="35.5546875" style="655" customWidth="1"/>
    <col min="12035" max="12038" width="6.33203125" style="655" customWidth="1"/>
    <col min="12039" max="12039" width="6.44140625" style="655" customWidth="1"/>
    <col min="12040" max="12040" width="9" style="655" customWidth="1"/>
    <col min="12041" max="12041" width="8.6640625" style="655" customWidth="1"/>
    <col min="12042" max="12051" width="0" style="655" hidden="1" customWidth="1"/>
    <col min="12052" max="12288" width="9.109375" style="655"/>
    <col min="12289" max="12289" width="8.33203125" style="655" customWidth="1"/>
    <col min="12290" max="12290" width="35.5546875" style="655" customWidth="1"/>
    <col min="12291" max="12294" width="6.33203125" style="655" customWidth="1"/>
    <col min="12295" max="12295" width="6.44140625" style="655" customWidth="1"/>
    <col min="12296" max="12296" width="9" style="655" customWidth="1"/>
    <col min="12297" max="12297" width="8.6640625" style="655" customWidth="1"/>
    <col min="12298" max="12307" width="0" style="655" hidden="1" customWidth="1"/>
    <col min="12308" max="12544" width="9.109375" style="655"/>
    <col min="12545" max="12545" width="8.33203125" style="655" customWidth="1"/>
    <col min="12546" max="12546" width="35.5546875" style="655" customWidth="1"/>
    <col min="12547" max="12550" width="6.33203125" style="655" customWidth="1"/>
    <col min="12551" max="12551" width="6.44140625" style="655" customWidth="1"/>
    <col min="12552" max="12552" width="9" style="655" customWidth="1"/>
    <col min="12553" max="12553" width="8.6640625" style="655" customWidth="1"/>
    <col min="12554" max="12563" width="0" style="655" hidden="1" customWidth="1"/>
    <col min="12564" max="12800" width="9.109375" style="655"/>
    <col min="12801" max="12801" width="8.33203125" style="655" customWidth="1"/>
    <col min="12802" max="12802" width="35.5546875" style="655" customWidth="1"/>
    <col min="12803" max="12806" width="6.33203125" style="655" customWidth="1"/>
    <col min="12807" max="12807" width="6.44140625" style="655" customWidth="1"/>
    <col min="12808" max="12808" width="9" style="655" customWidth="1"/>
    <col min="12809" max="12809" width="8.6640625" style="655" customWidth="1"/>
    <col min="12810" max="12819" width="0" style="655" hidden="1" customWidth="1"/>
    <col min="12820" max="13056" width="9.109375" style="655"/>
    <col min="13057" max="13057" width="8.33203125" style="655" customWidth="1"/>
    <col min="13058" max="13058" width="35.5546875" style="655" customWidth="1"/>
    <col min="13059" max="13062" width="6.33203125" style="655" customWidth="1"/>
    <col min="13063" max="13063" width="6.44140625" style="655" customWidth="1"/>
    <col min="13064" max="13064" width="9" style="655" customWidth="1"/>
    <col min="13065" max="13065" width="8.6640625" style="655" customWidth="1"/>
    <col min="13066" max="13075" width="0" style="655" hidden="1" customWidth="1"/>
    <col min="13076" max="13312" width="9.109375" style="655"/>
    <col min="13313" max="13313" width="8.33203125" style="655" customWidth="1"/>
    <col min="13314" max="13314" width="35.5546875" style="655" customWidth="1"/>
    <col min="13315" max="13318" width="6.33203125" style="655" customWidth="1"/>
    <col min="13319" max="13319" width="6.44140625" style="655" customWidth="1"/>
    <col min="13320" max="13320" width="9" style="655" customWidth="1"/>
    <col min="13321" max="13321" width="8.6640625" style="655" customWidth="1"/>
    <col min="13322" max="13331" width="0" style="655" hidden="1" customWidth="1"/>
    <col min="13332" max="13568" width="9.109375" style="655"/>
    <col min="13569" max="13569" width="8.33203125" style="655" customWidth="1"/>
    <col min="13570" max="13570" width="35.5546875" style="655" customWidth="1"/>
    <col min="13571" max="13574" width="6.33203125" style="655" customWidth="1"/>
    <col min="13575" max="13575" width="6.44140625" style="655" customWidth="1"/>
    <col min="13576" max="13576" width="9" style="655" customWidth="1"/>
    <col min="13577" max="13577" width="8.6640625" style="655" customWidth="1"/>
    <col min="13578" max="13587" width="0" style="655" hidden="1" customWidth="1"/>
    <col min="13588" max="13824" width="9.109375" style="655"/>
    <col min="13825" max="13825" width="8.33203125" style="655" customWidth="1"/>
    <col min="13826" max="13826" width="35.5546875" style="655" customWidth="1"/>
    <col min="13827" max="13830" width="6.33203125" style="655" customWidth="1"/>
    <col min="13831" max="13831" width="6.44140625" style="655" customWidth="1"/>
    <col min="13832" max="13832" width="9" style="655" customWidth="1"/>
    <col min="13833" max="13833" width="8.6640625" style="655" customWidth="1"/>
    <col min="13834" max="13843" width="0" style="655" hidden="1" customWidth="1"/>
    <col min="13844" max="14080" width="9.109375" style="655"/>
    <col min="14081" max="14081" width="8.33203125" style="655" customWidth="1"/>
    <col min="14082" max="14082" width="35.5546875" style="655" customWidth="1"/>
    <col min="14083" max="14086" width="6.33203125" style="655" customWidth="1"/>
    <col min="14087" max="14087" width="6.44140625" style="655" customWidth="1"/>
    <col min="14088" max="14088" width="9" style="655" customWidth="1"/>
    <col min="14089" max="14089" width="8.6640625" style="655" customWidth="1"/>
    <col min="14090" max="14099" width="0" style="655" hidden="1" customWidth="1"/>
    <col min="14100" max="14336" width="9.109375" style="655"/>
    <col min="14337" max="14337" width="8.33203125" style="655" customWidth="1"/>
    <col min="14338" max="14338" width="35.5546875" style="655" customWidth="1"/>
    <col min="14339" max="14342" width="6.33203125" style="655" customWidth="1"/>
    <col min="14343" max="14343" width="6.44140625" style="655" customWidth="1"/>
    <col min="14344" max="14344" width="9" style="655" customWidth="1"/>
    <col min="14345" max="14345" width="8.6640625" style="655" customWidth="1"/>
    <col min="14346" max="14355" width="0" style="655" hidden="1" customWidth="1"/>
    <col min="14356" max="14592" width="9.109375" style="655"/>
    <col min="14593" max="14593" width="8.33203125" style="655" customWidth="1"/>
    <col min="14594" max="14594" width="35.5546875" style="655" customWidth="1"/>
    <col min="14595" max="14598" width="6.33203125" style="655" customWidth="1"/>
    <col min="14599" max="14599" width="6.44140625" style="655" customWidth="1"/>
    <col min="14600" max="14600" width="9" style="655" customWidth="1"/>
    <col min="14601" max="14601" width="8.6640625" style="655" customWidth="1"/>
    <col min="14602" max="14611" width="0" style="655" hidden="1" customWidth="1"/>
    <col min="14612" max="14848" width="9.109375" style="655"/>
    <col min="14849" max="14849" width="8.33203125" style="655" customWidth="1"/>
    <col min="14850" max="14850" width="35.5546875" style="655" customWidth="1"/>
    <col min="14851" max="14854" width="6.33203125" style="655" customWidth="1"/>
    <col min="14855" max="14855" width="6.44140625" style="655" customWidth="1"/>
    <col min="14856" max="14856" width="9" style="655" customWidth="1"/>
    <col min="14857" max="14857" width="8.6640625" style="655" customWidth="1"/>
    <col min="14858" max="14867" width="0" style="655" hidden="1" customWidth="1"/>
    <col min="14868" max="15104" width="9.109375" style="655"/>
    <col min="15105" max="15105" width="8.33203125" style="655" customWidth="1"/>
    <col min="15106" max="15106" width="35.5546875" style="655" customWidth="1"/>
    <col min="15107" max="15110" width="6.33203125" style="655" customWidth="1"/>
    <col min="15111" max="15111" width="6.44140625" style="655" customWidth="1"/>
    <col min="15112" max="15112" width="9" style="655" customWidth="1"/>
    <col min="15113" max="15113" width="8.6640625" style="655" customWidth="1"/>
    <col min="15114" max="15123" width="0" style="655" hidden="1" customWidth="1"/>
    <col min="15124" max="15360" width="9.109375" style="655"/>
    <col min="15361" max="15361" width="8.33203125" style="655" customWidth="1"/>
    <col min="15362" max="15362" width="35.5546875" style="655" customWidth="1"/>
    <col min="15363" max="15366" width="6.33203125" style="655" customWidth="1"/>
    <col min="15367" max="15367" width="6.44140625" style="655" customWidth="1"/>
    <col min="15368" max="15368" width="9" style="655" customWidth="1"/>
    <col min="15369" max="15369" width="8.6640625" style="655" customWidth="1"/>
    <col min="15370" max="15379" width="0" style="655" hidden="1" customWidth="1"/>
    <col min="15380" max="15616" width="9.109375" style="655"/>
    <col min="15617" max="15617" width="8.33203125" style="655" customWidth="1"/>
    <col min="15618" max="15618" width="35.5546875" style="655" customWidth="1"/>
    <col min="15619" max="15622" width="6.33203125" style="655" customWidth="1"/>
    <col min="15623" max="15623" width="6.44140625" style="655" customWidth="1"/>
    <col min="15624" max="15624" width="9" style="655" customWidth="1"/>
    <col min="15625" max="15625" width="8.6640625" style="655" customWidth="1"/>
    <col min="15626" max="15635" width="0" style="655" hidden="1" customWidth="1"/>
    <col min="15636" max="15872" width="9.109375" style="655"/>
    <col min="15873" max="15873" width="8.33203125" style="655" customWidth="1"/>
    <col min="15874" max="15874" width="35.5546875" style="655" customWidth="1"/>
    <col min="15875" max="15878" width="6.33203125" style="655" customWidth="1"/>
    <col min="15879" max="15879" width="6.44140625" style="655" customWidth="1"/>
    <col min="15880" max="15880" width="9" style="655" customWidth="1"/>
    <col min="15881" max="15881" width="8.6640625" style="655" customWidth="1"/>
    <col min="15882" max="15891" width="0" style="655" hidden="1" customWidth="1"/>
    <col min="15892" max="16128" width="9.109375" style="655"/>
    <col min="16129" max="16129" width="8.33203125" style="655" customWidth="1"/>
    <col min="16130" max="16130" width="35.5546875" style="655" customWidth="1"/>
    <col min="16131" max="16134" width="6.33203125" style="655" customWidth="1"/>
    <col min="16135" max="16135" width="6.44140625" style="655" customWidth="1"/>
    <col min="16136" max="16136" width="9" style="655" customWidth="1"/>
    <col min="16137" max="16137" width="8.6640625" style="655" customWidth="1"/>
    <col min="16138" max="16147" width="0" style="655" hidden="1" customWidth="1"/>
    <col min="16148" max="16384" width="9.109375" style="655"/>
  </cols>
  <sheetData>
    <row r="1" spans="1:23" ht="16.5" customHeight="1">
      <c r="A1" s="652" t="s">
        <v>143</v>
      </c>
      <c r="B1" s="686" t="s">
        <v>212</v>
      </c>
      <c r="C1" s="920" t="s">
        <v>213</v>
      </c>
      <c r="D1" s="921"/>
      <c r="E1" s="921"/>
      <c r="F1" s="922"/>
      <c r="G1" s="687" t="s">
        <v>214</v>
      </c>
      <c r="H1" s="654" t="s">
        <v>215</v>
      </c>
      <c r="I1" s="654" t="s">
        <v>164</v>
      </c>
      <c r="J1" s="722" t="s">
        <v>309</v>
      </c>
      <c r="K1" s="722" t="s">
        <v>311</v>
      </c>
    </row>
    <row r="2" spans="1:23" s="657" customFormat="1">
      <c r="A2" s="688"/>
      <c r="B2" s="689"/>
      <c r="C2" s="690" t="s">
        <v>199</v>
      </c>
      <c r="D2" s="691" t="s">
        <v>195</v>
      </c>
      <c r="E2" s="691" t="s">
        <v>200</v>
      </c>
      <c r="F2" s="692" t="s">
        <v>201</v>
      </c>
      <c r="G2" s="693"/>
      <c r="H2" s="656" t="s">
        <v>262</v>
      </c>
      <c r="I2" s="656" t="s">
        <v>262</v>
      </c>
      <c r="J2" s="723" t="s">
        <v>310</v>
      </c>
      <c r="K2" s="723" t="s">
        <v>310</v>
      </c>
    </row>
    <row r="3" spans="1:23" s="657" customFormat="1">
      <c r="A3" s="658"/>
      <c r="B3" s="694"/>
      <c r="C3" s="695"/>
      <c r="D3" s="660"/>
      <c r="E3" s="660"/>
      <c r="F3" s="696"/>
      <c r="G3" s="697"/>
      <c r="H3" s="661"/>
      <c r="I3" s="661"/>
      <c r="J3" s="661"/>
      <c r="K3" s="661"/>
      <c r="U3" s="662"/>
      <c r="W3" s="662"/>
    </row>
    <row r="4" spans="1:23" s="662" customFormat="1">
      <c r="A4" s="658"/>
      <c r="B4" s="698"/>
      <c r="C4" s="695"/>
      <c r="D4" s="660"/>
      <c r="E4" s="660"/>
      <c r="F4" s="696"/>
      <c r="G4" s="697"/>
      <c r="H4" s="661"/>
      <c r="I4" s="661"/>
      <c r="J4" s="661"/>
      <c r="K4" s="661"/>
    </row>
    <row r="5" spans="1:23" s="662" customFormat="1">
      <c r="A5" s="658"/>
      <c r="B5" s="699"/>
      <c r="C5" s="700"/>
      <c r="D5" s="701"/>
      <c r="E5" s="701"/>
      <c r="F5" s="702"/>
      <c r="G5" s="697"/>
      <c r="H5" s="661"/>
      <c r="I5" s="661"/>
      <c r="J5" s="661"/>
      <c r="K5" s="661"/>
    </row>
    <row r="6" spans="1:23" s="662" customFormat="1">
      <c r="A6" s="658"/>
      <c r="B6" s="698"/>
      <c r="C6" s="695"/>
      <c r="D6" s="660"/>
      <c r="E6" s="660"/>
      <c r="F6" s="696"/>
      <c r="G6" s="697"/>
      <c r="H6" s="661"/>
      <c r="I6" s="661"/>
      <c r="J6" s="661"/>
      <c r="K6" s="661"/>
    </row>
    <row r="7" spans="1:23" s="662" customFormat="1">
      <c r="A7" s="658"/>
      <c r="B7" s="703"/>
      <c r="C7" s="704"/>
      <c r="D7" s="665"/>
      <c r="E7" s="665"/>
      <c r="F7" s="705"/>
      <c r="G7" s="706"/>
      <c r="H7" s="661"/>
      <c r="I7" s="661"/>
      <c r="J7" s="661"/>
      <c r="K7" s="661"/>
    </row>
    <row r="8" spans="1:23" s="662" customFormat="1">
      <c r="A8" s="658"/>
      <c r="B8" s="698"/>
      <c r="C8" s="695"/>
      <c r="D8" s="660"/>
      <c r="E8" s="660"/>
      <c r="F8" s="696"/>
      <c r="G8" s="697"/>
      <c r="H8" s="661"/>
      <c r="I8" s="661"/>
      <c r="J8" s="661"/>
      <c r="K8" s="661"/>
    </row>
    <row r="9" spans="1:23" s="662" customFormat="1">
      <c r="A9" s="658"/>
      <c r="B9" s="703"/>
      <c r="C9" s="704"/>
      <c r="D9" s="665"/>
      <c r="E9" s="665"/>
      <c r="F9" s="705"/>
      <c r="G9" s="706"/>
      <c r="H9" s="661"/>
      <c r="I9" s="661"/>
      <c r="J9" s="661"/>
      <c r="K9" s="661"/>
    </row>
    <row r="10" spans="1:23" s="662" customFormat="1">
      <c r="A10" s="658"/>
      <c r="B10" s="703"/>
      <c r="C10" s="695"/>
      <c r="D10" s="660"/>
      <c r="E10" s="660"/>
      <c r="F10" s="696"/>
      <c r="G10" s="697"/>
      <c r="H10" s="661"/>
      <c r="I10" s="661"/>
      <c r="J10" s="661"/>
      <c r="K10" s="661"/>
    </row>
    <row r="11" spans="1:23" s="666" customFormat="1" ht="22.65" customHeight="1">
      <c r="A11" s="651"/>
      <c r="B11" s="707"/>
      <c r="C11" s="704"/>
      <c r="D11" s="665"/>
      <c r="E11" s="665"/>
      <c r="F11" s="705"/>
      <c r="G11" s="706"/>
      <c r="H11" s="661"/>
      <c r="I11" s="661"/>
      <c r="J11" s="661"/>
      <c r="K11" s="661"/>
    </row>
    <row r="12" spans="1:23" s="662" customFormat="1">
      <c r="A12" s="658"/>
      <c r="B12" s="698"/>
      <c r="C12" s="695"/>
      <c r="D12" s="660"/>
      <c r="E12" s="660"/>
      <c r="F12" s="696"/>
      <c r="G12" s="697"/>
      <c r="H12" s="661"/>
      <c r="I12" s="661"/>
      <c r="J12" s="661"/>
      <c r="K12" s="661"/>
    </row>
    <row r="13" spans="1:23" s="662" customFormat="1">
      <c r="A13" s="658"/>
      <c r="B13" s="698"/>
      <c r="C13" s="704"/>
      <c r="D13" s="665"/>
      <c r="E13" s="665"/>
      <c r="F13" s="705"/>
      <c r="G13" s="706"/>
      <c r="H13" s="661"/>
      <c r="I13" s="661"/>
      <c r="J13" s="661"/>
      <c r="K13" s="661"/>
    </row>
    <row r="14" spans="1:23" s="662" customFormat="1">
      <c r="A14" s="658"/>
      <c r="B14" s="694"/>
      <c r="C14" s="695"/>
      <c r="D14" s="660"/>
      <c r="E14" s="660"/>
      <c r="F14" s="696"/>
      <c r="G14" s="697"/>
      <c r="H14" s="661"/>
      <c r="I14" s="661"/>
      <c r="J14" s="661"/>
      <c r="K14" s="661"/>
    </row>
    <row r="15" spans="1:23" s="666" customFormat="1">
      <c r="A15" s="658"/>
      <c r="B15" s="698"/>
      <c r="C15" s="704"/>
      <c r="D15" s="665"/>
      <c r="E15" s="665"/>
      <c r="F15" s="705"/>
      <c r="G15" s="706"/>
      <c r="H15" s="661"/>
      <c r="I15" s="661"/>
      <c r="J15" s="661"/>
      <c r="K15" s="661"/>
    </row>
    <row r="16" spans="1:23" s="666" customFormat="1">
      <c r="A16" s="658"/>
      <c r="B16" s="694"/>
      <c r="C16" s="695"/>
      <c r="D16" s="660"/>
      <c r="E16" s="660"/>
      <c r="F16" s="696"/>
      <c r="G16" s="697"/>
      <c r="H16" s="661"/>
      <c r="I16" s="661"/>
      <c r="J16" s="661"/>
      <c r="K16" s="661"/>
    </row>
    <row r="17" spans="1:11" s="666" customFormat="1">
      <c r="A17" s="658"/>
      <c r="B17" s="698"/>
      <c r="C17" s="704"/>
      <c r="D17" s="665"/>
      <c r="E17" s="665"/>
      <c r="F17" s="705"/>
      <c r="G17" s="706"/>
      <c r="H17" s="661"/>
      <c r="I17" s="661"/>
      <c r="J17" s="661"/>
      <c r="K17" s="661"/>
    </row>
    <row r="18" spans="1:11" s="666" customFormat="1">
      <c r="A18" s="658"/>
      <c r="B18" s="694"/>
      <c r="C18" s="695"/>
      <c r="D18" s="660"/>
      <c r="E18" s="660"/>
      <c r="F18" s="696"/>
      <c r="G18" s="697"/>
      <c r="H18" s="661"/>
      <c r="I18" s="661"/>
      <c r="J18" s="661"/>
      <c r="K18" s="661"/>
    </row>
    <row r="19" spans="1:11" s="666" customFormat="1">
      <c r="A19" s="658"/>
      <c r="B19" s="698"/>
      <c r="C19" s="704"/>
      <c r="D19" s="665"/>
      <c r="E19" s="665"/>
      <c r="F19" s="705"/>
      <c r="G19" s="706"/>
      <c r="H19" s="661"/>
      <c r="I19" s="661"/>
      <c r="J19" s="661"/>
      <c r="K19" s="661"/>
    </row>
    <row r="20" spans="1:11" s="666" customFormat="1">
      <c r="A20" s="658"/>
      <c r="B20" s="694"/>
      <c r="C20" s="695"/>
      <c r="D20" s="660"/>
      <c r="E20" s="660"/>
      <c r="F20" s="696"/>
      <c r="G20" s="697"/>
      <c r="H20" s="661"/>
      <c r="I20" s="661"/>
      <c r="J20" s="661"/>
      <c r="K20" s="661"/>
    </row>
    <row r="21" spans="1:11" s="666" customFormat="1">
      <c r="A21" s="658"/>
      <c r="B21" s="698"/>
      <c r="C21" s="704"/>
      <c r="D21" s="665"/>
      <c r="E21" s="665"/>
      <c r="F21" s="705"/>
      <c r="G21" s="706"/>
      <c r="H21" s="661"/>
      <c r="I21" s="661"/>
      <c r="J21" s="661"/>
      <c r="K21" s="661"/>
    </row>
    <row r="22" spans="1:11" s="666" customFormat="1">
      <c r="A22" s="658"/>
      <c r="B22" s="694"/>
      <c r="C22" s="695"/>
      <c r="D22" s="660"/>
      <c r="E22" s="660"/>
      <c r="F22" s="696"/>
      <c r="G22" s="697"/>
      <c r="H22" s="661"/>
      <c r="I22" s="661"/>
      <c r="J22" s="661"/>
      <c r="K22" s="661"/>
    </row>
    <row r="23" spans="1:11" s="666" customFormat="1">
      <c r="A23" s="658"/>
      <c r="B23" s="698"/>
      <c r="C23" s="704"/>
      <c r="D23" s="665"/>
      <c r="E23" s="665"/>
      <c r="F23" s="705"/>
      <c r="G23" s="706"/>
      <c r="H23" s="661"/>
      <c r="I23" s="661"/>
      <c r="J23" s="661"/>
      <c r="K23" s="661"/>
    </row>
    <row r="24" spans="1:11" s="666" customFormat="1">
      <c r="A24" s="658"/>
      <c r="B24" s="694"/>
      <c r="C24" s="695"/>
      <c r="D24" s="660"/>
      <c r="E24" s="660"/>
      <c r="F24" s="696"/>
      <c r="G24" s="697"/>
      <c r="H24" s="661"/>
      <c r="I24" s="661"/>
      <c r="J24" s="661"/>
      <c r="K24" s="661"/>
    </row>
    <row r="25" spans="1:11" s="666" customFormat="1">
      <c r="A25" s="658"/>
      <c r="B25" s="703"/>
      <c r="C25" s="704"/>
      <c r="D25" s="665"/>
      <c r="E25" s="665"/>
      <c r="F25" s="705"/>
      <c r="G25" s="706"/>
      <c r="H25" s="661"/>
      <c r="I25" s="661"/>
      <c r="J25" s="661"/>
      <c r="K25" s="661"/>
    </row>
    <row r="26" spans="1:11" s="666" customFormat="1" ht="22.65" customHeight="1">
      <c r="A26" s="651"/>
      <c r="B26" s="708"/>
      <c r="C26" s="695"/>
      <c r="D26" s="660"/>
      <c r="E26" s="660"/>
      <c r="F26" s="696"/>
      <c r="G26" s="697"/>
      <c r="H26" s="661"/>
      <c r="I26" s="661"/>
      <c r="J26" s="661"/>
      <c r="K26" s="661"/>
    </row>
    <row r="27" spans="1:11" s="666" customFormat="1">
      <c r="A27" s="658"/>
      <c r="B27" s="703"/>
      <c r="C27" s="704"/>
      <c r="D27" s="665"/>
      <c r="E27" s="665"/>
      <c r="F27" s="705"/>
      <c r="G27" s="706"/>
      <c r="H27" s="661"/>
      <c r="I27" s="661"/>
      <c r="J27" s="661"/>
      <c r="K27" s="661"/>
    </row>
    <row r="28" spans="1:11" s="666" customFormat="1">
      <c r="A28" s="658"/>
      <c r="B28" s="694"/>
      <c r="C28" s="695"/>
      <c r="D28" s="660"/>
      <c r="E28" s="660"/>
      <c r="F28" s="696"/>
      <c r="G28" s="697"/>
      <c r="H28" s="661"/>
      <c r="I28" s="661"/>
      <c r="J28" s="661"/>
      <c r="K28" s="661"/>
    </row>
    <row r="29" spans="1:11" s="666" customFormat="1" ht="22.65" customHeight="1">
      <c r="A29" s="651"/>
      <c r="B29" s="707"/>
      <c r="C29" s="704"/>
      <c r="D29" s="665"/>
      <c r="E29" s="665"/>
      <c r="F29" s="705"/>
      <c r="G29" s="706"/>
      <c r="H29" s="661"/>
      <c r="I29" s="661"/>
      <c r="J29" s="661"/>
      <c r="K29" s="661"/>
    </row>
    <row r="30" spans="1:11" s="666" customFormat="1">
      <c r="A30" s="658"/>
      <c r="B30" s="694"/>
      <c r="C30" s="695"/>
      <c r="D30" s="660"/>
      <c r="E30" s="660"/>
      <c r="F30" s="696"/>
      <c r="G30" s="697"/>
      <c r="H30" s="661"/>
      <c r="I30" s="661"/>
      <c r="J30" s="661"/>
      <c r="K30" s="661"/>
    </row>
    <row r="31" spans="1:11" s="666" customFormat="1">
      <c r="A31" s="658"/>
      <c r="B31" s="698"/>
      <c r="C31" s="704"/>
      <c r="D31" s="665"/>
      <c r="E31" s="665"/>
      <c r="F31" s="705"/>
      <c r="G31" s="706"/>
      <c r="H31" s="661"/>
      <c r="I31" s="661"/>
      <c r="J31" s="661"/>
      <c r="K31" s="661"/>
    </row>
    <row r="32" spans="1:11" s="666" customFormat="1">
      <c r="A32" s="658"/>
      <c r="B32" s="698"/>
      <c r="C32" s="704"/>
      <c r="D32" s="665"/>
      <c r="E32" s="665"/>
      <c r="F32" s="705"/>
      <c r="G32" s="706"/>
      <c r="H32" s="661"/>
      <c r="I32" s="661"/>
      <c r="J32" s="661"/>
      <c r="K32" s="661"/>
    </row>
    <row r="33" spans="1:11" s="666" customFormat="1">
      <c r="A33" s="658"/>
      <c r="B33" s="698"/>
      <c r="C33" s="704"/>
      <c r="D33" s="665"/>
      <c r="E33" s="665"/>
      <c r="F33" s="705"/>
      <c r="G33" s="706"/>
      <c r="H33" s="661"/>
      <c r="I33" s="661"/>
      <c r="J33" s="661"/>
      <c r="K33" s="661"/>
    </row>
    <row r="34" spans="1:11" s="666" customFormat="1">
      <c r="A34" s="658"/>
      <c r="B34" s="698"/>
      <c r="C34" s="704"/>
      <c r="D34" s="665"/>
      <c r="E34" s="665"/>
      <c r="F34" s="705"/>
      <c r="G34" s="706"/>
      <c r="H34" s="661"/>
      <c r="I34" s="661"/>
      <c r="J34" s="661"/>
      <c r="K34" s="661"/>
    </row>
    <row r="35" spans="1:11" s="666" customFormat="1">
      <c r="A35" s="658"/>
      <c r="B35" s="698"/>
      <c r="C35" s="704"/>
      <c r="D35" s="665"/>
      <c r="E35" s="665"/>
      <c r="F35" s="705"/>
      <c r="G35" s="706"/>
      <c r="H35" s="661"/>
      <c r="I35" s="661"/>
      <c r="J35" s="661"/>
      <c r="K35" s="661"/>
    </row>
    <row r="36" spans="1:11" s="666" customFormat="1">
      <c r="A36" s="658"/>
      <c r="B36" s="698"/>
      <c r="C36" s="704"/>
      <c r="D36" s="665"/>
      <c r="E36" s="665"/>
      <c r="F36" s="705"/>
      <c r="G36" s="706"/>
      <c r="H36" s="661"/>
      <c r="I36" s="661"/>
      <c r="J36" s="661"/>
      <c r="K36" s="661"/>
    </row>
    <row r="37" spans="1:11" s="666" customFormat="1">
      <c r="A37" s="658"/>
      <c r="B37" s="698"/>
      <c r="C37" s="704"/>
      <c r="D37" s="665"/>
      <c r="E37" s="665"/>
      <c r="F37" s="705"/>
      <c r="G37" s="706"/>
      <c r="H37" s="661"/>
      <c r="I37" s="661"/>
      <c r="J37" s="661"/>
      <c r="K37" s="661"/>
    </row>
    <row r="38" spans="1:11" s="666" customFormat="1">
      <c r="A38" s="658"/>
      <c r="B38" s="698"/>
      <c r="C38" s="704"/>
      <c r="D38" s="665"/>
      <c r="E38" s="665"/>
      <c r="F38" s="705"/>
      <c r="G38" s="706"/>
      <c r="H38" s="661"/>
      <c r="I38" s="661"/>
      <c r="J38" s="661"/>
      <c r="K38" s="661"/>
    </row>
    <row r="39" spans="1:11" s="666" customFormat="1">
      <c r="A39" s="658"/>
      <c r="B39" s="698"/>
      <c r="C39" s="704"/>
      <c r="D39" s="665"/>
      <c r="E39" s="665"/>
      <c r="F39" s="705"/>
      <c r="G39" s="706"/>
      <c r="H39" s="661"/>
      <c r="I39" s="661"/>
      <c r="J39" s="661"/>
      <c r="K39" s="661"/>
    </row>
    <row r="40" spans="1:11" s="666" customFormat="1">
      <c r="A40" s="658"/>
      <c r="B40" s="698"/>
      <c r="C40" s="704"/>
      <c r="D40" s="665"/>
      <c r="E40" s="665"/>
      <c r="F40" s="705"/>
      <c r="G40" s="706"/>
      <c r="H40" s="661"/>
      <c r="I40" s="661"/>
      <c r="J40" s="661"/>
      <c r="K40" s="661"/>
    </row>
    <row r="41" spans="1:11" s="666" customFormat="1">
      <c r="A41" s="658"/>
      <c r="B41" s="698"/>
      <c r="C41" s="704"/>
      <c r="D41" s="665"/>
      <c r="E41" s="665"/>
      <c r="F41" s="705"/>
      <c r="G41" s="706"/>
      <c r="H41" s="661"/>
      <c r="I41" s="661"/>
      <c r="J41" s="661"/>
      <c r="K41" s="661"/>
    </row>
    <row r="42" spans="1:11" s="666" customFormat="1">
      <c r="A42" s="658"/>
      <c r="B42" s="698"/>
      <c r="C42" s="704"/>
      <c r="D42" s="665"/>
      <c r="E42" s="665"/>
      <c r="F42" s="705"/>
      <c r="G42" s="706"/>
      <c r="H42" s="661"/>
      <c r="I42" s="661"/>
      <c r="J42" s="661"/>
      <c r="K42" s="661"/>
    </row>
    <row r="43" spans="1:11" s="666" customFormat="1">
      <c r="A43" s="658"/>
      <c r="B43" s="698"/>
      <c r="C43" s="704"/>
      <c r="D43" s="665"/>
      <c r="E43" s="665"/>
      <c r="F43" s="705"/>
      <c r="G43" s="706"/>
      <c r="H43" s="661"/>
      <c r="I43" s="661"/>
      <c r="J43" s="661"/>
      <c r="K43" s="661"/>
    </row>
    <row r="44" spans="1:11" s="666" customFormat="1">
      <c r="A44" s="658"/>
      <c r="B44" s="698"/>
      <c r="C44" s="704"/>
      <c r="D44" s="665"/>
      <c r="E44" s="665"/>
      <c r="F44" s="705"/>
      <c r="G44" s="706"/>
      <c r="H44" s="661"/>
      <c r="I44" s="661"/>
      <c r="J44" s="661"/>
      <c r="K44" s="661"/>
    </row>
    <row r="45" spans="1:11" s="666" customFormat="1">
      <c r="A45" s="658"/>
      <c r="B45" s="698"/>
      <c r="C45" s="704"/>
      <c r="D45" s="665"/>
      <c r="E45" s="665"/>
      <c r="F45" s="705"/>
      <c r="G45" s="706"/>
      <c r="H45" s="661"/>
      <c r="I45" s="661"/>
      <c r="J45" s="661"/>
      <c r="K45" s="661"/>
    </row>
    <row r="46" spans="1:11" s="666" customFormat="1">
      <c r="A46" s="658"/>
      <c r="B46" s="694"/>
      <c r="C46" s="695"/>
      <c r="D46" s="660"/>
      <c r="E46" s="660"/>
      <c r="F46" s="696"/>
      <c r="G46" s="697"/>
      <c r="H46" s="661"/>
      <c r="I46" s="661"/>
      <c r="J46" s="661"/>
      <c r="K46" s="661"/>
    </row>
    <row r="47" spans="1:11" s="666" customFormat="1">
      <c r="A47" s="658"/>
      <c r="B47" s="698"/>
      <c r="C47" s="704"/>
      <c r="D47" s="665"/>
      <c r="E47" s="665"/>
      <c r="F47" s="705"/>
      <c r="G47" s="706"/>
      <c r="H47" s="661"/>
      <c r="I47" s="661"/>
      <c r="J47" s="661"/>
      <c r="K47" s="661"/>
    </row>
    <row r="48" spans="1:11" s="666" customFormat="1">
      <c r="A48" s="658"/>
      <c r="B48" s="694"/>
      <c r="C48" s="695"/>
      <c r="D48" s="660"/>
      <c r="E48" s="660"/>
      <c r="F48" s="696"/>
      <c r="G48" s="697"/>
      <c r="H48" s="661"/>
      <c r="I48" s="661"/>
      <c r="J48" s="661"/>
      <c r="K48" s="661"/>
    </row>
    <row r="49" spans="1:23" s="666" customFormat="1">
      <c r="A49" s="658"/>
      <c r="B49" s="698"/>
      <c r="C49" s="704"/>
      <c r="D49" s="665"/>
      <c r="E49" s="665"/>
      <c r="F49" s="705"/>
      <c r="G49" s="706"/>
      <c r="H49" s="661"/>
      <c r="I49" s="661"/>
      <c r="J49" s="661"/>
      <c r="K49" s="661"/>
    </row>
    <row r="50" spans="1:23" s="666" customFormat="1">
      <c r="A50" s="658"/>
      <c r="B50" s="698"/>
      <c r="C50" s="704"/>
      <c r="D50" s="665"/>
      <c r="E50" s="665"/>
      <c r="F50" s="705"/>
      <c r="G50" s="706"/>
      <c r="H50" s="661"/>
      <c r="I50" s="661"/>
      <c r="J50" s="661"/>
      <c r="K50" s="661"/>
    </row>
    <row r="51" spans="1:23" s="666" customFormat="1">
      <c r="A51" s="658"/>
      <c r="B51" s="694"/>
      <c r="C51" s="695"/>
      <c r="D51" s="660"/>
      <c r="E51" s="660"/>
      <c r="F51" s="696"/>
      <c r="G51" s="697"/>
      <c r="H51" s="661"/>
      <c r="I51" s="661"/>
      <c r="J51" s="661"/>
      <c r="K51" s="661"/>
      <c r="U51" s="655"/>
      <c r="W51" s="655"/>
    </row>
    <row r="52" spans="1:23" s="666" customFormat="1">
      <c r="A52" s="658"/>
      <c r="B52" s="694"/>
      <c r="C52" s="695"/>
      <c r="D52" s="660"/>
      <c r="E52" s="660"/>
      <c r="F52" s="696"/>
      <c r="G52" s="697"/>
      <c r="H52" s="661"/>
      <c r="I52" s="661"/>
      <c r="J52" s="661"/>
      <c r="K52" s="661"/>
      <c r="U52" s="655"/>
      <c r="W52" s="655"/>
    </row>
    <row r="53" spans="1:23">
      <c r="A53" s="669"/>
      <c r="B53" s="709"/>
      <c r="C53" s="710"/>
      <c r="D53" s="670"/>
      <c r="E53" s="670"/>
      <c r="F53" s="711"/>
      <c r="G53" s="712"/>
      <c r="H53" s="671"/>
      <c r="I53" s="671"/>
      <c r="J53" s="671"/>
      <c r="K53" s="671"/>
    </row>
    <row r="54" spans="1:23">
      <c r="A54" s="672" t="s">
        <v>154</v>
      </c>
      <c r="B54" s="713"/>
      <c r="C54" s="714"/>
      <c r="D54" s="715"/>
      <c r="E54" s="715"/>
      <c r="F54" s="716" t="s">
        <v>261</v>
      </c>
      <c r="G54" s="717"/>
      <c r="H54" s="718" t="s">
        <v>234</v>
      </c>
      <c r="I54" s="675">
        <f>SUM(I3:I53)</f>
        <v>0</v>
      </c>
      <c r="J54" s="718"/>
      <c r="K54" s="675">
        <f>SUM(K3:K53)</f>
        <v>0</v>
      </c>
    </row>
    <row r="55" spans="1:23" ht="16.5" customHeight="1">
      <c r="A55" s="652" t="s">
        <v>143</v>
      </c>
      <c r="B55" s="686" t="s">
        <v>212</v>
      </c>
      <c r="C55" s="920" t="s">
        <v>213</v>
      </c>
      <c r="D55" s="921"/>
      <c r="E55" s="921"/>
      <c r="F55" s="922"/>
      <c r="G55" s="687" t="s">
        <v>214</v>
      </c>
      <c r="H55" s="654" t="s">
        <v>215</v>
      </c>
      <c r="I55" s="654" t="s">
        <v>164</v>
      </c>
      <c r="J55" s="722" t="s">
        <v>309</v>
      </c>
      <c r="K55" s="722" t="s">
        <v>311</v>
      </c>
    </row>
    <row r="56" spans="1:23" s="657" customFormat="1">
      <c r="A56" s="332"/>
      <c r="B56" s="689"/>
      <c r="C56" s="690" t="s">
        <v>199</v>
      </c>
      <c r="D56" s="691" t="s">
        <v>195</v>
      </c>
      <c r="E56" s="691" t="s">
        <v>200</v>
      </c>
      <c r="F56" s="692" t="s">
        <v>201</v>
      </c>
      <c r="G56" s="693"/>
      <c r="H56" s="656" t="s">
        <v>262</v>
      </c>
      <c r="I56" s="656" t="s">
        <v>262</v>
      </c>
      <c r="J56" s="723" t="s">
        <v>310</v>
      </c>
      <c r="K56" s="723" t="s">
        <v>310</v>
      </c>
    </row>
    <row r="57" spans="1:23" s="657" customFormat="1">
      <c r="A57" s="658"/>
      <c r="B57" s="694"/>
      <c r="C57" s="695"/>
      <c r="D57" s="660"/>
      <c r="E57" s="660"/>
      <c r="F57" s="696"/>
      <c r="G57" s="697"/>
      <c r="H57" s="661"/>
      <c r="I57" s="661"/>
      <c r="J57" s="661"/>
      <c r="K57" s="661"/>
      <c r="U57" s="662"/>
      <c r="W57" s="662"/>
    </row>
    <row r="58" spans="1:23" s="662" customFormat="1">
      <c r="A58" s="658"/>
      <c r="B58" s="694"/>
      <c r="C58" s="695"/>
      <c r="D58" s="660"/>
      <c r="E58" s="660"/>
      <c r="F58" s="696"/>
      <c r="G58" s="697"/>
      <c r="H58" s="661"/>
      <c r="I58" s="661"/>
      <c r="J58" s="661"/>
      <c r="K58" s="661"/>
    </row>
    <row r="59" spans="1:23" s="662" customFormat="1">
      <c r="A59" s="658"/>
      <c r="B59" s="699"/>
      <c r="C59" s="700"/>
      <c r="D59" s="701"/>
      <c r="E59" s="701"/>
      <c r="F59" s="702"/>
      <c r="G59" s="697"/>
      <c r="H59" s="661"/>
      <c r="I59" s="661"/>
      <c r="J59" s="661"/>
      <c r="K59" s="661"/>
    </row>
    <row r="60" spans="1:23" s="662" customFormat="1">
      <c r="A60" s="658"/>
      <c r="B60" s="694"/>
      <c r="C60" s="695"/>
      <c r="D60" s="660"/>
      <c r="E60" s="660"/>
      <c r="F60" s="696"/>
      <c r="G60" s="697"/>
      <c r="H60" s="661"/>
      <c r="I60" s="661"/>
      <c r="J60" s="661"/>
      <c r="K60" s="661"/>
    </row>
    <row r="61" spans="1:23" s="662" customFormat="1">
      <c r="A61" s="658"/>
      <c r="B61" s="703"/>
      <c r="C61" s="704"/>
      <c r="D61" s="665"/>
      <c r="E61" s="665"/>
      <c r="F61" s="705"/>
      <c r="G61" s="706"/>
      <c r="H61" s="661"/>
      <c r="I61" s="661"/>
      <c r="J61" s="661"/>
      <c r="K61" s="661"/>
    </row>
    <row r="62" spans="1:23" s="662" customFormat="1">
      <c r="A62" s="658"/>
      <c r="B62" s="694"/>
      <c r="C62" s="695"/>
      <c r="D62" s="660"/>
      <c r="E62" s="660"/>
      <c r="F62" s="696"/>
      <c r="G62" s="697"/>
      <c r="H62" s="661"/>
      <c r="I62" s="661"/>
      <c r="J62" s="661"/>
      <c r="K62" s="661"/>
    </row>
    <row r="63" spans="1:23" s="662" customFormat="1">
      <c r="A63" s="658"/>
      <c r="B63" s="703"/>
      <c r="C63" s="704"/>
      <c r="D63" s="665"/>
      <c r="E63" s="665"/>
      <c r="F63" s="705"/>
      <c r="G63" s="706"/>
      <c r="H63" s="661"/>
      <c r="I63" s="661"/>
      <c r="J63" s="661"/>
      <c r="K63" s="661"/>
    </row>
    <row r="64" spans="1:23" s="662" customFormat="1">
      <c r="A64" s="658"/>
      <c r="B64" s="694"/>
      <c r="C64" s="695"/>
      <c r="D64" s="660"/>
      <c r="E64" s="660"/>
      <c r="F64" s="696"/>
      <c r="G64" s="697"/>
      <c r="H64" s="661"/>
      <c r="I64" s="661"/>
      <c r="J64" s="661"/>
      <c r="K64" s="661"/>
    </row>
    <row r="65" spans="1:11" s="666" customFormat="1">
      <c r="A65" s="658"/>
      <c r="B65" s="703"/>
      <c r="C65" s="704"/>
      <c r="D65" s="665"/>
      <c r="E65" s="665"/>
      <c r="F65" s="705"/>
      <c r="G65" s="706"/>
      <c r="H65" s="661"/>
      <c r="I65" s="661"/>
      <c r="J65" s="661"/>
      <c r="K65" s="661"/>
    </row>
    <row r="66" spans="1:11" s="662" customFormat="1">
      <c r="A66" s="658"/>
      <c r="B66" s="694"/>
      <c r="C66" s="695"/>
      <c r="D66" s="660"/>
      <c r="E66" s="660"/>
      <c r="F66" s="696"/>
      <c r="G66" s="697"/>
      <c r="H66" s="661"/>
      <c r="I66" s="661"/>
      <c r="J66" s="661"/>
      <c r="K66" s="661"/>
    </row>
    <row r="67" spans="1:11" s="662" customFormat="1">
      <c r="A67" s="658"/>
      <c r="B67" s="703"/>
      <c r="C67" s="704"/>
      <c r="D67" s="665"/>
      <c r="E67" s="665"/>
      <c r="F67" s="705"/>
      <c r="G67" s="706"/>
      <c r="H67" s="661"/>
      <c r="I67" s="661"/>
      <c r="J67" s="661"/>
      <c r="K67" s="661"/>
    </row>
    <row r="68" spans="1:11" s="662" customFormat="1">
      <c r="A68" s="658"/>
      <c r="B68" s="694"/>
      <c r="C68" s="695"/>
      <c r="D68" s="660"/>
      <c r="E68" s="660"/>
      <c r="F68" s="696"/>
      <c r="G68" s="697"/>
      <c r="H68" s="661"/>
      <c r="I68" s="661"/>
      <c r="J68" s="661"/>
      <c r="K68" s="661"/>
    </row>
    <row r="69" spans="1:11" s="666" customFormat="1">
      <c r="A69" s="658"/>
      <c r="B69" s="703"/>
      <c r="C69" s="704"/>
      <c r="D69" s="665"/>
      <c r="E69" s="665"/>
      <c r="F69" s="705"/>
      <c r="G69" s="706"/>
      <c r="H69" s="661"/>
      <c r="I69" s="661"/>
      <c r="J69" s="661"/>
      <c r="K69" s="661"/>
    </row>
    <row r="70" spans="1:11" s="666" customFormat="1">
      <c r="A70" s="658"/>
      <c r="B70" s="694"/>
      <c r="C70" s="695"/>
      <c r="D70" s="660"/>
      <c r="E70" s="660"/>
      <c r="F70" s="696"/>
      <c r="G70" s="697"/>
      <c r="H70" s="661"/>
      <c r="I70" s="661"/>
      <c r="J70" s="661"/>
      <c r="K70" s="661"/>
    </row>
    <row r="71" spans="1:11" s="666" customFormat="1">
      <c r="A71" s="658"/>
      <c r="B71" s="703"/>
      <c r="C71" s="704"/>
      <c r="D71" s="665"/>
      <c r="E71" s="665"/>
      <c r="F71" s="705"/>
      <c r="G71" s="706"/>
      <c r="H71" s="661"/>
      <c r="I71" s="661"/>
      <c r="J71" s="661"/>
      <c r="K71" s="661"/>
    </row>
    <row r="72" spans="1:11" s="666" customFormat="1">
      <c r="A72" s="658"/>
      <c r="B72" s="694"/>
      <c r="C72" s="695"/>
      <c r="D72" s="660"/>
      <c r="E72" s="660"/>
      <c r="F72" s="696"/>
      <c r="G72" s="697"/>
      <c r="H72" s="661"/>
      <c r="I72" s="661"/>
      <c r="J72" s="661"/>
      <c r="K72" s="661"/>
    </row>
    <row r="73" spans="1:11" s="666" customFormat="1">
      <c r="A73" s="658"/>
      <c r="B73" s="703"/>
      <c r="C73" s="704"/>
      <c r="D73" s="665"/>
      <c r="E73" s="665"/>
      <c r="F73" s="705"/>
      <c r="G73" s="706"/>
      <c r="H73" s="661"/>
      <c r="I73" s="661"/>
      <c r="J73" s="661"/>
      <c r="K73" s="661"/>
    </row>
    <row r="74" spans="1:11" s="666" customFormat="1">
      <c r="A74" s="658"/>
      <c r="B74" s="694"/>
      <c r="C74" s="695"/>
      <c r="D74" s="660"/>
      <c r="E74" s="660"/>
      <c r="F74" s="696"/>
      <c r="G74" s="697"/>
      <c r="H74" s="661"/>
      <c r="I74" s="661"/>
      <c r="J74" s="661"/>
      <c r="K74" s="661"/>
    </row>
    <row r="75" spans="1:11" s="666" customFormat="1">
      <c r="A75" s="658"/>
      <c r="B75" s="703"/>
      <c r="C75" s="704"/>
      <c r="D75" s="665"/>
      <c r="E75" s="665"/>
      <c r="F75" s="705"/>
      <c r="G75" s="706"/>
      <c r="H75" s="661"/>
      <c r="I75" s="661"/>
      <c r="J75" s="661"/>
      <c r="K75" s="661"/>
    </row>
    <row r="76" spans="1:11" s="666" customFormat="1">
      <c r="A76" s="658"/>
      <c r="B76" s="694"/>
      <c r="C76" s="695"/>
      <c r="D76" s="660"/>
      <c r="E76" s="660"/>
      <c r="F76" s="696"/>
      <c r="G76" s="697"/>
      <c r="H76" s="661"/>
      <c r="I76" s="661"/>
      <c r="J76" s="661"/>
      <c r="K76" s="661"/>
    </row>
    <row r="77" spans="1:11" s="666" customFormat="1">
      <c r="A77" s="658"/>
      <c r="B77" s="703"/>
      <c r="C77" s="704"/>
      <c r="D77" s="665"/>
      <c r="E77" s="665"/>
      <c r="F77" s="705"/>
      <c r="G77" s="706"/>
      <c r="H77" s="661"/>
      <c r="I77" s="661"/>
      <c r="J77" s="661"/>
      <c r="K77" s="661"/>
    </row>
    <row r="78" spans="1:11" s="666" customFormat="1">
      <c r="A78" s="658"/>
      <c r="B78" s="694"/>
      <c r="C78" s="695"/>
      <c r="D78" s="660"/>
      <c r="E78" s="660"/>
      <c r="F78" s="696"/>
      <c r="G78" s="697"/>
      <c r="H78" s="661"/>
      <c r="I78" s="661"/>
      <c r="J78" s="661"/>
      <c r="K78" s="661"/>
    </row>
    <row r="79" spans="1:11" s="666" customFormat="1">
      <c r="A79" s="658"/>
      <c r="B79" s="703"/>
      <c r="C79" s="704"/>
      <c r="D79" s="665"/>
      <c r="E79" s="665"/>
      <c r="F79" s="705"/>
      <c r="G79" s="706"/>
      <c r="H79" s="661"/>
      <c r="I79" s="661"/>
      <c r="J79" s="661"/>
      <c r="K79" s="661"/>
    </row>
    <row r="80" spans="1:11" s="666" customFormat="1">
      <c r="A80" s="658"/>
      <c r="B80" s="694"/>
      <c r="C80" s="695"/>
      <c r="D80" s="660"/>
      <c r="E80" s="660"/>
      <c r="F80" s="696"/>
      <c r="G80" s="697"/>
      <c r="H80" s="661"/>
      <c r="I80" s="661"/>
      <c r="J80" s="661"/>
      <c r="K80" s="661"/>
    </row>
    <row r="81" spans="1:11" s="666" customFormat="1">
      <c r="A81" s="658"/>
      <c r="B81" s="703"/>
      <c r="C81" s="704"/>
      <c r="D81" s="665"/>
      <c r="E81" s="665"/>
      <c r="F81" s="705"/>
      <c r="G81" s="706"/>
      <c r="H81" s="661"/>
      <c r="I81" s="661"/>
      <c r="J81" s="661"/>
      <c r="K81" s="661"/>
    </row>
    <row r="82" spans="1:11" s="666" customFormat="1">
      <c r="A82" s="658"/>
      <c r="B82" s="694"/>
      <c r="C82" s="695"/>
      <c r="D82" s="660"/>
      <c r="E82" s="660"/>
      <c r="F82" s="696"/>
      <c r="G82" s="697"/>
      <c r="H82" s="661"/>
      <c r="I82" s="661"/>
      <c r="J82" s="661"/>
      <c r="K82" s="661"/>
    </row>
    <row r="83" spans="1:11" s="666" customFormat="1">
      <c r="A83" s="658"/>
      <c r="B83" s="694"/>
      <c r="C83" s="695"/>
      <c r="D83" s="660"/>
      <c r="E83" s="660"/>
      <c r="F83" s="696"/>
      <c r="G83" s="697"/>
      <c r="H83" s="661"/>
      <c r="I83" s="661"/>
      <c r="J83" s="661"/>
      <c r="K83" s="661"/>
    </row>
    <row r="84" spans="1:11" s="666" customFormat="1">
      <c r="A84" s="658"/>
      <c r="B84" s="694"/>
      <c r="C84" s="695"/>
      <c r="D84" s="660"/>
      <c r="E84" s="660"/>
      <c r="F84" s="696"/>
      <c r="G84" s="697"/>
      <c r="H84" s="661"/>
      <c r="I84" s="661"/>
      <c r="J84" s="661"/>
      <c r="K84" s="661"/>
    </row>
    <row r="85" spans="1:11" s="666" customFormat="1">
      <c r="A85" s="658"/>
      <c r="B85" s="694"/>
      <c r="C85" s="695"/>
      <c r="D85" s="660"/>
      <c r="E85" s="660"/>
      <c r="F85" s="696"/>
      <c r="G85" s="697"/>
      <c r="H85" s="661"/>
      <c r="I85" s="661"/>
      <c r="J85" s="661"/>
      <c r="K85" s="661"/>
    </row>
    <row r="86" spans="1:11" s="666" customFormat="1">
      <c r="A86" s="658"/>
      <c r="B86" s="694"/>
      <c r="C86" s="695"/>
      <c r="D86" s="660"/>
      <c r="E86" s="660"/>
      <c r="F86" s="696"/>
      <c r="G86" s="697"/>
      <c r="H86" s="661"/>
      <c r="I86" s="661"/>
      <c r="J86" s="661"/>
      <c r="K86" s="661"/>
    </row>
    <row r="87" spans="1:11" s="666" customFormat="1">
      <c r="A87" s="658"/>
      <c r="B87" s="694"/>
      <c r="C87" s="695"/>
      <c r="D87" s="660"/>
      <c r="E87" s="660"/>
      <c r="F87" s="696"/>
      <c r="G87" s="697"/>
      <c r="H87" s="661"/>
      <c r="I87" s="661"/>
      <c r="J87" s="661"/>
      <c r="K87" s="661"/>
    </row>
    <row r="88" spans="1:11" s="666" customFormat="1">
      <c r="A88" s="658"/>
      <c r="B88" s="694"/>
      <c r="C88" s="695"/>
      <c r="D88" s="660"/>
      <c r="E88" s="660"/>
      <c r="F88" s="696"/>
      <c r="G88" s="697"/>
      <c r="H88" s="661"/>
      <c r="I88" s="661"/>
      <c r="J88" s="661"/>
      <c r="K88" s="661"/>
    </row>
    <row r="89" spans="1:11" s="666" customFormat="1">
      <c r="A89" s="658"/>
      <c r="B89" s="694"/>
      <c r="C89" s="695"/>
      <c r="D89" s="660"/>
      <c r="E89" s="660"/>
      <c r="F89" s="696"/>
      <c r="G89" s="697"/>
      <c r="H89" s="661"/>
      <c r="I89" s="661"/>
      <c r="J89" s="661"/>
      <c r="K89" s="661"/>
    </row>
    <row r="90" spans="1:11" s="666" customFormat="1">
      <c r="A90" s="658"/>
      <c r="B90" s="694"/>
      <c r="C90" s="695"/>
      <c r="D90" s="660"/>
      <c r="E90" s="660"/>
      <c r="F90" s="696"/>
      <c r="G90" s="697"/>
      <c r="H90" s="661"/>
      <c r="I90" s="661"/>
      <c r="J90" s="661"/>
      <c r="K90" s="661"/>
    </row>
    <row r="91" spans="1:11" s="666" customFormat="1">
      <c r="A91" s="658"/>
      <c r="B91" s="694"/>
      <c r="C91" s="695"/>
      <c r="D91" s="660"/>
      <c r="E91" s="660"/>
      <c r="F91" s="696"/>
      <c r="G91" s="697"/>
      <c r="H91" s="661"/>
      <c r="I91" s="661"/>
      <c r="J91" s="661"/>
      <c r="K91" s="661"/>
    </row>
    <row r="92" spans="1:11" s="666" customFormat="1">
      <c r="A92" s="658"/>
      <c r="B92" s="694"/>
      <c r="C92" s="695"/>
      <c r="D92" s="660"/>
      <c r="E92" s="660"/>
      <c r="F92" s="696"/>
      <c r="G92" s="697"/>
      <c r="H92" s="661"/>
      <c r="I92" s="661"/>
      <c r="J92" s="661"/>
      <c r="K92" s="661"/>
    </row>
    <row r="93" spans="1:11" s="666" customFormat="1">
      <c r="A93" s="658"/>
      <c r="B93" s="694"/>
      <c r="C93" s="695"/>
      <c r="D93" s="660"/>
      <c r="E93" s="660"/>
      <c r="F93" s="696"/>
      <c r="G93" s="697"/>
      <c r="H93" s="661"/>
      <c r="I93" s="661"/>
      <c r="J93" s="661"/>
      <c r="K93" s="661"/>
    </row>
    <row r="94" spans="1:11" s="666" customFormat="1">
      <c r="A94" s="658"/>
      <c r="B94" s="694"/>
      <c r="C94" s="695"/>
      <c r="D94" s="660"/>
      <c r="E94" s="660"/>
      <c r="F94" s="696"/>
      <c r="G94" s="697"/>
      <c r="H94" s="661"/>
      <c r="I94" s="661"/>
      <c r="J94" s="661"/>
      <c r="K94" s="661"/>
    </row>
    <row r="95" spans="1:11" s="666" customFormat="1">
      <c r="A95" s="658"/>
      <c r="B95" s="703"/>
      <c r="C95" s="704"/>
      <c r="D95" s="665"/>
      <c r="E95" s="665"/>
      <c r="F95" s="705"/>
      <c r="G95" s="706"/>
      <c r="H95" s="661"/>
      <c r="I95" s="661"/>
      <c r="J95" s="661"/>
      <c r="K95" s="661"/>
    </row>
    <row r="96" spans="1:11" s="666" customFormat="1">
      <c r="A96" s="658"/>
      <c r="B96" s="694"/>
      <c r="C96" s="695"/>
      <c r="D96" s="660"/>
      <c r="E96" s="660"/>
      <c r="F96" s="696"/>
      <c r="G96" s="697"/>
      <c r="H96" s="661"/>
      <c r="I96" s="661"/>
      <c r="J96" s="661"/>
      <c r="K96" s="661"/>
    </row>
    <row r="97" spans="1:11" s="666" customFormat="1">
      <c r="A97" s="658"/>
      <c r="B97" s="703"/>
      <c r="C97" s="704"/>
      <c r="D97" s="665"/>
      <c r="E97" s="665"/>
      <c r="F97" s="705"/>
      <c r="G97" s="706"/>
      <c r="H97" s="661"/>
      <c r="I97" s="661"/>
      <c r="J97" s="661"/>
      <c r="K97" s="661"/>
    </row>
    <row r="98" spans="1:11" s="666" customFormat="1">
      <c r="A98" s="658"/>
      <c r="B98" s="694"/>
      <c r="C98" s="695"/>
      <c r="D98" s="660"/>
      <c r="E98" s="660"/>
      <c r="F98" s="696"/>
      <c r="G98" s="697"/>
      <c r="H98" s="661"/>
      <c r="I98" s="661"/>
      <c r="J98" s="661"/>
      <c r="K98" s="661"/>
    </row>
    <row r="99" spans="1:11" s="666" customFormat="1">
      <c r="A99" s="658"/>
      <c r="B99" s="703"/>
      <c r="C99" s="704"/>
      <c r="D99" s="665"/>
      <c r="E99" s="665"/>
      <c r="F99" s="705"/>
      <c r="G99" s="706"/>
      <c r="H99" s="661"/>
      <c r="I99" s="661"/>
      <c r="J99" s="661"/>
      <c r="K99" s="661"/>
    </row>
    <row r="100" spans="1:11" s="666" customFormat="1">
      <c r="A100" s="658"/>
      <c r="B100" s="694"/>
      <c r="C100" s="695"/>
      <c r="D100" s="660"/>
      <c r="E100" s="660"/>
      <c r="F100" s="696"/>
      <c r="G100" s="697"/>
      <c r="H100" s="661"/>
      <c r="I100" s="661"/>
      <c r="J100" s="661"/>
      <c r="K100" s="661"/>
    </row>
    <row r="101" spans="1:11" s="666" customFormat="1">
      <c r="A101" s="658"/>
      <c r="B101" s="703"/>
      <c r="C101" s="704"/>
      <c r="D101" s="665"/>
      <c r="E101" s="665"/>
      <c r="F101" s="705"/>
      <c r="G101" s="706"/>
      <c r="H101" s="661"/>
      <c r="I101" s="661"/>
      <c r="J101" s="661"/>
      <c r="K101" s="661"/>
    </row>
    <row r="102" spans="1:11" s="666" customFormat="1">
      <c r="A102" s="658"/>
      <c r="B102" s="694"/>
      <c r="C102" s="695"/>
      <c r="D102" s="660"/>
      <c r="E102" s="660"/>
      <c r="F102" s="696"/>
      <c r="G102" s="697"/>
      <c r="H102" s="661"/>
      <c r="I102" s="661"/>
      <c r="J102" s="661"/>
      <c r="K102" s="661"/>
    </row>
    <row r="103" spans="1:11" s="666" customFormat="1">
      <c r="A103" s="658"/>
      <c r="B103" s="694"/>
      <c r="C103" s="695"/>
      <c r="D103" s="660"/>
      <c r="E103" s="660"/>
      <c r="F103" s="696"/>
      <c r="G103" s="697"/>
      <c r="H103" s="661"/>
      <c r="I103" s="661"/>
      <c r="J103" s="661"/>
      <c r="K103" s="661"/>
    </row>
    <row r="104" spans="1:11" s="666" customFormat="1">
      <c r="A104" s="658"/>
      <c r="B104" s="703"/>
      <c r="C104" s="704"/>
      <c r="D104" s="665"/>
      <c r="E104" s="665"/>
      <c r="F104" s="705"/>
      <c r="G104" s="706"/>
      <c r="H104" s="661"/>
      <c r="I104" s="661"/>
      <c r="J104" s="661"/>
      <c r="K104" s="661"/>
    </row>
    <row r="105" spans="1:11" s="666" customFormat="1">
      <c r="A105" s="658"/>
      <c r="B105" s="694"/>
      <c r="C105" s="695"/>
      <c r="D105" s="660"/>
      <c r="E105" s="660"/>
      <c r="F105" s="696"/>
      <c r="G105" s="697"/>
      <c r="H105" s="661"/>
      <c r="I105" s="661"/>
      <c r="J105" s="661"/>
      <c r="K105" s="661"/>
    </row>
    <row r="106" spans="1:11" s="666" customFormat="1">
      <c r="A106" s="658"/>
      <c r="B106" s="694"/>
      <c r="C106" s="695"/>
      <c r="D106" s="660"/>
      <c r="E106" s="660"/>
      <c r="F106" s="696"/>
      <c r="G106" s="697"/>
      <c r="H106" s="661"/>
      <c r="I106" s="661"/>
      <c r="J106" s="661"/>
      <c r="K106" s="661"/>
    </row>
    <row r="107" spans="1:11" s="666" customFormat="1">
      <c r="A107" s="658"/>
      <c r="B107" s="694"/>
      <c r="C107" s="695"/>
      <c r="D107" s="660"/>
      <c r="E107" s="660"/>
      <c r="F107" s="696"/>
      <c r="G107" s="697"/>
      <c r="H107" s="661"/>
      <c r="I107" s="661"/>
      <c r="J107" s="661"/>
      <c r="K107" s="661"/>
    </row>
    <row r="108" spans="1:11" s="666" customFormat="1">
      <c r="A108" s="658"/>
      <c r="B108" s="694"/>
      <c r="C108" s="695"/>
      <c r="D108" s="660"/>
      <c r="E108" s="660"/>
      <c r="F108" s="696"/>
      <c r="G108" s="697"/>
      <c r="H108" s="661"/>
      <c r="I108" s="661"/>
      <c r="J108" s="661"/>
      <c r="K108" s="661"/>
    </row>
    <row r="109" spans="1:11" s="666" customFormat="1">
      <c r="A109" s="658"/>
      <c r="B109" s="694"/>
      <c r="C109" s="695"/>
      <c r="D109" s="660"/>
      <c r="E109" s="660"/>
      <c r="F109" s="696"/>
      <c r="G109" s="697"/>
      <c r="H109" s="661"/>
      <c r="I109" s="661"/>
      <c r="J109" s="661"/>
      <c r="K109" s="661"/>
    </row>
    <row r="110" spans="1:11">
      <c r="A110" s="669"/>
      <c r="B110" s="709"/>
      <c r="C110" s="710"/>
      <c r="D110" s="670"/>
      <c r="E110" s="670"/>
      <c r="F110" s="711"/>
      <c r="G110" s="712"/>
      <c r="H110" s="671"/>
      <c r="I110" s="671"/>
      <c r="J110" s="671"/>
      <c r="K110" s="671"/>
    </row>
    <row r="111" spans="1:11">
      <c r="A111" s="672" t="s">
        <v>154</v>
      </c>
      <c r="B111" s="713"/>
      <c r="C111" s="714"/>
      <c r="D111" s="715"/>
      <c r="E111" s="715"/>
      <c r="F111" s="716" t="s">
        <v>261</v>
      </c>
      <c r="G111" s="717"/>
      <c r="H111" s="718" t="s">
        <v>234</v>
      </c>
      <c r="I111" s="675">
        <f>SUM(I57:I110)</f>
        <v>0</v>
      </c>
      <c r="J111" s="718"/>
      <c r="K111" s="675">
        <f>SUM(K57:K110)</f>
        <v>0</v>
      </c>
    </row>
    <row r="112" spans="1:11" ht="16.5" customHeight="1">
      <c r="A112" s="652" t="s">
        <v>143</v>
      </c>
      <c r="B112" s="686" t="s">
        <v>212</v>
      </c>
      <c r="C112" s="920" t="s">
        <v>213</v>
      </c>
      <c r="D112" s="921"/>
      <c r="E112" s="921"/>
      <c r="F112" s="922"/>
      <c r="G112" s="687" t="s">
        <v>214</v>
      </c>
      <c r="H112" s="654" t="s">
        <v>215</v>
      </c>
      <c r="I112" s="654" t="s">
        <v>164</v>
      </c>
      <c r="J112" s="722" t="s">
        <v>309</v>
      </c>
      <c r="K112" s="722" t="s">
        <v>311</v>
      </c>
    </row>
    <row r="113" spans="1:23" s="657" customFormat="1">
      <c r="A113" s="332"/>
      <c r="B113" s="689"/>
      <c r="C113" s="690" t="s">
        <v>199</v>
      </c>
      <c r="D113" s="691" t="s">
        <v>195</v>
      </c>
      <c r="E113" s="691" t="s">
        <v>200</v>
      </c>
      <c r="F113" s="692" t="s">
        <v>201</v>
      </c>
      <c r="G113" s="693"/>
      <c r="H113" s="656" t="s">
        <v>262</v>
      </c>
      <c r="I113" s="656" t="s">
        <v>262</v>
      </c>
      <c r="J113" s="723" t="s">
        <v>310</v>
      </c>
      <c r="K113" s="723" t="s">
        <v>310</v>
      </c>
    </row>
    <row r="114" spans="1:23" s="657" customFormat="1">
      <c r="A114" s="658"/>
      <c r="B114" s="694"/>
      <c r="C114" s="695"/>
      <c r="D114" s="660"/>
      <c r="E114" s="660"/>
      <c r="F114" s="696"/>
      <c r="G114" s="697"/>
      <c r="H114" s="661"/>
      <c r="I114" s="661"/>
      <c r="J114" s="661"/>
      <c r="K114" s="661"/>
      <c r="U114" s="662"/>
      <c r="W114" s="662"/>
    </row>
    <row r="115" spans="1:23" s="662" customFormat="1">
      <c r="A115" s="658"/>
      <c r="B115" s="694"/>
      <c r="C115" s="695"/>
      <c r="D115" s="660"/>
      <c r="E115" s="660"/>
      <c r="F115" s="696"/>
      <c r="G115" s="697"/>
      <c r="H115" s="661"/>
      <c r="I115" s="661"/>
      <c r="J115" s="661"/>
      <c r="K115" s="661"/>
    </row>
    <row r="116" spans="1:23" s="662" customFormat="1">
      <c r="A116" s="658"/>
      <c r="B116" s="699"/>
      <c r="C116" s="700"/>
      <c r="D116" s="701"/>
      <c r="E116" s="701"/>
      <c r="F116" s="702"/>
      <c r="G116" s="697"/>
      <c r="H116" s="661"/>
      <c r="I116" s="661"/>
      <c r="J116" s="661"/>
      <c r="K116" s="661"/>
    </row>
    <row r="117" spans="1:23" s="662" customFormat="1">
      <c r="A117" s="658"/>
      <c r="B117" s="694"/>
      <c r="C117" s="695"/>
      <c r="D117" s="660"/>
      <c r="E117" s="660"/>
      <c r="F117" s="696"/>
      <c r="G117" s="697"/>
      <c r="H117" s="661"/>
      <c r="I117" s="661"/>
      <c r="J117" s="661"/>
      <c r="K117" s="661"/>
    </row>
    <row r="118" spans="1:23" s="662" customFormat="1">
      <c r="A118" s="658"/>
      <c r="B118" s="703"/>
      <c r="C118" s="704"/>
      <c r="D118" s="665"/>
      <c r="E118" s="665"/>
      <c r="F118" s="705"/>
      <c r="G118" s="706"/>
      <c r="H118" s="661"/>
      <c r="I118" s="661"/>
      <c r="J118" s="661"/>
      <c r="K118" s="661"/>
    </row>
    <row r="119" spans="1:23" s="662" customFormat="1">
      <c r="A119" s="658"/>
      <c r="B119" s="694"/>
      <c r="C119" s="695"/>
      <c r="D119" s="660"/>
      <c r="E119" s="660"/>
      <c r="F119" s="696"/>
      <c r="G119" s="697"/>
      <c r="H119" s="661"/>
      <c r="I119" s="661"/>
      <c r="J119" s="661"/>
      <c r="K119" s="661"/>
    </row>
    <row r="120" spans="1:23" s="662" customFormat="1">
      <c r="A120" s="658"/>
      <c r="B120" s="703"/>
      <c r="C120" s="704"/>
      <c r="D120" s="665"/>
      <c r="E120" s="665"/>
      <c r="F120" s="705"/>
      <c r="G120" s="706"/>
      <c r="H120" s="661"/>
      <c r="I120" s="661"/>
      <c r="J120" s="661"/>
      <c r="K120" s="661"/>
    </row>
    <row r="121" spans="1:23" s="662" customFormat="1">
      <c r="A121" s="658"/>
      <c r="B121" s="694"/>
      <c r="C121" s="695"/>
      <c r="D121" s="660"/>
      <c r="E121" s="660"/>
      <c r="F121" s="696"/>
      <c r="G121" s="697"/>
      <c r="H121" s="661"/>
      <c r="I121" s="661"/>
      <c r="J121" s="661"/>
      <c r="K121" s="661"/>
    </row>
    <row r="122" spans="1:23" s="666" customFormat="1">
      <c r="A122" s="658"/>
      <c r="B122" s="703"/>
      <c r="C122" s="704"/>
      <c r="D122" s="665"/>
      <c r="E122" s="665"/>
      <c r="F122" s="705"/>
      <c r="G122" s="706"/>
      <c r="H122" s="661"/>
      <c r="I122" s="661"/>
      <c r="J122" s="661"/>
      <c r="K122" s="661"/>
    </row>
    <row r="123" spans="1:23" s="662" customFormat="1">
      <c r="A123" s="658"/>
      <c r="B123" s="694"/>
      <c r="C123" s="695"/>
      <c r="D123" s="660"/>
      <c r="E123" s="660"/>
      <c r="F123" s="696"/>
      <c r="G123" s="697"/>
      <c r="H123" s="661"/>
      <c r="I123" s="661"/>
      <c r="J123" s="661"/>
      <c r="K123" s="661"/>
    </row>
    <row r="124" spans="1:23" s="662" customFormat="1">
      <c r="A124" s="658"/>
      <c r="B124" s="703"/>
      <c r="C124" s="704"/>
      <c r="D124" s="665"/>
      <c r="E124" s="665"/>
      <c r="F124" s="705"/>
      <c r="G124" s="706"/>
      <c r="H124" s="661"/>
      <c r="I124" s="661"/>
      <c r="J124" s="661"/>
      <c r="K124" s="661"/>
    </row>
    <row r="125" spans="1:23" s="662" customFormat="1">
      <c r="A125" s="658"/>
      <c r="B125" s="694"/>
      <c r="C125" s="695"/>
      <c r="D125" s="660"/>
      <c r="E125" s="660"/>
      <c r="F125" s="696"/>
      <c r="G125" s="697"/>
      <c r="H125" s="661"/>
      <c r="I125" s="661"/>
      <c r="J125" s="661"/>
      <c r="K125" s="661"/>
    </row>
    <row r="126" spans="1:23" s="666" customFormat="1">
      <c r="A126" s="658"/>
      <c r="B126" s="703"/>
      <c r="C126" s="704"/>
      <c r="D126" s="665"/>
      <c r="E126" s="665"/>
      <c r="F126" s="705"/>
      <c r="G126" s="706"/>
      <c r="H126" s="661"/>
      <c r="I126" s="661"/>
      <c r="J126" s="661"/>
      <c r="K126" s="661"/>
    </row>
    <row r="127" spans="1:23" s="666" customFormat="1">
      <c r="A127" s="658"/>
      <c r="B127" s="694"/>
      <c r="C127" s="695"/>
      <c r="D127" s="660"/>
      <c r="E127" s="660"/>
      <c r="F127" s="696"/>
      <c r="G127" s="697"/>
      <c r="H127" s="661"/>
      <c r="I127" s="661"/>
      <c r="J127" s="661"/>
      <c r="K127" s="661"/>
    </row>
    <row r="128" spans="1:23" s="666" customFormat="1">
      <c r="A128" s="658"/>
      <c r="B128" s="703"/>
      <c r="C128" s="704"/>
      <c r="D128" s="665"/>
      <c r="E128" s="665"/>
      <c r="F128" s="705"/>
      <c r="G128" s="706"/>
      <c r="H128" s="661"/>
      <c r="I128" s="661"/>
      <c r="J128" s="661"/>
      <c r="K128" s="661"/>
    </row>
    <row r="129" spans="1:11" s="666" customFormat="1">
      <c r="A129" s="658"/>
      <c r="B129" s="694"/>
      <c r="C129" s="695"/>
      <c r="D129" s="660"/>
      <c r="E129" s="660"/>
      <c r="F129" s="696"/>
      <c r="G129" s="697"/>
      <c r="H129" s="661"/>
      <c r="I129" s="661"/>
      <c r="J129" s="661"/>
      <c r="K129" s="661"/>
    </row>
    <row r="130" spans="1:11" s="666" customFormat="1">
      <c r="A130" s="658"/>
      <c r="B130" s="703"/>
      <c r="C130" s="704"/>
      <c r="D130" s="665"/>
      <c r="E130" s="665"/>
      <c r="F130" s="705"/>
      <c r="G130" s="706"/>
      <c r="H130" s="661"/>
      <c r="I130" s="661"/>
      <c r="J130" s="661"/>
      <c r="K130" s="661"/>
    </row>
    <row r="131" spans="1:11" s="666" customFormat="1">
      <c r="A131" s="658"/>
      <c r="B131" s="694"/>
      <c r="C131" s="695"/>
      <c r="D131" s="660"/>
      <c r="E131" s="660"/>
      <c r="F131" s="696"/>
      <c r="G131" s="697"/>
      <c r="H131" s="661"/>
      <c r="I131" s="661"/>
      <c r="J131" s="661"/>
      <c r="K131" s="661"/>
    </row>
    <row r="132" spans="1:11" s="666" customFormat="1">
      <c r="A132" s="658"/>
      <c r="B132" s="703"/>
      <c r="C132" s="704"/>
      <c r="D132" s="665"/>
      <c r="E132" s="665"/>
      <c r="F132" s="705"/>
      <c r="G132" s="706"/>
      <c r="H132" s="661"/>
      <c r="I132" s="661"/>
      <c r="J132" s="661"/>
      <c r="K132" s="661"/>
    </row>
    <row r="133" spans="1:11" s="666" customFormat="1">
      <c r="A133" s="658"/>
      <c r="B133" s="694"/>
      <c r="C133" s="695"/>
      <c r="D133" s="660"/>
      <c r="E133" s="660"/>
      <c r="F133" s="696"/>
      <c r="G133" s="697"/>
      <c r="H133" s="661"/>
      <c r="I133" s="661"/>
      <c r="J133" s="661"/>
      <c r="K133" s="661"/>
    </row>
    <row r="134" spans="1:11" s="666" customFormat="1">
      <c r="A134" s="658"/>
      <c r="B134" s="703"/>
      <c r="C134" s="704"/>
      <c r="D134" s="665"/>
      <c r="E134" s="665"/>
      <c r="F134" s="705"/>
      <c r="G134" s="706"/>
      <c r="H134" s="661"/>
      <c r="I134" s="661"/>
      <c r="J134" s="661"/>
      <c r="K134" s="661"/>
    </row>
    <row r="135" spans="1:11" s="666" customFormat="1">
      <c r="A135" s="658"/>
      <c r="B135" s="694"/>
      <c r="C135" s="695"/>
      <c r="D135" s="660"/>
      <c r="E135" s="660"/>
      <c r="F135" s="696"/>
      <c r="G135" s="697"/>
      <c r="H135" s="661"/>
      <c r="I135" s="661"/>
      <c r="J135" s="661"/>
      <c r="K135" s="661"/>
    </row>
    <row r="136" spans="1:11" s="666" customFormat="1">
      <c r="A136" s="658"/>
      <c r="B136" s="703"/>
      <c r="C136" s="704"/>
      <c r="D136" s="665"/>
      <c r="E136" s="665"/>
      <c r="F136" s="705"/>
      <c r="G136" s="706"/>
      <c r="H136" s="661"/>
      <c r="I136" s="661"/>
      <c r="J136" s="661"/>
      <c r="K136" s="661"/>
    </row>
    <row r="137" spans="1:11" s="666" customFormat="1">
      <c r="A137" s="658"/>
      <c r="B137" s="694"/>
      <c r="C137" s="695"/>
      <c r="D137" s="660"/>
      <c r="E137" s="660"/>
      <c r="F137" s="696"/>
      <c r="G137" s="697"/>
      <c r="H137" s="661"/>
      <c r="I137" s="661"/>
      <c r="J137" s="661"/>
      <c r="K137" s="661"/>
    </row>
    <row r="138" spans="1:11" s="666" customFormat="1">
      <c r="A138" s="658"/>
      <c r="B138" s="703"/>
      <c r="C138" s="704"/>
      <c r="D138" s="665"/>
      <c r="E138" s="665"/>
      <c r="F138" s="705"/>
      <c r="G138" s="706"/>
      <c r="H138" s="661"/>
      <c r="I138" s="661"/>
      <c r="J138" s="661"/>
      <c r="K138" s="661"/>
    </row>
    <row r="139" spans="1:11" s="666" customFormat="1">
      <c r="A139" s="658"/>
      <c r="B139" s="694"/>
      <c r="C139" s="695"/>
      <c r="D139" s="660"/>
      <c r="E139" s="660"/>
      <c r="F139" s="696"/>
      <c r="G139" s="697"/>
      <c r="H139" s="661"/>
      <c r="I139" s="661"/>
      <c r="J139" s="661"/>
      <c r="K139" s="661"/>
    </row>
    <row r="140" spans="1:11" s="666" customFormat="1">
      <c r="A140" s="658"/>
      <c r="B140" s="694"/>
      <c r="C140" s="695"/>
      <c r="D140" s="660"/>
      <c r="E140" s="660"/>
      <c r="F140" s="696"/>
      <c r="G140" s="697"/>
      <c r="H140" s="661"/>
      <c r="I140" s="661"/>
      <c r="J140" s="661"/>
      <c r="K140" s="661"/>
    </row>
    <row r="141" spans="1:11" s="666" customFormat="1">
      <c r="A141" s="658"/>
      <c r="B141" s="694"/>
      <c r="C141" s="695"/>
      <c r="D141" s="660"/>
      <c r="E141" s="660"/>
      <c r="F141" s="696"/>
      <c r="G141" s="697"/>
      <c r="H141" s="661"/>
      <c r="I141" s="661"/>
      <c r="J141" s="661"/>
      <c r="K141" s="661"/>
    </row>
    <row r="142" spans="1:11" s="666" customFormat="1">
      <c r="A142" s="658"/>
      <c r="B142" s="694"/>
      <c r="C142" s="695"/>
      <c r="D142" s="660"/>
      <c r="E142" s="660"/>
      <c r="F142" s="696"/>
      <c r="G142" s="697"/>
      <c r="H142" s="661"/>
      <c r="I142" s="661"/>
      <c r="J142" s="661"/>
      <c r="K142" s="661"/>
    </row>
    <row r="143" spans="1:11" s="666" customFormat="1">
      <c r="A143" s="658"/>
      <c r="B143" s="694"/>
      <c r="C143" s="695"/>
      <c r="D143" s="660"/>
      <c r="E143" s="660"/>
      <c r="F143" s="696"/>
      <c r="G143" s="697"/>
      <c r="H143" s="661"/>
      <c r="I143" s="661"/>
      <c r="J143" s="661"/>
      <c r="K143" s="661"/>
    </row>
    <row r="144" spans="1:11" s="666" customFormat="1">
      <c r="A144" s="658"/>
      <c r="B144" s="694"/>
      <c r="C144" s="695"/>
      <c r="D144" s="660"/>
      <c r="E144" s="660"/>
      <c r="F144" s="696"/>
      <c r="G144" s="697"/>
      <c r="H144" s="661"/>
      <c r="I144" s="661"/>
      <c r="J144" s="661"/>
      <c r="K144" s="661"/>
    </row>
    <row r="145" spans="1:11" s="666" customFormat="1">
      <c r="A145" s="658"/>
      <c r="B145" s="694"/>
      <c r="C145" s="695"/>
      <c r="D145" s="660"/>
      <c r="E145" s="660"/>
      <c r="F145" s="696"/>
      <c r="G145" s="697"/>
      <c r="H145" s="661"/>
      <c r="I145" s="661"/>
      <c r="J145" s="661"/>
      <c r="K145" s="661"/>
    </row>
    <row r="146" spans="1:11" s="666" customFormat="1">
      <c r="A146" s="658"/>
      <c r="B146" s="694"/>
      <c r="C146" s="695"/>
      <c r="D146" s="660"/>
      <c r="E146" s="660"/>
      <c r="F146" s="696"/>
      <c r="G146" s="697"/>
      <c r="H146" s="661"/>
      <c r="I146" s="661"/>
      <c r="J146" s="661"/>
      <c r="K146" s="661"/>
    </row>
    <row r="147" spans="1:11" s="666" customFormat="1">
      <c r="A147" s="658"/>
      <c r="B147" s="694"/>
      <c r="C147" s="695"/>
      <c r="D147" s="660"/>
      <c r="E147" s="660"/>
      <c r="F147" s="696"/>
      <c r="G147" s="697"/>
      <c r="H147" s="661"/>
      <c r="I147" s="661"/>
      <c r="J147" s="661"/>
      <c r="K147" s="661"/>
    </row>
    <row r="148" spans="1:11" s="666" customFormat="1">
      <c r="A148" s="658"/>
      <c r="B148" s="694"/>
      <c r="C148" s="695"/>
      <c r="D148" s="660"/>
      <c r="E148" s="660"/>
      <c r="F148" s="696"/>
      <c r="G148" s="697"/>
      <c r="H148" s="661"/>
      <c r="I148" s="661"/>
      <c r="J148" s="661"/>
      <c r="K148" s="661"/>
    </row>
    <row r="149" spans="1:11" s="666" customFormat="1">
      <c r="A149" s="658"/>
      <c r="B149" s="694"/>
      <c r="C149" s="695"/>
      <c r="D149" s="660"/>
      <c r="E149" s="660"/>
      <c r="F149" s="696"/>
      <c r="G149" s="697"/>
      <c r="H149" s="661"/>
      <c r="I149" s="661"/>
      <c r="J149" s="661"/>
      <c r="K149" s="661"/>
    </row>
    <row r="150" spans="1:11" s="666" customFormat="1">
      <c r="A150" s="658"/>
      <c r="B150" s="694"/>
      <c r="C150" s="695"/>
      <c r="D150" s="660"/>
      <c r="E150" s="660"/>
      <c r="F150" s="696"/>
      <c r="G150" s="697"/>
      <c r="H150" s="661"/>
      <c r="I150" s="661"/>
      <c r="J150" s="661"/>
      <c r="K150" s="661"/>
    </row>
    <row r="151" spans="1:11" s="666" customFormat="1">
      <c r="A151" s="658"/>
      <c r="B151" s="694"/>
      <c r="C151" s="695"/>
      <c r="D151" s="660"/>
      <c r="E151" s="660"/>
      <c r="F151" s="696"/>
      <c r="G151" s="697"/>
      <c r="H151" s="661"/>
      <c r="I151" s="661"/>
      <c r="J151" s="661"/>
      <c r="K151" s="661"/>
    </row>
    <row r="152" spans="1:11" s="666" customFormat="1">
      <c r="A152" s="658"/>
      <c r="B152" s="703"/>
      <c r="C152" s="704"/>
      <c r="D152" s="665"/>
      <c r="E152" s="665"/>
      <c r="F152" s="705"/>
      <c r="G152" s="706"/>
      <c r="H152" s="661"/>
      <c r="I152" s="661"/>
      <c r="J152" s="661"/>
      <c r="K152" s="661"/>
    </row>
    <row r="153" spans="1:11" s="666" customFormat="1">
      <c r="A153" s="658"/>
      <c r="B153" s="694"/>
      <c r="C153" s="695"/>
      <c r="D153" s="660"/>
      <c r="E153" s="660"/>
      <c r="F153" s="696"/>
      <c r="G153" s="697"/>
      <c r="H153" s="661"/>
      <c r="I153" s="661"/>
      <c r="J153" s="661"/>
      <c r="K153" s="661"/>
    </row>
    <row r="154" spans="1:11" s="666" customFormat="1">
      <c r="A154" s="658"/>
      <c r="B154" s="703"/>
      <c r="C154" s="704"/>
      <c r="D154" s="665"/>
      <c r="E154" s="665"/>
      <c r="F154" s="705"/>
      <c r="G154" s="706"/>
      <c r="H154" s="661"/>
      <c r="I154" s="661"/>
      <c r="J154" s="661"/>
      <c r="K154" s="661"/>
    </row>
    <row r="155" spans="1:11" s="666" customFormat="1">
      <c r="A155" s="658"/>
      <c r="B155" s="694"/>
      <c r="C155" s="695"/>
      <c r="D155" s="660"/>
      <c r="E155" s="660"/>
      <c r="F155" s="696"/>
      <c r="G155" s="697"/>
      <c r="H155" s="661"/>
      <c r="I155" s="661"/>
      <c r="J155" s="661"/>
      <c r="K155" s="661"/>
    </row>
    <row r="156" spans="1:11" s="666" customFormat="1">
      <c r="A156" s="658"/>
      <c r="B156" s="694"/>
      <c r="C156" s="695"/>
      <c r="D156" s="660"/>
      <c r="E156" s="660"/>
      <c r="F156" s="696"/>
      <c r="G156" s="697"/>
      <c r="H156" s="661"/>
      <c r="I156" s="661"/>
      <c r="J156" s="661"/>
      <c r="K156" s="661"/>
    </row>
    <row r="157" spans="1:11" s="666" customFormat="1">
      <c r="A157" s="658"/>
      <c r="B157" s="703"/>
      <c r="C157" s="704"/>
      <c r="D157" s="665"/>
      <c r="E157" s="665"/>
      <c r="F157" s="705"/>
      <c r="G157" s="706"/>
      <c r="H157" s="661"/>
      <c r="I157" s="661"/>
      <c r="J157" s="661"/>
      <c r="K157" s="661"/>
    </row>
    <row r="158" spans="1:11" s="666" customFormat="1">
      <c r="A158" s="658"/>
      <c r="B158" s="694"/>
      <c r="C158" s="695"/>
      <c r="D158" s="660"/>
      <c r="E158" s="660"/>
      <c r="F158" s="696"/>
      <c r="G158" s="697"/>
      <c r="H158" s="661"/>
      <c r="I158" s="661"/>
      <c r="J158" s="661"/>
      <c r="K158" s="661"/>
    </row>
    <row r="159" spans="1:11" s="666" customFormat="1">
      <c r="A159" s="658"/>
      <c r="B159" s="703"/>
      <c r="C159" s="704"/>
      <c r="D159" s="665"/>
      <c r="E159" s="665"/>
      <c r="F159" s="705"/>
      <c r="G159" s="706"/>
      <c r="H159" s="661"/>
      <c r="I159" s="661"/>
      <c r="J159" s="661"/>
      <c r="K159" s="661"/>
    </row>
    <row r="160" spans="1:11" s="666" customFormat="1">
      <c r="A160" s="658"/>
      <c r="B160" s="694"/>
      <c r="C160" s="695"/>
      <c r="D160" s="660"/>
      <c r="E160" s="660"/>
      <c r="F160" s="696"/>
      <c r="G160" s="697"/>
      <c r="H160" s="661"/>
      <c r="I160" s="661"/>
      <c r="J160" s="661"/>
      <c r="K160" s="661"/>
    </row>
    <row r="161" spans="1:23" s="666" customFormat="1">
      <c r="A161" s="658"/>
      <c r="B161" s="703"/>
      <c r="C161" s="704"/>
      <c r="D161" s="665"/>
      <c r="E161" s="665"/>
      <c r="F161" s="705"/>
      <c r="G161" s="706"/>
      <c r="H161" s="661"/>
      <c r="I161" s="661"/>
      <c r="J161" s="661"/>
      <c r="K161" s="661"/>
    </row>
    <row r="162" spans="1:23" s="666" customFormat="1">
      <c r="A162" s="658"/>
      <c r="B162" s="694"/>
      <c r="C162" s="695"/>
      <c r="D162" s="660"/>
      <c r="E162" s="660"/>
      <c r="F162" s="696"/>
      <c r="G162" s="697"/>
      <c r="H162" s="661"/>
      <c r="I162" s="661"/>
      <c r="J162" s="661"/>
      <c r="K162" s="661"/>
    </row>
    <row r="163" spans="1:23" s="666" customFormat="1">
      <c r="A163" s="658"/>
      <c r="B163" s="694"/>
      <c r="C163" s="695"/>
      <c r="D163" s="660"/>
      <c r="E163" s="660"/>
      <c r="F163" s="696"/>
      <c r="G163" s="697"/>
      <c r="H163" s="661"/>
      <c r="I163" s="661"/>
      <c r="J163" s="661"/>
      <c r="K163" s="661"/>
    </row>
    <row r="164" spans="1:23" s="666" customFormat="1">
      <c r="A164" s="658"/>
      <c r="B164" s="694"/>
      <c r="C164" s="695"/>
      <c r="D164" s="660"/>
      <c r="E164" s="660"/>
      <c r="F164" s="696"/>
      <c r="G164" s="697"/>
      <c r="H164" s="661"/>
      <c r="I164" s="661"/>
      <c r="J164" s="661"/>
      <c r="K164" s="661"/>
    </row>
    <row r="165" spans="1:23" s="666" customFormat="1">
      <c r="A165" s="658"/>
      <c r="B165" s="694"/>
      <c r="C165" s="695"/>
      <c r="D165" s="660"/>
      <c r="E165" s="660"/>
      <c r="F165" s="696"/>
      <c r="G165" s="697"/>
      <c r="H165" s="661"/>
      <c r="I165" s="661"/>
      <c r="J165" s="661"/>
      <c r="K165" s="661"/>
    </row>
    <row r="166" spans="1:23" s="666" customFormat="1">
      <c r="A166" s="658"/>
      <c r="B166" s="694"/>
      <c r="C166" s="695"/>
      <c r="D166" s="660"/>
      <c r="E166" s="660"/>
      <c r="F166" s="696"/>
      <c r="G166" s="697"/>
      <c r="H166" s="661"/>
      <c r="I166" s="661"/>
      <c r="J166" s="661"/>
      <c r="K166" s="661"/>
      <c r="U166" s="655"/>
      <c r="W166" s="655"/>
    </row>
    <row r="167" spans="1:23">
      <c r="A167" s="669"/>
      <c r="B167" s="709"/>
      <c r="C167" s="710"/>
      <c r="D167" s="670"/>
      <c r="E167" s="670"/>
      <c r="F167" s="711"/>
      <c r="G167" s="712"/>
      <c r="H167" s="671"/>
      <c r="I167" s="671"/>
      <c r="J167" s="671"/>
      <c r="K167" s="671"/>
    </row>
    <row r="168" spans="1:23">
      <c r="A168" s="672" t="s">
        <v>154</v>
      </c>
      <c r="B168" s="713"/>
      <c r="C168" s="714"/>
      <c r="D168" s="715"/>
      <c r="E168" s="715"/>
      <c r="F168" s="716" t="s">
        <v>261</v>
      </c>
      <c r="G168" s="717"/>
      <c r="H168" s="718" t="s">
        <v>234</v>
      </c>
      <c r="I168" s="675">
        <f>SUM(I114:I167)</f>
        <v>0</v>
      </c>
      <c r="J168" s="718"/>
      <c r="K168" s="675">
        <f>SUM(K114:K167)</f>
        <v>0</v>
      </c>
    </row>
    <row r="169" spans="1:23" ht="16.5" customHeight="1">
      <c r="A169" s="652" t="s">
        <v>143</v>
      </c>
      <c r="B169" s="686" t="s">
        <v>212</v>
      </c>
      <c r="C169" s="920" t="s">
        <v>213</v>
      </c>
      <c r="D169" s="921"/>
      <c r="E169" s="921"/>
      <c r="F169" s="922"/>
      <c r="G169" s="687" t="s">
        <v>214</v>
      </c>
      <c r="H169" s="654" t="s">
        <v>215</v>
      </c>
      <c r="I169" s="654" t="s">
        <v>164</v>
      </c>
      <c r="J169" s="722" t="s">
        <v>309</v>
      </c>
      <c r="K169" s="722" t="s">
        <v>311</v>
      </c>
    </row>
    <row r="170" spans="1:23" s="657" customFormat="1">
      <c r="A170" s="332"/>
      <c r="B170" s="689"/>
      <c r="C170" s="690" t="s">
        <v>199</v>
      </c>
      <c r="D170" s="691" t="s">
        <v>195</v>
      </c>
      <c r="E170" s="691" t="s">
        <v>200</v>
      </c>
      <c r="F170" s="692" t="s">
        <v>201</v>
      </c>
      <c r="G170" s="693"/>
      <c r="H170" s="656" t="s">
        <v>262</v>
      </c>
      <c r="I170" s="656" t="s">
        <v>262</v>
      </c>
      <c r="J170" s="723" t="s">
        <v>310</v>
      </c>
      <c r="K170" s="723" t="s">
        <v>310</v>
      </c>
    </row>
    <row r="171" spans="1:23" s="657" customFormat="1">
      <c r="A171" s="658"/>
      <c r="B171" s="694"/>
      <c r="C171" s="695"/>
      <c r="D171" s="660"/>
      <c r="E171" s="660"/>
      <c r="F171" s="696"/>
      <c r="G171" s="697"/>
      <c r="H171" s="661"/>
      <c r="I171" s="661"/>
      <c r="J171" s="661"/>
      <c r="K171" s="661"/>
      <c r="U171" s="662"/>
      <c r="W171" s="662"/>
    </row>
    <row r="172" spans="1:23" s="662" customFormat="1">
      <c r="A172" s="658"/>
      <c r="B172" s="694"/>
      <c r="C172" s="695"/>
      <c r="D172" s="660"/>
      <c r="E172" s="660"/>
      <c r="F172" s="696"/>
      <c r="G172" s="697"/>
      <c r="H172" s="661"/>
      <c r="I172" s="661"/>
      <c r="J172" s="661"/>
      <c r="K172" s="661"/>
    </row>
    <row r="173" spans="1:23" s="662" customFormat="1">
      <c r="A173" s="658"/>
      <c r="B173" s="699"/>
      <c r="C173" s="700"/>
      <c r="D173" s="701"/>
      <c r="E173" s="701"/>
      <c r="F173" s="702"/>
      <c r="G173" s="697"/>
      <c r="H173" s="661"/>
      <c r="I173" s="661"/>
      <c r="J173" s="661"/>
      <c r="K173" s="661"/>
    </row>
    <row r="174" spans="1:23" s="662" customFormat="1">
      <c r="A174" s="658"/>
      <c r="B174" s="694"/>
      <c r="C174" s="695"/>
      <c r="D174" s="660"/>
      <c r="E174" s="660"/>
      <c r="F174" s="696"/>
      <c r="G174" s="697"/>
      <c r="H174" s="661"/>
      <c r="I174" s="661"/>
      <c r="J174" s="661"/>
      <c r="K174" s="661"/>
    </row>
    <row r="175" spans="1:23" s="662" customFormat="1">
      <c r="A175" s="658"/>
      <c r="B175" s="703"/>
      <c r="C175" s="704"/>
      <c r="D175" s="665"/>
      <c r="E175" s="665"/>
      <c r="F175" s="705"/>
      <c r="G175" s="706"/>
      <c r="H175" s="661"/>
      <c r="I175" s="661"/>
      <c r="J175" s="661"/>
      <c r="K175" s="661"/>
    </row>
    <row r="176" spans="1:23" s="662" customFormat="1">
      <c r="A176" s="658"/>
      <c r="B176" s="694"/>
      <c r="C176" s="695"/>
      <c r="D176" s="660"/>
      <c r="E176" s="660"/>
      <c r="F176" s="696"/>
      <c r="G176" s="697"/>
      <c r="H176" s="661"/>
      <c r="I176" s="661"/>
      <c r="J176" s="661"/>
      <c r="K176" s="661"/>
    </row>
    <row r="177" spans="1:11" s="662" customFormat="1">
      <c r="A177" s="658"/>
      <c r="B177" s="703"/>
      <c r="C177" s="704"/>
      <c r="D177" s="665"/>
      <c r="E177" s="665"/>
      <c r="F177" s="705"/>
      <c r="G177" s="706"/>
      <c r="H177" s="661"/>
      <c r="I177" s="661"/>
      <c r="J177" s="661"/>
      <c r="K177" s="661"/>
    </row>
    <row r="178" spans="1:11" s="662" customFormat="1">
      <c r="A178" s="658"/>
      <c r="B178" s="694"/>
      <c r="C178" s="695"/>
      <c r="D178" s="660"/>
      <c r="E178" s="660"/>
      <c r="F178" s="696"/>
      <c r="G178" s="697"/>
      <c r="H178" s="661"/>
      <c r="I178" s="661"/>
      <c r="J178" s="661"/>
      <c r="K178" s="661"/>
    </row>
    <row r="179" spans="1:11" s="666" customFormat="1">
      <c r="A179" s="658"/>
      <c r="B179" s="703"/>
      <c r="C179" s="704"/>
      <c r="D179" s="665"/>
      <c r="E179" s="665"/>
      <c r="F179" s="705"/>
      <c r="G179" s="706"/>
      <c r="H179" s="661"/>
      <c r="I179" s="661"/>
      <c r="J179" s="661"/>
      <c r="K179" s="661"/>
    </row>
    <row r="180" spans="1:11" s="662" customFormat="1">
      <c r="A180" s="658"/>
      <c r="B180" s="694"/>
      <c r="C180" s="695"/>
      <c r="D180" s="660"/>
      <c r="E180" s="660"/>
      <c r="F180" s="696"/>
      <c r="G180" s="697"/>
      <c r="H180" s="661"/>
      <c r="I180" s="661"/>
      <c r="J180" s="661"/>
      <c r="K180" s="661"/>
    </row>
    <row r="181" spans="1:11" s="662" customFormat="1">
      <c r="A181" s="658"/>
      <c r="B181" s="703"/>
      <c r="C181" s="704"/>
      <c r="D181" s="665"/>
      <c r="E181" s="665"/>
      <c r="F181" s="705"/>
      <c r="G181" s="706"/>
      <c r="H181" s="661"/>
      <c r="I181" s="661"/>
      <c r="J181" s="661"/>
      <c r="K181" s="661"/>
    </row>
    <row r="182" spans="1:11" s="662" customFormat="1">
      <c r="A182" s="658"/>
      <c r="B182" s="694"/>
      <c r="C182" s="695"/>
      <c r="D182" s="660"/>
      <c r="E182" s="660"/>
      <c r="F182" s="696"/>
      <c r="G182" s="697"/>
      <c r="H182" s="661"/>
      <c r="I182" s="661"/>
      <c r="J182" s="661"/>
      <c r="K182" s="661"/>
    </row>
    <row r="183" spans="1:11" s="666" customFormat="1">
      <c r="A183" s="658"/>
      <c r="B183" s="703"/>
      <c r="C183" s="704"/>
      <c r="D183" s="665"/>
      <c r="E183" s="665"/>
      <c r="F183" s="705"/>
      <c r="G183" s="706"/>
      <c r="H183" s="661"/>
      <c r="I183" s="661"/>
      <c r="J183" s="661"/>
      <c r="K183" s="661"/>
    </row>
    <row r="184" spans="1:11" s="666" customFormat="1">
      <c r="A184" s="658"/>
      <c r="B184" s="694"/>
      <c r="C184" s="695"/>
      <c r="D184" s="660"/>
      <c r="E184" s="660"/>
      <c r="F184" s="696"/>
      <c r="G184" s="697"/>
      <c r="H184" s="661"/>
      <c r="I184" s="661"/>
      <c r="J184" s="661"/>
      <c r="K184" s="661"/>
    </row>
    <row r="185" spans="1:11" s="666" customFormat="1">
      <c r="A185" s="658"/>
      <c r="B185" s="703"/>
      <c r="C185" s="704"/>
      <c r="D185" s="665"/>
      <c r="E185" s="665"/>
      <c r="F185" s="705"/>
      <c r="G185" s="706"/>
      <c r="H185" s="661"/>
      <c r="I185" s="661"/>
      <c r="J185" s="661"/>
      <c r="K185" s="661"/>
    </row>
    <row r="186" spans="1:11" s="666" customFormat="1">
      <c r="A186" s="658"/>
      <c r="B186" s="694"/>
      <c r="C186" s="695"/>
      <c r="D186" s="660"/>
      <c r="E186" s="660"/>
      <c r="F186" s="696"/>
      <c r="G186" s="697"/>
      <c r="H186" s="661"/>
      <c r="I186" s="661"/>
      <c r="J186" s="661"/>
      <c r="K186" s="661"/>
    </row>
    <row r="187" spans="1:11" s="666" customFormat="1">
      <c r="A187" s="658"/>
      <c r="B187" s="703"/>
      <c r="C187" s="704"/>
      <c r="D187" s="665"/>
      <c r="E187" s="665"/>
      <c r="F187" s="705"/>
      <c r="G187" s="706"/>
      <c r="H187" s="661"/>
      <c r="I187" s="661"/>
      <c r="J187" s="661"/>
      <c r="K187" s="661"/>
    </row>
    <row r="188" spans="1:11" s="666" customFormat="1">
      <c r="A188" s="658"/>
      <c r="B188" s="694"/>
      <c r="C188" s="695"/>
      <c r="D188" s="660"/>
      <c r="E188" s="660"/>
      <c r="F188" s="696"/>
      <c r="G188" s="697"/>
      <c r="H188" s="661"/>
      <c r="I188" s="661"/>
      <c r="J188" s="661"/>
      <c r="K188" s="661"/>
    </row>
    <row r="189" spans="1:11" s="666" customFormat="1">
      <c r="A189" s="658"/>
      <c r="B189" s="703"/>
      <c r="C189" s="704"/>
      <c r="D189" s="665"/>
      <c r="E189" s="665"/>
      <c r="F189" s="705"/>
      <c r="G189" s="706"/>
      <c r="H189" s="661"/>
      <c r="I189" s="661"/>
      <c r="J189" s="661"/>
      <c r="K189" s="661"/>
    </row>
    <row r="190" spans="1:11" s="666" customFormat="1">
      <c r="A190" s="658"/>
      <c r="B190" s="694"/>
      <c r="C190" s="695"/>
      <c r="D190" s="660"/>
      <c r="E190" s="660"/>
      <c r="F190" s="696"/>
      <c r="G190" s="697"/>
      <c r="H190" s="661"/>
      <c r="I190" s="661"/>
      <c r="J190" s="661"/>
      <c r="K190" s="661"/>
    </row>
    <row r="191" spans="1:11" s="666" customFormat="1">
      <c r="A191" s="658"/>
      <c r="B191" s="703"/>
      <c r="C191" s="704"/>
      <c r="D191" s="665"/>
      <c r="E191" s="665"/>
      <c r="F191" s="705"/>
      <c r="G191" s="706"/>
      <c r="H191" s="661"/>
      <c r="I191" s="661"/>
      <c r="J191" s="661"/>
      <c r="K191" s="661"/>
    </row>
    <row r="192" spans="1:11" s="666" customFormat="1">
      <c r="A192" s="658"/>
      <c r="B192" s="694"/>
      <c r="C192" s="695"/>
      <c r="D192" s="660"/>
      <c r="E192" s="660"/>
      <c r="F192" s="696"/>
      <c r="G192" s="697"/>
      <c r="H192" s="661"/>
      <c r="I192" s="661"/>
      <c r="J192" s="661"/>
      <c r="K192" s="661"/>
    </row>
    <row r="193" spans="1:11" s="666" customFormat="1">
      <c r="A193" s="658"/>
      <c r="B193" s="703"/>
      <c r="C193" s="704"/>
      <c r="D193" s="665"/>
      <c r="E193" s="665"/>
      <c r="F193" s="705"/>
      <c r="G193" s="706"/>
      <c r="H193" s="661"/>
      <c r="I193" s="661"/>
      <c r="J193" s="661"/>
      <c r="K193" s="661"/>
    </row>
    <row r="194" spans="1:11" s="666" customFormat="1">
      <c r="A194" s="658"/>
      <c r="B194" s="694"/>
      <c r="C194" s="695"/>
      <c r="D194" s="660"/>
      <c r="E194" s="660"/>
      <c r="F194" s="696"/>
      <c r="G194" s="697"/>
      <c r="H194" s="661"/>
      <c r="I194" s="661"/>
      <c r="J194" s="661"/>
      <c r="K194" s="661"/>
    </row>
    <row r="195" spans="1:11" s="666" customFormat="1">
      <c r="A195" s="658"/>
      <c r="B195" s="703"/>
      <c r="C195" s="704"/>
      <c r="D195" s="665"/>
      <c r="E195" s="665"/>
      <c r="F195" s="705"/>
      <c r="G195" s="706"/>
      <c r="H195" s="661"/>
      <c r="I195" s="661"/>
      <c r="J195" s="661"/>
      <c r="K195" s="661"/>
    </row>
    <row r="196" spans="1:11" s="666" customFormat="1">
      <c r="A196" s="658"/>
      <c r="B196" s="694"/>
      <c r="C196" s="695"/>
      <c r="D196" s="660"/>
      <c r="E196" s="660"/>
      <c r="F196" s="696"/>
      <c r="G196" s="697"/>
      <c r="H196" s="661"/>
      <c r="I196" s="661"/>
      <c r="J196" s="661"/>
      <c r="K196" s="661"/>
    </row>
    <row r="197" spans="1:11" s="666" customFormat="1">
      <c r="A197" s="658"/>
      <c r="B197" s="694"/>
      <c r="C197" s="695"/>
      <c r="D197" s="660"/>
      <c r="E197" s="660"/>
      <c r="F197" s="696"/>
      <c r="G197" s="697"/>
      <c r="H197" s="661"/>
      <c r="I197" s="661"/>
      <c r="J197" s="661"/>
      <c r="K197" s="661"/>
    </row>
    <row r="198" spans="1:11" s="666" customFormat="1">
      <c r="A198" s="658"/>
      <c r="B198" s="694"/>
      <c r="C198" s="695"/>
      <c r="D198" s="660"/>
      <c r="E198" s="660"/>
      <c r="F198" s="696"/>
      <c r="G198" s="697"/>
      <c r="H198" s="661"/>
      <c r="I198" s="661"/>
      <c r="J198" s="661"/>
      <c r="K198" s="661"/>
    </row>
    <row r="199" spans="1:11" s="666" customFormat="1">
      <c r="A199" s="658"/>
      <c r="B199" s="694"/>
      <c r="C199" s="695"/>
      <c r="D199" s="660"/>
      <c r="E199" s="660"/>
      <c r="F199" s="696"/>
      <c r="G199" s="697"/>
      <c r="H199" s="661"/>
      <c r="I199" s="661"/>
      <c r="J199" s="661"/>
      <c r="K199" s="661"/>
    </row>
    <row r="200" spans="1:11" s="666" customFormat="1">
      <c r="A200" s="658"/>
      <c r="B200" s="694"/>
      <c r="C200" s="695"/>
      <c r="D200" s="660"/>
      <c r="E200" s="660"/>
      <c r="F200" s="696"/>
      <c r="G200" s="697"/>
      <c r="H200" s="661"/>
      <c r="I200" s="661"/>
      <c r="J200" s="661"/>
      <c r="K200" s="661"/>
    </row>
    <row r="201" spans="1:11" s="666" customFormat="1">
      <c r="A201" s="658"/>
      <c r="B201" s="694"/>
      <c r="C201" s="695"/>
      <c r="D201" s="660"/>
      <c r="E201" s="660"/>
      <c r="F201" s="696"/>
      <c r="G201" s="697"/>
      <c r="H201" s="661"/>
      <c r="I201" s="661"/>
      <c r="J201" s="661"/>
      <c r="K201" s="661"/>
    </row>
    <row r="202" spans="1:11" s="666" customFormat="1">
      <c r="A202" s="658"/>
      <c r="B202" s="694"/>
      <c r="C202" s="695"/>
      <c r="D202" s="660"/>
      <c r="E202" s="660"/>
      <c r="F202" s="696"/>
      <c r="G202" s="697"/>
      <c r="H202" s="661"/>
      <c r="I202" s="661"/>
      <c r="J202" s="661"/>
      <c r="K202" s="661"/>
    </row>
    <row r="203" spans="1:11" s="666" customFormat="1">
      <c r="A203" s="658"/>
      <c r="B203" s="694"/>
      <c r="C203" s="695"/>
      <c r="D203" s="660"/>
      <c r="E203" s="660"/>
      <c r="F203" s="696"/>
      <c r="G203" s="697"/>
      <c r="H203" s="661"/>
      <c r="I203" s="661"/>
      <c r="J203" s="661"/>
      <c r="K203" s="661"/>
    </row>
    <row r="204" spans="1:11" s="666" customFormat="1">
      <c r="A204" s="658"/>
      <c r="B204" s="694"/>
      <c r="C204" s="695"/>
      <c r="D204" s="660"/>
      <c r="E204" s="660"/>
      <c r="F204" s="696"/>
      <c r="G204" s="697"/>
      <c r="H204" s="661"/>
      <c r="I204" s="661"/>
      <c r="J204" s="661"/>
      <c r="K204" s="661"/>
    </row>
    <row r="205" spans="1:11" s="666" customFormat="1">
      <c r="A205" s="658"/>
      <c r="B205" s="694"/>
      <c r="C205" s="695"/>
      <c r="D205" s="660"/>
      <c r="E205" s="660"/>
      <c r="F205" s="696"/>
      <c r="G205" s="697"/>
      <c r="H205" s="661"/>
      <c r="I205" s="661"/>
      <c r="J205" s="661"/>
      <c r="K205" s="661"/>
    </row>
    <row r="206" spans="1:11" s="666" customFormat="1">
      <c r="A206" s="658"/>
      <c r="B206" s="694"/>
      <c r="C206" s="695"/>
      <c r="D206" s="660"/>
      <c r="E206" s="660"/>
      <c r="F206" s="696"/>
      <c r="G206" s="697"/>
      <c r="H206" s="661"/>
      <c r="I206" s="661"/>
      <c r="J206" s="661"/>
      <c r="K206" s="661"/>
    </row>
    <row r="207" spans="1:11" s="666" customFormat="1">
      <c r="A207" s="658"/>
      <c r="B207" s="694"/>
      <c r="C207" s="695"/>
      <c r="D207" s="660"/>
      <c r="E207" s="660"/>
      <c r="F207" s="696"/>
      <c r="G207" s="697"/>
      <c r="H207" s="661"/>
      <c r="I207" s="661"/>
      <c r="J207" s="661"/>
      <c r="K207" s="661"/>
    </row>
    <row r="208" spans="1:11" s="666" customFormat="1">
      <c r="A208" s="658"/>
      <c r="B208" s="694"/>
      <c r="C208" s="695"/>
      <c r="D208" s="660"/>
      <c r="E208" s="660"/>
      <c r="F208" s="696"/>
      <c r="G208" s="697"/>
      <c r="H208" s="661"/>
      <c r="I208" s="661"/>
      <c r="J208" s="661"/>
      <c r="K208" s="661"/>
    </row>
    <row r="209" spans="1:23" s="666" customFormat="1">
      <c r="A209" s="658"/>
      <c r="B209" s="694"/>
      <c r="C209" s="695"/>
      <c r="D209" s="660"/>
      <c r="E209" s="660"/>
      <c r="F209" s="696"/>
      <c r="G209" s="697"/>
      <c r="H209" s="661"/>
      <c r="I209" s="661"/>
      <c r="J209" s="661"/>
      <c r="K209" s="661"/>
    </row>
    <row r="210" spans="1:23" s="666" customFormat="1">
      <c r="A210" s="658"/>
      <c r="B210" s="703"/>
      <c r="C210" s="704"/>
      <c r="D210" s="665"/>
      <c r="E210" s="665"/>
      <c r="F210" s="705"/>
      <c r="G210" s="706"/>
      <c r="H210" s="661"/>
      <c r="I210" s="661"/>
      <c r="J210" s="661"/>
      <c r="K210" s="661"/>
    </row>
    <row r="211" spans="1:23" s="666" customFormat="1">
      <c r="A211" s="658"/>
      <c r="B211" s="694"/>
      <c r="C211" s="695"/>
      <c r="D211" s="660"/>
      <c r="E211" s="660"/>
      <c r="F211" s="696"/>
      <c r="G211" s="697"/>
      <c r="H211" s="661"/>
      <c r="I211" s="661"/>
      <c r="J211" s="661"/>
      <c r="K211" s="661"/>
    </row>
    <row r="212" spans="1:23" s="666" customFormat="1">
      <c r="A212" s="658"/>
      <c r="B212" s="703"/>
      <c r="C212" s="704"/>
      <c r="D212" s="665"/>
      <c r="E212" s="665"/>
      <c r="F212" s="705"/>
      <c r="G212" s="706"/>
      <c r="H212" s="661"/>
      <c r="I212" s="661"/>
      <c r="J212" s="661"/>
      <c r="K212" s="661"/>
    </row>
    <row r="213" spans="1:23" s="666" customFormat="1">
      <c r="A213" s="658"/>
      <c r="B213" s="694"/>
      <c r="C213" s="695"/>
      <c r="D213" s="660"/>
      <c r="E213" s="660"/>
      <c r="F213" s="696"/>
      <c r="G213" s="697"/>
      <c r="H213" s="661"/>
      <c r="I213" s="661"/>
      <c r="J213" s="661"/>
      <c r="K213" s="661"/>
    </row>
    <row r="214" spans="1:23" s="666" customFormat="1">
      <c r="A214" s="658"/>
      <c r="B214" s="703"/>
      <c r="C214" s="704"/>
      <c r="D214" s="665"/>
      <c r="E214" s="665"/>
      <c r="F214" s="705"/>
      <c r="G214" s="706"/>
      <c r="H214" s="661"/>
      <c r="I214" s="661"/>
      <c r="J214" s="661"/>
      <c r="K214" s="661"/>
    </row>
    <row r="215" spans="1:23" s="666" customFormat="1">
      <c r="A215" s="658"/>
      <c r="B215" s="694"/>
      <c r="C215" s="695"/>
      <c r="D215" s="660"/>
      <c r="E215" s="660"/>
      <c r="F215" s="696"/>
      <c r="G215" s="697"/>
      <c r="H215" s="661"/>
      <c r="I215" s="661"/>
      <c r="J215" s="661"/>
      <c r="K215" s="661"/>
    </row>
    <row r="216" spans="1:23" s="666" customFormat="1">
      <c r="A216" s="658"/>
      <c r="B216" s="703"/>
      <c r="C216" s="704"/>
      <c r="D216" s="665"/>
      <c r="E216" s="665"/>
      <c r="F216" s="705"/>
      <c r="G216" s="706"/>
      <c r="H216" s="661"/>
      <c r="I216" s="661"/>
      <c r="J216" s="661"/>
      <c r="K216" s="661"/>
    </row>
    <row r="217" spans="1:23" s="666" customFormat="1">
      <c r="A217" s="658"/>
      <c r="B217" s="694"/>
      <c r="C217" s="695"/>
      <c r="D217" s="660"/>
      <c r="E217" s="660"/>
      <c r="F217" s="696"/>
      <c r="G217" s="697"/>
      <c r="H217" s="661"/>
      <c r="I217" s="661"/>
      <c r="J217" s="661"/>
      <c r="K217" s="661"/>
    </row>
    <row r="218" spans="1:23" s="666" customFormat="1">
      <c r="A218" s="658"/>
      <c r="B218" s="703"/>
      <c r="C218" s="704"/>
      <c r="D218" s="665"/>
      <c r="E218" s="665"/>
      <c r="F218" s="705"/>
      <c r="G218" s="706"/>
      <c r="H218" s="661"/>
      <c r="I218" s="661"/>
      <c r="J218" s="661"/>
      <c r="K218" s="661"/>
    </row>
    <row r="219" spans="1:23" s="666" customFormat="1">
      <c r="A219" s="658"/>
      <c r="B219" s="694"/>
      <c r="C219" s="695"/>
      <c r="D219" s="660"/>
      <c r="E219" s="660"/>
      <c r="F219" s="696"/>
      <c r="G219" s="697"/>
      <c r="H219" s="661"/>
      <c r="I219" s="661"/>
      <c r="J219" s="661"/>
      <c r="K219" s="661"/>
    </row>
    <row r="220" spans="1:23" s="666" customFormat="1">
      <c r="A220" s="658"/>
      <c r="B220" s="694"/>
      <c r="C220" s="695"/>
      <c r="D220" s="660"/>
      <c r="E220" s="660"/>
      <c r="F220" s="696"/>
      <c r="G220" s="697"/>
      <c r="H220" s="661"/>
      <c r="I220" s="661"/>
      <c r="J220" s="661"/>
      <c r="K220" s="661"/>
      <c r="U220" s="655"/>
      <c r="W220" s="655"/>
    </row>
    <row r="221" spans="1:23" s="666" customFormat="1">
      <c r="A221" s="658"/>
      <c r="B221" s="694"/>
      <c r="C221" s="695"/>
      <c r="D221" s="660"/>
      <c r="E221" s="660"/>
      <c r="F221" s="696"/>
      <c r="G221" s="697"/>
      <c r="H221" s="661"/>
      <c r="I221" s="661"/>
      <c r="J221" s="661"/>
      <c r="K221" s="661"/>
      <c r="U221" s="655"/>
      <c r="W221" s="655"/>
    </row>
    <row r="222" spans="1:23" s="666" customFormat="1">
      <c r="A222" s="658"/>
      <c r="B222" s="694"/>
      <c r="C222" s="695"/>
      <c r="D222" s="660"/>
      <c r="E222" s="660"/>
      <c r="F222" s="696"/>
      <c r="G222" s="697"/>
      <c r="H222" s="661"/>
      <c r="I222" s="661"/>
      <c r="J222" s="661"/>
      <c r="K222" s="661"/>
      <c r="U222" s="655"/>
      <c r="W222" s="655"/>
    </row>
    <row r="223" spans="1:23" s="666" customFormat="1">
      <c r="A223" s="658"/>
      <c r="B223" s="694"/>
      <c r="C223" s="695"/>
      <c r="D223" s="660"/>
      <c r="E223" s="660"/>
      <c r="F223" s="696"/>
      <c r="G223" s="697"/>
      <c r="H223" s="661"/>
      <c r="I223" s="661"/>
      <c r="J223" s="661"/>
      <c r="K223" s="661"/>
      <c r="U223" s="655"/>
      <c r="W223" s="655"/>
    </row>
    <row r="224" spans="1:23">
      <c r="A224" s="669"/>
      <c r="B224" s="709"/>
      <c r="C224" s="710"/>
      <c r="D224" s="670"/>
      <c r="E224" s="670"/>
      <c r="F224" s="711"/>
      <c r="G224" s="712"/>
      <c r="H224" s="671"/>
      <c r="I224" s="671"/>
      <c r="J224" s="671"/>
      <c r="K224" s="671"/>
    </row>
    <row r="225" spans="1:23">
      <c r="A225" s="672" t="s">
        <v>154</v>
      </c>
      <c r="B225" s="713"/>
      <c r="C225" s="714"/>
      <c r="D225" s="715"/>
      <c r="E225" s="715"/>
      <c r="F225" s="716" t="s">
        <v>261</v>
      </c>
      <c r="G225" s="717"/>
      <c r="H225" s="718" t="s">
        <v>234</v>
      </c>
      <c r="I225" s="675">
        <f>SUM(I171:I224)</f>
        <v>0</v>
      </c>
      <c r="J225" s="718"/>
      <c r="K225" s="675">
        <f>SUM(K171:K224)</f>
        <v>0</v>
      </c>
    </row>
    <row r="226" spans="1:23">
      <c r="A226" s="652" t="s">
        <v>143</v>
      </c>
      <c r="B226" s="686" t="s">
        <v>212</v>
      </c>
      <c r="C226" s="920" t="s">
        <v>213</v>
      </c>
      <c r="D226" s="921"/>
      <c r="E226" s="921"/>
      <c r="F226" s="922"/>
      <c r="G226" s="687" t="s">
        <v>214</v>
      </c>
      <c r="H226" s="654" t="s">
        <v>215</v>
      </c>
      <c r="I226" s="654" t="s">
        <v>164</v>
      </c>
      <c r="J226" s="722" t="s">
        <v>309</v>
      </c>
      <c r="K226" s="722" t="s">
        <v>311</v>
      </c>
    </row>
    <row r="227" spans="1:23">
      <c r="A227" s="332"/>
      <c r="B227" s="689"/>
      <c r="C227" s="690" t="s">
        <v>199</v>
      </c>
      <c r="D227" s="691" t="s">
        <v>195</v>
      </c>
      <c r="E227" s="691" t="s">
        <v>200</v>
      </c>
      <c r="F227" s="692" t="s">
        <v>201</v>
      </c>
      <c r="G227" s="693"/>
      <c r="H227" s="656" t="s">
        <v>262</v>
      </c>
      <c r="I227" s="656" t="s">
        <v>262</v>
      </c>
      <c r="J227" s="723" t="s">
        <v>310</v>
      </c>
      <c r="K227" s="723" t="s">
        <v>310</v>
      </c>
    </row>
    <row r="228" spans="1:23">
      <c r="A228" s="658"/>
      <c r="B228" s="694"/>
      <c r="C228" s="695"/>
      <c r="D228" s="660"/>
      <c r="E228" s="660"/>
      <c r="F228" s="696"/>
      <c r="G228" s="697"/>
      <c r="H228" s="661"/>
      <c r="I228" s="661"/>
      <c r="J228" s="661"/>
      <c r="K228" s="661"/>
    </row>
    <row r="229" spans="1:23">
      <c r="A229" s="658"/>
      <c r="B229" s="694"/>
      <c r="C229" s="695"/>
      <c r="D229" s="660"/>
      <c r="E229" s="660"/>
      <c r="F229" s="696"/>
      <c r="G229" s="697"/>
      <c r="H229" s="661"/>
      <c r="I229" s="661"/>
      <c r="J229" s="661"/>
      <c r="K229" s="661"/>
    </row>
    <row r="230" spans="1:23">
      <c r="A230" s="658"/>
      <c r="B230" s="699"/>
      <c r="C230" s="700"/>
      <c r="D230" s="701"/>
      <c r="E230" s="701"/>
      <c r="F230" s="702"/>
      <c r="G230" s="697"/>
      <c r="H230" s="661"/>
      <c r="I230" s="661"/>
      <c r="J230" s="661"/>
      <c r="K230" s="661"/>
    </row>
    <row r="231" spans="1:23" s="666" customFormat="1">
      <c r="A231" s="658"/>
      <c r="B231" s="694"/>
      <c r="C231" s="695"/>
      <c r="D231" s="660"/>
      <c r="E231" s="660"/>
      <c r="F231" s="696"/>
      <c r="G231" s="697"/>
      <c r="H231" s="661"/>
      <c r="I231" s="661"/>
      <c r="J231" s="661"/>
      <c r="K231" s="661"/>
    </row>
    <row r="232" spans="1:23" s="666" customFormat="1">
      <c r="A232" s="658"/>
      <c r="B232" s="703"/>
      <c r="C232" s="704"/>
      <c r="D232" s="665"/>
      <c r="E232" s="665"/>
      <c r="F232" s="705"/>
      <c r="G232" s="706"/>
      <c r="H232" s="661"/>
      <c r="I232" s="661"/>
      <c r="J232" s="661"/>
      <c r="K232" s="661"/>
    </row>
    <row r="233" spans="1:23" s="666" customFormat="1">
      <c r="A233" s="658"/>
      <c r="B233" s="694"/>
      <c r="C233" s="695"/>
      <c r="D233" s="660"/>
      <c r="E233" s="660"/>
      <c r="F233" s="696"/>
      <c r="G233" s="697"/>
      <c r="H233" s="661"/>
      <c r="I233" s="661"/>
      <c r="J233" s="661"/>
      <c r="K233" s="661"/>
    </row>
    <row r="234" spans="1:23" s="666" customFormat="1">
      <c r="A234" s="658"/>
      <c r="B234" s="703"/>
      <c r="C234" s="704"/>
      <c r="D234" s="665"/>
      <c r="E234" s="665"/>
      <c r="F234" s="705"/>
      <c r="G234" s="706"/>
      <c r="H234" s="661"/>
      <c r="I234" s="661"/>
      <c r="J234" s="661"/>
      <c r="K234" s="661"/>
    </row>
    <row r="235" spans="1:23" s="666" customFormat="1">
      <c r="A235" s="658"/>
      <c r="B235" s="694"/>
      <c r="C235" s="695"/>
      <c r="D235" s="660"/>
      <c r="E235" s="660"/>
      <c r="F235" s="696"/>
      <c r="G235" s="697"/>
      <c r="H235" s="661"/>
      <c r="I235" s="661"/>
      <c r="J235" s="661"/>
      <c r="K235" s="661"/>
    </row>
    <row r="236" spans="1:23" s="666" customFormat="1">
      <c r="A236" s="658"/>
      <c r="B236" s="703"/>
      <c r="C236" s="704"/>
      <c r="D236" s="665"/>
      <c r="E236" s="665"/>
      <c r="F236" s="705"/>
      <c r="G236" s="706"/>
      <c r="H236" s="661"/>
      <c r="I236" s="661"/>
      <c r="J236" s="661"/>
      <c r="K236" s="661"/>
      <c r="U236" s="655"/>
      <c r="W236" s="655"/>
    </row>
    <row r="237" spans="1:23" s="666" customFormat="1">
      <c r="A237" s="658"/>
      <c r="B237" s="694"/>
      <c r="C237" s="695"/>
      <c r="D237" s="660"/>
      <c r="E237" s="660"/>
      <c r="F237" s="696"/>
      <c r="G237" s="697"/>
      <c r="H237" s="661"/>
      <c r="I237" s="661"/>
      <c r="J237" s="661"/>
      <c r="K237" s="661"/>
      <c r="U237" s="655"/>
      <c r="W237" s="655"/>
    </row>
    <row r="238" spans="1:23" s="666" customFormat="1">
      <c r="A238" s="658"/>
      <c r="B238" s="703"/>
      <c r="C238" s="704"/>
      <c r="D238" s="665"/>
      <c r="E238" s="665"/>
      <c r="F238" s="705"/>
      <c r="G238" s="706"/>
      <c r="H238" s="661"/>
      <c r="I238" s="661"/>
      <c r="J238" s="661"/>
      <c r="K238" s="661"/>
      <c r="U238" s="655"/>
      <c r="W238" s="655"/>
    </row>
    <row r="239" spans="1:23" s="666" customFormat="1">
      <c r="A239" s="658"/>
      <c r="B239" s="694"/>
      <c r="C239" s="695"/>
      <c r="D239" s="660"/>
      <c r="E239" s="660"/>
      <c r="F239" s="696"/>
      <c r="G239" s="697"/>
      <c r="H239" s="661"/>
      <c r="I239" s="661"/>
      <c r="J239" s="661"/>
      <c r="K239" s="661"/>
      <c r="U239" s="655"/>
      <c r="W239" s="655"/>
    </row>
    <row r="240" spans="1:23">
      <c r="A240" s="658"/>
      <c r="B240" s="703"/>
      <c r="C240" s="704"/>
      <c r="D240" s="665"/>
      <c r="E240" s="665"/>
      <c r="F240" s="705"/>
      <c r="G240" s="706"/>
      <c r="H240" s="661"/>
      <c r="I240" s="661"/>
      <c r="J240" s="661"/>
      <c r="K240" s="661"/>
    </row>
    <row r="241" spans="1:11">
      <c r="A241" s="658"/>
      <c r="B241" s="694"/>
      <c r="C241" s="695"/>
      <c r="D241" s="660"/>
      <c r="E241" s="660"/>
      <c r="F241" s="696"/>
      <c r="G241" s="697"/>
      <c r="H241" s="661"/>
      <c r="I241" s="661"/>
      <c r="J241" s="661"/>
      <c r="K241" s="661"/>
    </row>
    <row r="242" spans="1:11">
      <c r="A242" s="658"/>
      <c r="B242" s="703"/>
      <c r="C242" s="704"/>
      <c r="D242" s="665"/>
      <c r="E242" s="665"/>
      <c r="F242" s="705"/>
      <c r="G242" s="706"/>
      <c r="H242" s="661"/>
      <c r="I242" s="661"/>
      <c r="J242" s="661"/>
      <c r="K242" s="661"/>
    </row>
    <row r="243" spans="1:11">
      <c r="A243" s="658"/>
      <c r="B243" s="694"/>
      <c r="C243" s="695"/>
      <c r="D243" s="660"/>
      <c r="E243" s="660"/>
      <c r="F243" s="696"/>
      <c r="G243" s="697"/>
      <c r="H243" s="661"/>
      <c r="I243" s="661"/>
      <c r="J243" s="661"/>
      <c r="K243" s="661"/>
    </row>
    <row r="244" spans="1:11">
      <c r="A244" s="658"/>
      <c r="B244" s="703"/>
      <c r="C244" s="704"/>
      <c r="D244" s="665"/>
      <c r="E244" s="665"/>
      <c r="F244" s="705"/>
      <c r="G244" s="706"/>
      <c r="H244" s="661"/>
      <c r="I244" s="661"/>
      <c r="J244" s="661"/>
      <c r="K244" s="661"/>
    </row>
    <row r="245" spans="1:11">
      <c r="A245" s="658"/>
      <c r="B245" s="694"/>
      <c r="C245" s="695"/>
      <c r="D245" s="660"/>
      <c r="E245" s="660"/>
      <c r="F245" s="696"/>
      <c r="G245" s="697"/>
      <c r="H245" s="661"/>
      <c r="I245" s="661"/>
      <c r="J245" s="661"/>
      <c r="K245" s="661"/>
    </row>
    <row r="246" spans="1:11">
      <c r="A246" s="658"/>
      <c r="B246" s="703"/>
      <c r="C246" s="704"/>
      <c r="D246" s="665"/>
      <c r="E246" s="665"/>
      <c r="F246" s="705"/>
      <c r="G246" s="706"/>
      <c r="H246" s="661"/>
      <c r="I246" s="661"/>
      <c r="J246" s="661"/>
      <c r="K246" s="661"/>
    </row>
    <row r="247" spans="1:11">
      <c r="A247" s="658"/>
      <c r="B247" s="694"/>
      <c r="C247" s="695"/>
      <c r="D247" s="660"/>
      <c r="E247" s="660"/>
      <c r="F247" s="696"/>
      <c r="G247" s="697"/>
      <c r="H247" s="661"/>
      <c r="I247" s="661"/>
      <c r="J247" s="661"/>
      <c r="K247" s="661"/>
    </row>
    <row r="248" spans="1:11">
      <c r="A248" s="658"/>
      <c r="B248" s="703"/>
      <c r="C248" s="704"/>
      <c r="D248" s="665"/>
      <c r="E248" s="665"/>
      <c r="F248" s="705"/>
      <c r="G248" s="706"/>
      <c r="H248" s="661"/>
      <c r="I248" s="661"/>
      <c r="J248" s="661"/>
      <c r="K248" s="661"/>
    </row>
    <row r="249" spans="1:11">
      <c r="A249" s="658"/>
      <c r="B249" s="694"/>
      <c r="C249" s="695"/>
      <c r="D249" s="660"/>
      <c r="E249" s="660"/>
      <c r="F249" s="696"/>
      <c r="G249" s="697"/>
      <c r="H249" s="661"/>
      <c r="I249" s="661"/>
      <c r="J249" s="661"/>
      <c r="K249" s="661"/>
    </row>
    <row r="250" spans="1:11">
      <c r="A250" s="658"/>
      <c r="B250" s="703"/>
      <c r="C250" s="704"/>
      <c r="D250" s="665"/>
      <c r="E250" s="665"/>
      <c r="F250" s="705"/>
      <c r="G250" s="706"/>
      <c r="H250" s="661"/>
      <c r="I250" s="661"/>
      <c r="J250" s="661"/>
      <c r="K250" s="661"/>
    </row>
    <row r="251" spans="1:11">
      <c r="A251" s="658"/>
      <c r="B251" s="694"/>
      <c r="C251" s="695"/>
      <c r="D251" s="660"/>
      <c r="E251" s="660"/>
      <c r="F251" s="696"/>
      <c r="G251" s="697"/>
      <c r="H251" s="661"/>
      <c r="I251" s="661"/>
      <c r="J251" s="661"/>
      <c r="K251" s="661"/>
    </row>
    <row r="252" spans="1:11">
      <c r="A252" s="658"/>
      <c r="B252" s="703"/>
      <c r="C252" s="704"/>
      <c r="D252" s="665"/>
      <c r="E252" s="665"/>
      <c r="F252" s="705"/>
      <c r="G252" s="706"/>
      <c r="H252" s="661"/>
      <c r="I252" s="661"/>
      <c r="J252" s="661"/>
      <c r="K252" s="661"/>
    </row>
    <row r="253" spans="1:11">
      <c r="A253" s="658"/>
      <c r="B253" s="694"/>
      <c r="C253" s="695"/>
      <c r="D253" s="660"/>
      <c r="E253" s="660"/>
      <c r="F253" s="696"/>
      <c r="G253" s="697"/>
      <c r="H253" s="661"/>
      <c r="I253" s="661"/>
      <c r="J253" s="661"/>
      <c r="K253" s="661"/>
    </row>
    <row r="254" spans="1:11">
      <c r="A254" s="658"/>
      <c r="B254" s="694"/>
      <c r="C254" s="695"/>
      <c r="D254" s="660"/>
      <c r="E254" s="660"/>
      <c r="F254" s="696"/>
      <c r="G254" s="697"/>
      <c r="H254" s="661"/>
      <c r="I254" s="661"/>
      <c r="J254" s="661"/>
      <c r="K254" s="661"/>
    </row>
    <row r="255" spans="1:11">
      <c r="A255" s="658"/>
      <c r="B255" s="694"/>
      <c r="C255" s="695"/>
      <c r="D255" s="660"/>
      <c r="E255" s="660"/>
      <c r="F255" s="696"/>
      <c r="G255" s="697"/>
      <c r="H255" s="661"/>
      <c r="I255" s="661"/>
      <c r="J255" s="661"/>
      <c r="K255" s="661"/>
    </row>
    <row r="256" spans="1:11">
      <c r="A256" s="658"/>
      <c r="B256" s="694"/>
      <c r="C256" s="695"/>
      <c r="D256" s="660"/>
      <c r="E256" s="660"/>
      <c r="F256" s="696"/>
      <c r="G256" s="697"/>
      <c r="H256" s="661"/>
      <c r="I256" s="661"/>
      <c r="J256" s="661"/>
      <c r="K256" s="661"/>
    </row>
    <row r="257" spans="1:11">
      <c r="A257" s="658"/>
      <c r="B257" s="694"/>
      <c r="C257" s="695"/>
      <c r="D257" s="660"/>
      <c r="E257" s="660"/>
      <c r="F257" s="696"/>
      <c r="G257" s="697"/>
      <c r="H257" s="661"/>
      <c r="I257" s="661"/>
      <c r="J257" s="661"/>
      <c r="K257" s="661"/>
    </row>
    <row r="258" spans="1:11">
      <c r="A258" s="658"/>
      <c r="B258" s="694"/>
      <c r="C258" s="695"/>
      <c r="D258" s="660"/>
      <c r="E258" s="660"/>
      <c r="F258" s="696"/>
      <c r="G258" s="697"/>
      <c r="H258" s="661"/>
      <c r="I258" s="661"/>
      <c r="J258" s="661"/>
      <c r="K258" s="661"/>
    </row>
    <row r="259" spans="1:11">
      <c r="A259" s="658"/>
      <c r="B259" s="694"/>
      <c r="C259" s="695"/>
      <c r="D259" s="660"/>
      <c r="E259" s="660"/>
      <c r="F259" s="696"/>
      <c r="G259" s="697"/>
      <c r="H259" s="661"/>
      <c r="I259" s="661"/>
      <c r="J259" s="661"/>
      <c r="K259" s="661"/>
    </row>
    <row r="260" spans="1:11">
      <c r="A260" s="658"/>
      <c r="B260" s="694"/>
      <c r="C260" s="695"/>
      <c r="D260" s="660"/>
      <c r="E260" s="660"/>
      <c r="F260" s="696"/>
      <c r="G260" s="697"/>
      <c r="H260" s="661"/>
      <c r="I260" s="661"/>
      <c r="J260" s="661"/>
      <c r="K260" s="661"/>
    </row>
    <row r="261" spans="1:11">
      <c r="A261" s="658"/>
      <c r="B261" s="694"/>
      <c r="C261" s="695"/>
      <c r="D261" s="660"/>
      <c r="E261" s="660"/>
      <c r="F261" s="696"/>
      <c r="G261" s="697"/>
      <c r="H261" s="661"/>
      <c r="I261" s="661"/>
      <c r="J261" s="661"/>
      <c r="K261" s="661"/>
    </row>
    <row r="262" spans="1:11">
      <c r="A262" s="658"/>
      <c r="B262" s="694"/>
      <c r="C262" s="695"/>
      <c r="D262" s="660"/>
      <c r="E262" s="660"/>
      <c r="F262" s="696"/>
      <c r="G262" s="697"/>
      <c r="H262" s="661"/>
      <c r="I262" s="661"/>
      <c r="J262" s="661"/>
      <c r="K262" s="661"/>
    </row>
    <row r="263" spans="1:11">
      <c r="A263" s="658"/>
      <c r="B263" s="694"/>
      <c r="C263" s="695"/>
      <c r="D263" s="660"/>
      <c r="E263" s="660"/>
      <c r="F263" s="696"/>
      <c r="G263" s="697"/>
      <c r="H263" s="661"/>
      <c r="I263" s="661"/>
      <c r="J263" s="661"/>
      <c r="K263" s="661"/>
    </row>
    <row r="264" spans="1:11">
      <c r="A264" s="658"/>
      <c r="B264" s="694"/>
      <c r="C264" s="695"/>
      <c r="D264" s="660"/>
      <c r="E264" s="660"/>
      <c r="F264" s="696"/>
      <c r="G264" s="697"/>
      <c r="H264" s="661"/>
      <c r="I264" s="661"/>
      <c r="J264" s="661"/>
      <c r="K264" s="661"/>
    </row>
    <row r="265" spans="1:11">
      <c r="A265" s="658"/>
      <c r="B265" s="694"/>
      <c r="C265" s="695"/>
      <c r="D265" s="660"/>
      <c r="E265" s="660"/>
      <c r="F265" s="696"/>
      <c r="G265" s="697"/>
      <c r="H265" s="661"/>
      <c r="I265" s="661"/>
      <c r="J265" s="661"/>
      <c r="K265" s="661"/>
    </row>
    <row r="266" spans="1:11">
      <c r="A266" s="658"/>
      <c r="B266" s="694"/>
      <c r="C266" s="695"/>
      <c r="D266" s="660"/>
      <c r="E266" s="660"/>
      <c r="F266" s="696"/>
      <c r="G266" s="697"/>
      <c r="H266" s="661"/>
      <c r="I266" s="661"/>
      <c r="J266" s="661"/>
      <c r="K266" s="661"/>
    </row>
    <row r="267" spans="1:11">
      <c r="A267" s="658"/>
      <c r="B267" s="703"/>
      <c r="C267" s="704"/>
      <c r="D267" s="665"/>
      <c r="E267" s="665"/>
      <c r="F267" s="705"/>
      <c r="G267" s="706"/>
      <c r="H267" s="661"/>
      <c r="I267" s="661"/>
      <c r="J267" s="661"/>
      <c r="K267" s="661"/>
    </row>
    <row r="268" spans="1:11">
      <c r="A268" s="658"/>
      <c r="B268" s="694"/>
      <c r="C268" s="695"/>
      <c r="D268" s="660"/>
      <c r="E268" s="660"/>
      <c r="F268" s="696"/>
      <c r="G268" s="697"/>
      <c r="H268" s="661"/>
      <c r="I268" s="661"/>
      <c r="J268" s="661"/>
      <c r="K268" s="661"/>
    </row>
    <row r="269" spans="1:11">
      <c r="A269" s="658"/>
      <c r="B269" s="703"/>
      <c r="C269" s="704"/>
      <c r="D269" s="665"/>
      <c r="E269" s="665"/>
      <c r="F269" s="705"/>
      <c r="G269" s="706"/>
      <c r="H269" s="661"/>
      <c r="I269" s="661"/>
      <c r="J269" s="661"/>
      <c r="K269" s="661"/>
    </row>
    <row r="270" spans="1:11">
      <c r="A270" s="658"/>
      <c r="B270" s="694"/>
      <c r="C270" s="695"/>
      <c r="D270" s="660"/>
      <c r="E270" s="660"/>
      <c r="F270" s="696"/>
      <c r="G270" s="697"/>
      <c r="H270" s="661"/>
      <c r="I270" s="661"/>
      <c r="J270" s="661"/>
      <c r="K270" s="661"/>
    </row>
    <row r="271" spans="1:11">
      <c r="A271" s="658"/>
      <c r="B271" s="703"/>
      <c r="C271" s="704"/>
      <c r="D271" s="665"/>
      <c r="E271" s="665"/>
      <c r="F271" s="705"/>
      <c r="G271" s="706"/>
      <c r="H271" s="661"/>
      <c r="I271" s="661"/>
      <c r="J271" s="661"/>
      <c r="K271" s="661"/>
    </row>
    <row r="272" spans="1:11">
      <c r="A272" s="658"/>
      <c r="B272" s="694"/>
      <c r="C272" s="695"/>
      <c r="D272" s="660"/>
      <c r="E272" s="660"/>
      <c r="F272" s="696"/>
      <c r="G272" s="697"/>
      <c r="H272" s="661"/>
      <c r="I272" s="661"/>
      <c r="J272" s="661"/>
      <c r="K272" s="661"/>
    </row>
    <row r="273" spans="1:11">
      <c r="A273" s="658"/>
      <c r="B273" s="703"/>
      <c r="C273" s="704"/>
      <c r="D273" s="665"/>
      <c r="E273" s="665"/>
      <c r="F273" s="705"/>
      <c r="G273" s="706"/>
      <c r="H273" s="661"/>
      <c r="I273" s="661"/>
      <c r="J273" s="661"/>
      <c r="K273" s="661"/>
    </row>
    <row r="274" spans="1:11">
      <c r="A274" s="658"/>
      <c r="B274" s="694"/>
      <c r="C274" s="695"/>
      <c r="D274" s="660"/>
      <c r="E274" s="660"/>
      <c r="F274" s="696"/>
      <c r="G274" s="697"/>
      <c r="H274" s="661"/>
      <c r="I274" s="661"/>
      <c r="J274" s="661"/>
      <c r="K274" s="661"/>
    </row>
    <row r="275" spans="1:11">
      <c r="A275" s="658"/>
      <c r="B275" s="703"/>
      <c r="C275" s="704"/>
      <c r="D275" s="665"/>
      <c r="E275" s="665"/>
      <c r="F275" s="705"/>
      <c r="G275" s="706"/>
      <c r="H275" s="661"/>
      <c r="I275" s="661"/>
      <c r="J275" s="661"/>
      <c r="K275" s="661"/>
    </row>
    <row r="276" spans="1:11">
      <c r="A276" s="658"/>
      <c r="B276" s="694"/>
      <c r="C276" s="695"/>
      <c r="D276" s="660"/>
      <c r="E276" s="660"/>
      <c r="F276" s="696"/>
      <c r="G276" s="697"/>
      <c r="H276" s="661"/>
      <c r="I276" s="661"/>
      <c r="J276" s="661"/>
      <c r="K276" s="661"/>
    </row>
    <row r="277" spans="1:11">
      <c r="A277" s="658"/>
      <c r="B277" s="694"/>
      <c r="C277" s="695"/>
      <c r="D277" s="660"/>
      <c r="E277" s="660"/>
      <c r="F277" s="696"/>
      <c r="G277" s="697"/>
      <c r="H277" s="661"/>
      <c r="I277" s="661"/>
      <c r="J277" s="661"/>
      <c r="K277" s="661"/>
    </row>
    <row r="278" spans="1:11">
      <c r="A278" s="658"/>
      <c r="B278" s="694"/>
      <c r="C278" s="695"/>
      <c r="D278" s="660"/>
      <c r="E278" s="660"/>
      <c r="F278" s="696"/>
      <c r="G278" s="697"/>
      <c r="H278" s="661"/>
      <c r="I278" s="661"/>
      <c r="J278" s="661"/>
      <c r="K278" s="661"/>
    </row>
    <row r="279" spans="1:11">
      <c r="A279" s="658"/>
      <c r="B279" s="694"/>
      <c r="C279" s="695"/>
      <c r="D279" s="660"/>
      <c r="E279" s="660"/>
      <c r="F279" s="696"/>
      <c r="G279" s="697"/>
      <c r="H279" s="661"/>
      <c r="I279" s="661"/>
      <c r="J279" s="661"/>
      <c r="K279" s="661"/>
    </row>
    <row r="280" spans="1:11">
      <c r="A280" s="658"/>
      <c r="B280" s="694"/>
      <c r="C280" s="695"/>
      <c r="D280" s="660"/>
      <c r="E280" s="660"/>
      <c r="F280" s="696"/>
      <c r="G280" s="697"/>
      <c r="H280" s="661"/>
      <c r="I280" s="661"/>
      <c r="J280" s="661"/>
      <c r="K280" s="661"/>
    </row>
    <row r="281" spans="1:11">
      <c r="A281" s="669"/>
      <c r="B281" s="709"/>
      <c r="C281" s="710"/>
      <c r="D281" s="670"/>
      <c r="E281" s="670"/>
      <c r="F281" s="711"/>
      <c r="G281" s="712"/>
      <c r="H281" s="671"/>
      <c r="I281" s="671"/>
      <c r="J281" s="671"/>
      <c r="K281" s="671"/>
    </row>
    <row r="282" spans="1:11">
      <c r="A282" s="672" t="s">
        <v>154</v>
      </c>
      <c r="B282" s="713"/>
      <c r="C282" s="714"/>
      <c r="D282" s="715"/>
      <c r="E282" s="715"/>
      <c r="F282" s="716" t="s">
        <v>261</v>
      </c>
      <c r="G282" s="717"/>
      <c r="H282" s="718" t="s">
        <v>234</v>
      </c>
      <c r="I282" s="675">
        <f>SUM(I228:I281)</f>
        <v>0</v>
      </c>
      <c r="J282" s="718"/>
      <c r="K282" s="675">
        <f>SUM(K228:K281)</f>
        <v>0</v>
      </c>
    </row>
    <row r="283" spans="1:11">
      <c r="A283" s="652" t="s">
        <v>143</v>
      </c>
      <c r="B283" s="686" t="s">
        <v>212</v>
      </c>
      <c r="C283" s="920" t="s">
        <v>213</v>
      </c>
      <c r="D283" s="921"/>
      <c r="E283" s="921"/>
      <c r="F283" s="922"/>
      <c r="G283" s="687" t="s">
        <v>214</v>
      </c>
      <c r="H283" s="654" t="s">
        <v>215</v>
      </c>
      <c r="I283" s="654" t="s">
        <v>164</v>
      </c>
      <c r="J283" s="722" t="s">
        <v>309</v>
      </c>
      <c r="K283" s="722" t="s">
        <v>311</v>
      </c>
    </row>
    <row r="284" spans="1:11">
      <c r="A284" s="332"/>
      <c r="B284" s="689"/>
      <c r="C284" s="690" t="s">
        <v>199</v>
      </c>
      <c r="D284" s="691" t="s">
        <v>195</v>
      </c>
      <c r="E284" s="691" t="s">
        <v>200</v>
      </c>
      <c r="F284" s="692" t="s">
        <v>201</v>
      </c>
      <c r="G284" s="693"/>
      <c r="H284" s="656" t="s">
        <v>262</v>
      </c>
      <c r="I284" s="656" t="s">
        <v>262</v>
      </c>
      <c r="J284" s="723" t="s">
        <v>310</v>
      </c>
      <c r="K284" s="723" t="s">
        <v>310</v>
      </c>
    </row>
    <row r="285" spans="1:11">
      <c r="A285" s="658"/>
      <c r="B285" s="694"/>
      <c r="C285" s="695"/>
      <c r="D285" s="660"/>
      <c r="E285" s="660"/>
      <c r="F285" s="696"/>
      <c r="G285" s="697"/>
      <c r="H285" s="661"/>
      <c r="I285" s="661"/>
      <c r="J285" s="661"/>
      <c r="K285" s="661"/>
    </row>
    <row r="286" spans="1:11">
      <c r="A286" s="658"/>
      <c r="B286" s="694"/>
      <c r="C286" s="695"/>
      <c r="D286" s="660"/>
      <c r="E286" s="660"/>
      <c r="F286" s="696"/>
      <c r="G286" s="697"/>
      <c r="H286" s="661"/>
      <c r="I286" s="661"/>
      <c r="J286" s="661"/>
      <c r="K286" s="661"/>
    </row>
    <row r="287" spans="1:11">
      <c r="A287" s="658"/>
      <c r="B287" s="699"/>
      <c r="C287" s="700"/>
      <c r="D287" s="701"/>
      <c r="E287" s="701"/>
      <c r="F287" s="702"/>
      <c r="G287" s="697"/>
      <c r="H287" s="661"/>
      <c r="I287" s="661"/>
      <c r="J287" s="661"/>
      <c r="K287" s="661"/>
    </row>
    <row r="288" spans="1:11">
      <c r="A288" s="658"/>
      <c r="B288" s="694"/>
      <c r="C288" s="695"/>
      <c r="D288" s="660"/>
      <c r="E288" s="660"/>
      <c r="F288" s="696"/>
      <c r="G288" s="697"/>
      <c r="H288" s="661"/>
      <c r="I288" s="661"/>
      <c r="J288" s="661"/>
      <c r="K288" s="661"/>
    </row>
    <row r="289" spans="1:11">
      <c r="A289" s="658"/>
      <c r="B289" s="703"/>
      <c r="C289" s="704"/>
      <c r="D289" s="665"/>
      <c r="E289" s="665"/>
      <c r="F289" s="705"/>
      <c r="G289" s="706"/>
      <c r="H289" s="661"/>
      <c r="I289" s="661"/>
      <c r="J289" s="661"/>
      <c r="K289" s="661"/>
    </row>
    <row r="290" spans="1:11">
      <c r="A290" s="658"/>
      <c r="B290" s="694"/>
      <c r="C290" s="695"/>
      <c r="D290" s="660"/>
      <c r="E290" s="660"/>
      <c r="F290" s="696"/>
      <c r="G290" s="697"/>
      <c r="H290" s="661"/>
      <c r="I290" s="661"/>
      <c r="J290" s="661"/>
      <c r="K290" s="661"/>
    </row>
    <row r="291" spans="1:11">
      <c r="A291" s="658"/>
      <c r="B291" s="703"/>
      <c r="C291" s="704"/>
      <c r="D291" s="665"/>
      <c r="E291" s="665"/>
      <c r="F291" s="705"/>
      <c r="G291" s="706"/>
      <c r="H291" s="661"/>
      <c r="I291" s="661"/>
      <c r="J291" s="661"/>
      <c r="K291" s="661"/>
    </row>
    <row r="292" spans="1:11">
      <c r="A292" s="658"/>
      <c r="B292" s="694"/>
      <c r="C292" s="695"/>
      <c r="D292" s="660"/>
      <c r="E292" s="660"/>
      <c r="F292" s="696"/>
      <c r="G292" s="697"/>
      <c r="H292" s="661"/>
      <c r="I292" s="661"/>
      <c r="J292" s="661"/>
      <c r="K292" s="661"/>
    </row>
    <row r="293" spans="1:11">
      <c r="A293" s="658"/>
      <c r="B293" s="703"/>
      <c r="C293" s="704"/>
      <c r="D293" s="665"/>
      <c r="E293" s="665"/>
      <c r="F293" s="705"/>
      <c r="G293" s="706"/>
      <c r="H293" s="661"/>
      <c r="I293" s="661"/>
      <c r="J293" s="661"/>
      <c r="K293" s="661"/>
    </row>
    <row r="294" spans="1:11">
      <c r="A294" s="658"/>
      <c r="B294" s="694"/>
      <c r="C294" s="695"/>
      <c r="D294" s="660"/>
      <c r="E294" s="660"/>
      <c r="F294" s="696"/>
      <c r="G294" s="697"/>
      <c r="H294" s="661"/>
      <c r="I294" s="661"/>
      <c r="J294" s="661"/>
      <c r="K294" s="661"/>
    </row>
    <row r="295" spans="1:11">
      <c r="A295" s="658"/>
      <c r="B295" s="703"/>
      <c r="C295" s="704"/>
      <c r="D295" s="665"/>
      <c r="E295" s="665"/>
      <c r="F295" s="705"/>
      <c r="G295" s="706"/>
      <c r="H295" s="661"/>
      <c r="I295" s="661"/>
      <c r="J295" s="661"/>
      <c r="K295" s="661"/>
    </row>
    <row r="296" spans="1:11">
      <c r="A296" s="658"/>
      <c r="B296" s="694"/>
      <c r="C296" s="695"/>
      <c r="D296" s="660"/>
      <c r="E296" s="660"/>
      <c r="F296" s="696"/>
      <c r="G296" s="697"/>
      <c r="H296" s="661"/>
      <c r="I296" s="661"/>
      <c r="J296" s="661"/>
      <c r="K296" s="661"/>
    </row>
    <row r="297" spans="1:11">
      <c r="A297" s="658"/>
      <c r="B297" s="703"/>
      <c r="C297" s="704"/>
      <c r="D297" s="665"/>
      <c r="E297" s="665"/>
      <c r="F297" s="705"/>
      <c r="G297" s="706"/>
      <c r="H297" s="661"/>
      <c r="I297" s="661"/>
      <c r="J297" s="661"/>
      <c r="K297" s="661"/>
    </row>
    <row r="298" spans="1:11">
      <c r="A298" s="658"/>
      <c r="B298" s="694"/>
      <c r="C298" s="695"/>
      <c r="D298" s="660"/>
      <c r="E298" s="660"/>
      <c r="F298" s="696"/>
      <c r="G298" s="697"/>
      <c r="H298" s="661"/>
      <c r="I298" s="661"/>
      <c r="J298" s="661"/>
      <c r="K298" s="661"/>
    </row>
    <row r="299" spans="1:11">
      <c r="A299" s="658"/>
      <c r="B299" s="703"/>
      <c r="C299" s="704"/>
      <c r="D299" s="665"/>
      <c r="E299" s="665"/>
      <c r="F299" s="705"/>
      <c r="G299" s="706"/>
      <c r="H299" s="661"/>
      <c r="I299" s="661"/>
      <c r="J299" s="661"/>
      <c r="K299" s="661"/>
    </row>
    <row r="300" spans="1:11">
      <c r="A300" s="658"/>
      <c r="B300" s="694"/>
      <c r="C300" s="695"/>
      <c r="D300" s="660"/>
      <c r="E300" s="660"/>
      <c r="F300" s="696"/>
      <c r="G300" s="697"/>
      <c r="H300" s="661"/>
      <c r="I300" s="661"/>
      <c r="J300" s="661"/>
      <c r="K300" s="661"/>
    </row>
    <row r="301" spans="1:11">
      <c r="A301" s="658"/>
      <c r="B301" s="703"/>
      <c r="C301" s="704"/>
      <c r="D301" s="665"/>
      <c r="E301" s="665"/>
      <c r="F301" s="705"/>
      <c r="G301" s="706"/>
      <c r="H301" s="661"/>
      <c r="I301" s="661"/>
      <c r="J301" s="661"/>
      <c r="K301" s="661"/>
    </row>
    <row r="302" spans="1:11">
      <c r="A302" s="658"/>
      <c r="B302" s="694"/>
      <c r="C302" s="695"/>
      <c r="D302" s="660"/>
      <c r="E302" s="660"/>
      <c r="F302" s="696"/>
      <c r="G302" s="697"/>
      <c r="H302" s="661"/>
      <c r="I302" s="661"/>
      <c r="J302" s="661"/>
      <c r="K302" s="661"/>
    </row>
    <row r="303" spans="1:11">
      <c r="A303" s="658"/>
      <c r="B303" s="703"/>
      <c r="C303" s="704"/>
      <c r="D303" s="665"/>
      <c r="E303" s="665"/>
      <c r="F303" s="705"/>
      <c r="G303" s="706"/>
      <c r="H303" s="661"/>
      <c r="I303" s="661"/>
      <c r="J303" s="661"/>
      <c r="K303" s="661"/>
    </row>
    <row r="304" spans="1:11">
      <c r="A304" s="658"/>
      <c r="B304" s="694"/>
      <c r="C304" s="695"/>
      <c r="D304" s="660"/>
      <c r="E304" s="660"/>
      <c r="F304" s="696"/>
      <c r="G304" s="697"/>
      <c r="H304" s="661"/>
      <c r="I304" s="661"/>
      <c r="J304" s="661"/>
      <c r="K304" s="661"/>
    </row>
    <row r="305" spans="1:11">
      <c r="A305" s="658"/>
      <c r="B305" s="703"/>
      <c r="C305" s="704"/>
      <c r="D305" s="665"/>
      <c r="E305" s="665"/>
      <c r="F305" s="705"/>
      <c r="G305" s="706"/>
      <c r="H305" s="661"/>
      <c r="I305" s="661"/>
      <c r="J305" s="661"/>
      <c r="K305" s="661"/>
    </row>
    <row r="306" spans="1:11">
      <c r="A306" s="658"/>
      <c r="B306" s="694"/>
      <c r="C306" s="695"/>
      <c r="D306" s="660"/>
      <c r="E306" s="660"/>
      <c r="F306" s="696"/>
      <c r="G306" s="697"/>
      <c r="H306" s="661"/>
      <c r="I306" s="661"/>
      <c r="J306" s="661"/>
      <c r="K306" s="661"/>
    </row>
    <row r="307" spans="1:11">
      <c r="A307" s="658"/>
      <c r="B307" s="694"/>
      <c r="C307" s="695"/>
      <c r="D307" s="660"/>
      <c r="E307" s="660"/>
      <c r="F307" s="696"/>
      <c r="G307" s="697"/>
      <c r="H307" s="661"/>
      <c r="I307" s="661"/>
      <c r="J307" s="661"/>
      <c r="K307" s="661"/>
    </row>
    <row r="308" spans="1:11">
      <c r="A308" s="658"/>
      <c r="B308" s="694"/>
      <c r="C308" s="695"/>
      <c r="D308" s="660"/>
      <c r="E308" s="660"/>
      <c r="F308" s="696"/>
      <c r="G308" s="697"/>
      <c r="H308" s="661"/>
      <c r="I308" s="661"/>
      <c r="J308" s="661"/>
      <c r="K308" s="661"/>
    </row>
    <row r="309" spans="1:11">
      <c r="A309" s="658"/>
      <c r="B309" s="694"/>
      <c r="C309" s="695"/>
      <c r="D309" s="660"/>
      <c r="E309" s="660"/>
      <c r="F309" s="696"/>
      <c r="G309" s="697"/>
      <c r="H309" s="661"/>
      <c r="I309" s="661"/>
      <c r="J309" s="661"/>
      <c r="K309" s="661"/>
    </row>
    <row r="310" spans="1:11">
      <c r="A310" s="658"/>
      <c r="B310" s="694"/>
      <c r="C310" s="695"/>
      <c r="D310" s="660"/>
      <c r="E310" s="660"/>
      <c r="F310" s="696"/>
      <c r="G310" s="697"/>
      <c r="H310" s="661"/>
      <c r="I310" s="661"/>
      <c r="J310" s="661"/>
      <c r="K310" s="661"/>
    </row>
    <row r="311" spans="1:11">
      <c r="A311" s="658"/>
      <c r="B311" s="694"/>
      <c r="C311" s="695"/>
      <c r="D311" s="660"/>
      <c r="E311" s="660"/>
      <c r="F311" s="696"/>
      <c r="G311" s="697"/>
      <c r="H311" s="661"/>
      <c r="I311" s="661"/>
      <c r="J311" s="661"/>
      <c r="K311" s="661"/>
    </row>
    <row r="312" spans="1:11">
      <c r="A312" s="658"/>
      <c r="B312" s="694"/>
      <c r="C312" s="695"/>
      <c r="D312" s="660"/>
      <c r="E312" s="660"/>
      <c r="F312" s="696"/>
      <c r="G312" s="697"/>
      <c r="H312" s="661"/>
      <c r="I312" s="661"/>
      <c r="J312" s="661"/>
      <c r="K312" s="661"/>
    </row>
    <row r="313" spans="1:11">
      <c r="A313" s="658"/>
      <c r="B313" s="694"/>
      <c r="C313" s="695"/>
      <c r="D313" s="660"/>
      <c r="E313" s="660"/>
      <c r="F313" s="696"/>
      <c r="G313" s="697"/>
      <c r="H313" s="661"/>
      <c r="I313" s="661"/>
      <c r="J313" s="661"/>
      <c r="K313" s="661"/>
    </row>
    <row r="314" spans="1:11">
      <c r="A314" s="658"/>
      <c r="B314" s="694"/>
      <c r="C314" s="695"/>
      <c r="D314" s="660"/>
      <c r="E314" s="660"/>
      <c r="F314" s="696"/>
      <c r="G314" s="697"/>
      <c r="H314" s="661"/>
      <c r="I314" s="661"/>
      <c r="J314" s="661"/>
      <c r="K314" s="661"/>
    </row>
    <row r="315" spans="1:11">
      <c r="A315" s="658"/>
      <c r="B315" s="694"/>
      <c r="C315" s="695"/>
      <c r="D315" s="660"/>
      <c r="E315" s="660"/>
      <c r="F315" s="696"/>
      <c r="G315" s="697"/>
      <c r="H315" s="661"/>
      <c r="I315" s="661"/>
      <c r="J315" s="661"/>
      <c r="K315" s="661"/>
    </row>
    <row r="316" spans="1:11">
      <c r="A316" s="658"/>
      <c r="B316" s="694"/>
      <c r="C316" s="695"/>
      <c r="D316" s="660"/>
      <c r="E316" s="660"/>
      <c r="F316" s="696"/>
      <c r="G316" s="697"/>
      <c r="H316" s="661"/>
      <c r="I316" s="661"/>
      <c r="J316" s="661"/>
      <c r="K316" s="661"/>
    </row>
    <row r="317" spans="1:11">
      <c r="A317" s="658"/>
      <c r="B317" s="694"/>
      <c r="C317" s="695"/>
      <c r="D317" s="660"/>
      <c r="E317" s="660"/>
      <c r="F317" s="696"/>
      <c r="G317" s="697"/>
      <c r="H317" s="661"/>
      <c r="I317" s="661"/>
      <c r="J317" s="661"/>
      <c r="K317" s="661"/>
    </row>
    <row r="318" spans="1:11">
      <c r="A318" s="658"/>
      <c r="B318" s="694"/>
      <c r="C318" s="695"/>
      <c r="D318" s="660"/>
      <c r="E318" s="660"/>
      <c r="F318" s="696"/>
      <c r="G318" s="697"/>
      <c r="H318" s="661"/>
      <c r="I318" s="661"/>
      <c r="J318" s="661"/>
      <c r="K318" s="661"/>
    </row>
    <row r="319" spans="1:11">
      <c r="A319" s="658"/>
      <c r="B319" s="694"/>
      <c r="C319" s="695"/>
      <c r="D319" s="660"/>
      <c r="E319" s="660"/>
      <c r="F319" s="696"/>
      <c r="G319" s="697"/>
      <c r="H319" s="661"/>
      <c r="I319" s="661"/>
      <c r="J319" s="661"/>
      <c r="K319" s="661"/>
    </row>
    <row r="320" spans="1:11">
      <c r="A320" s="658"/>
      <c r="B320" s="703"/>
      <c r="C320" s="704"/>
      <c r="D320" s="665"/>
      <c r="E320" s="665"/>
      <c r="F320" s="705"/>
      <c r="G320" s="706"/>
      <c r="H320" s="661"/>
      <c r="I320" s="661"/>
      <c r="J320" s="661"/>
      <c r="K320" s="661"/>
    </row>
    <row r="321" spans="1:11">
      <c r="A321" s="658"/>
      <c r="B321" s="694"/>
      <c r="C321" s="695"/>
      <c r="D321" s="660"/>
      <c r="E321" s="660"/>
      <c r="F321" s="696"/>
      <c r="G321" s="697"/>
      <c r="H321" s="661"/>
      <c r="I321" s="661"/>
      <c r="J321" s="661"/>
      <c r="K321" s="661"/>
    </row>
    <row r="322" spans="1:11">
      <c r="A322" s="658"/>
      <c r="B322" s="703"/>
      <c r="C322" s="704"/>
      <c r="D322" s="665"/>
      <c r="E322" s="665"/>
      <c r="F322" s="705"/>
      <c r="G322" s="706"/>
      <c r="H322" s="661"/>
      <c r="I322" s="661"/>
      <c r="J322" s="661"/>
      <c r="K322" s="661"/>
    </row>
    <row r="323" spans="1:11">
      <c r="A323" s="658"/>
      <c r="B323" s="694"/>
      <c r="C323" s="695"/>
      <c r="D323" s="660"/>
      <c r="E323" s="660"/>
      <c r="F323" s="696"/>
      <c r="G323" s="697"/>
      <c r="H323" s="661"/>
      <c r="I323" s="661"/>
      <c r="J323" s="661"/>
      <c r="K323" s="661"/>
    </row>
    <row r="324" spans="1:11">
      <c r="A324" s="658"/>
      <c r="B324" s="703"/>
      <c r="C324" s="704"/>
      <c r="D324" s="665"/>
      <c r="E324" s="665"/>
      <c r="F324" s="705"/>
      <c r="G324" s="706"/>
      <c r="H324" s="661"/>
      <c r="I324" s="661"/>
      <c r="J324" s="661"/>
      <c r="K324" s="661"/>
    </row>
    <row r="325" spans="1:11">
      <c r="A325" s="658"/>
      <c r="B325" s="694"/>
      <c r="C325" s="695"/>
      <c r="D325" s="660"/>
      <c r="E325" s="660"/>
      <c r="F325" s="696"/>
      <c r="G325" s="697"/>
      <c r="H325" s="661"/>
      <c r="I325" s="661"/>
      <c r="J325" s="661"/>
      <c r="K325" s="661"/>
    </row>
    <row r="326" spans="1:11">
      <c r="A326" s="658"/>
      <c r="B326" s="703"/>
      <c r="C326" s="704"/>
      <c r="D326" s="665"/>
      <c r="E326" s="665"/>
      <c r="F326" s="705"/>
      <c r="G326" s="706"/>
      <c r="H326" s="661"/>
      <c r="I326" s="661"/>
      <c r="J326" s="661"/>
      <c r="K326" s="661"/>
    </row>
    <row r="327" spans="1:11">
      <c r="A327" s="658"/>
      <c r="B327" s="694"/>
      <c r="C327" s="695"/>
      <c r="D327" s="660"/>
      <c r="E327" s="660"/>
      <c r="F327" s="696"/>
      <c r="G327" s="697"/>
      <c r="H327" s="661"/>
      <c r="I327" s="661"/>
      <c r="J327" s="661"/>
      <c r="K327" s="661"/>
    </row>
    <row r="328" spans="1:11">
      <c r="A328" s="658"/>
      <c r="B328" s="703"/>
      <c r="C328" s="704"/>
      <c r="D328" s="665"/>
      <c r="E328" s="665"/>
      <c r="F328" s="705"/>
      <c r="G328" s="706"/>
      <c r="H328" s="661"/>
      <c r="I328" s="661"/>
      <c r="J328" s="661"/>
      <c r="K328" s="661"/>
    </row>
    <row r="329" spans="1:11">
      <c r="A329" s="658"/>
      <c r="B329" s="694"/>
      <c r="C329" s="695"/>
      <c r="D329" s="660"/>
      <c r="E329" s="660"/>
      <c r="F329" s="696"/>
      <c r="G329" s="697"/>
      <c r="H329" s="661"/>
      <c r="I329" s="661"/>
      <c r="J329" s="661"/>
      <c r="K329" s="661"/>
    </row>
    <row r="330" spans="1:11">
      <c r="A330" s="658"/>
      <c r="B330" s="703"/>
      <c r="C330" s="704"/>
      <c r="D330" s="665"/>
      <c r="E330" s="665"/>
      <c r="F330" s="705"/>
      <c r="G330" s="706"/>
      <c r="H330" s="661"/>
      <c r="I330" s="661"/>
      <c r="J330" s="661"/>
      <c r="K330" s="661"/>
    </row>
    <row r="331" spans="1:11">
      <c r="A331" s="658"/>
      <c r="B331" s="694"/>
      <c r="C331" s="695"/>
      <c r="D331" s="660"/>
      <c r="E331" s="660"/>
      <c r="F331" s="696"/>
      <c r="G331" s="697"/>
      <c r="H331" s="661"/>
      <c r="I331" s="661"/>
      <c r="J331" s="661"/>
      <c r="K331" s="661"/>
    </row>
    <row r="332" spans="1:11">
      <c r="A332" s="658"/>
      <c r="B332" s="703"/>
      <c r="C332" s="704"/>
      <c r="D332" s="665"/>
      <c r="E332" s="665"/>
      <c r="F332" s="705"/>
      <c r="G332" s="706"/>
      <c r="H332" s="661"/>
      <c r="I332" s="661"/>
      <c r="J332" s="661"/>
      <c r="K332" s="661"/>
    </row>
    <row r="333" spans="1:11">
      <c r="A333" s="658"/>
      <c r="B333" s="694"/>
      <c r="C333" s="695"/>
      <c r="D333" s="660"/>
      <c r="E333" s="660"/>
      <c r="F333" s="696"/>
      <c r="G333" s="697"/>
      <c r="H333" s="661"/>
      <c r="I333" s="661"/>
      <c r="J333" s="661"/>
      <c r="K333" s="661"/>
    </row>
    <row r="334" spans="1:11">
      <c r="A334" s="658"/>
      <c r="B334" s="694"/>
      <c r="C334" s="695"/>
      <c r="D334" s="660"/>
      <c r="E334" s="660"/>
      <c r="F334" s="696"/>
      <c r="G334" s="697"/>
      <c r="H334" s="661"/>
      <c r="I334" s="661"/>
      <c r="J334" s="661"/>
      <c r="K334" s="661"/>
    </row>
    <row r="335" spans="1:11">
      <c r="A335" s="658"/>
      <c r="B335" s="694"/>
      <c r="C335" s="695"/>
      <c r="D335" s="660"/>
      <c r="E335" s="660"/>
      <c r="F335" s="696"/>
      <c r="G335" s="697"/>
      <c r="H335" s="661"/>
      <c r="I335" s="661"/>
      <c r="J335" s="661"/>
      <c r="K335" s="661"/>
    </row>
    <row r="336" spans="1:11">
      <c r="A336" s="658"/>
      <c r="B336" s="694"/>
      <c r="C336" s="695"/>
      <c r="D336" s="660"/>
      <c r="E336" s="660"/>
      <c r="F336" s="696"/>
      <c r="G336" s="697"/>
      <c r="H336" s="661"/>
      <c r="I336" s="661"/>
      <c r="J336" s="661"/>
      <c r="K336" s="661"/>
    </row>
    <row r="337" spans="1:11">
      <c r="A337" s="658"/>
      <c r="B337" s="694"/>
      <c r="C337" s="695"/>
      <c r="D337" s="660"/>
      <c r="E337" s="660"/>
      <c r="F337" s="696"/>
      <c r="G337" s="697"/>
      <c r="H337" s="661"/>
      <c r="I337" s="661"/>
      <c r="J337" s="661"/>
      <c r="K337" s="661"/>
    </row>
    <row r="338" spans="1:11">
      <c r="A338" s="669"/>
      <c r="B338" s="709"/>
      <c r="C338" s="710"/>
      <c r="D338" s="670"/>
      <c r="E338" s="670"/>
      <c r="F338" s="711"/>
      <c r="G338" s="712"/>
      <c r="H338" s="671"/>
      <c r="I338" s="671"/>
      <c r="J338" s="671"/>
      <c r="K338" s="671"/>
    </row>
    <row r="339" spans="1:11">
      <c r="A339" s="672" t="s">
        <v>154</v>
      </c>
      <c r="B339" s="713"/>
      <c r="C339" s="714"/>
      <c r="D339" s="715"/>
      <c r="E339" s="715"/>
      <c r="F339" s="716" t="s">
        <v>261</v>
      </c>
      <c r="G339" s="717"/>
      <c r="H339" s="718" t="s">
        <v>234</v>
      </c>
      <c r="I339" s="675">
        <f>SUM(I285:I338)</f>
        <v>0</v>
      </c>
      <c r="J339" s="718"/>
      <c r="K339" s="675">
        <f>SUM(K285:K338)</f>
        <v>0</v>
      </c>
    </row>
    <row r="340" spans="1:11">
      <c r="A340" s="652" t="s">
        <v>143</v>
      </c>
      <c r="B340" s="686" t="s">
        <v>212</v>
      </c>
      <c r="C340" s="920" t="s">
        <v>213</v>
      </c>
      <c r="D340" s="921"/>
      <c r="E340" s="921"/>
      <c r="F340" s="922"/>
      <c r="G340" s="687" t="s">
        <v>214</v>
      </c>
      <c r="H340" s="654" t="s">
        <v>215</v>
      </c>
      <c r="I340" s="654" t="s">
        <v>164</v>
      </c>
      <c r="J340" s="722" t="s">
        <v>309</v>
      </c>
      <c r="K340" s="722" t="s">
        <v>311</v>
      </c>
    </row>
    <row r="341" spans="1:11">
      <c r="A341" s="332"/>
      <c r="B341" s="689"/>
      <c r="C341" s="690" t="s">
        <v>199</v>
      </c>
      <c r="D341" s="691" t="s">
        <v>195</v>
      </c>
      <c r="E341" s="691" t="s">
        <v>200</v>
      </c>
      <c r="F341" s="692" t="s">
        <v>201</v>
      </c>
      <c r="G341" s="693"/>
      <c r="H341" s="656" t="s">
        <v>262</v>
      </c>
      <c r="I341" s="656" t="s">
        <v>262</v>
      </c>
      <c r="J341" s="723" t="s">
        <v>310</v>
      </c>
      <c r="K341" s="723" t="s">
        <v>310</v>
      </c>
    </row>
    <row r="342" spans="1:11">
      <c r="A342" s="658"/>
      <c r="B342" s="694"/>
      <c r="C342" s="695"/>
      <c r="D342" s="660"/>
      <c r="E342" s="660"/>
      <c r="F342" s="696"/>
      <c r="G342" s="697"/>
      <c r="H342" s="661"/>
      <c r="I342" s="661"/>
      <c r="J342" s="661"/>
      <c r="K342" s="661"/>
    </row>
    <row r="343" spans="1:11">
      <c r="A343" s="658"/>
      <c r="B343" s="694"/>
      <c r="C343" s="695"/>
      <c r="D343" s="660"/>
      <c r="E343" s="660"/>
      <c r="F343" s="696"/>
      <c r="G343" s="697"/>
      <c r="H343" s="661"/>
      <c r="I343" s="661"/>
      <c r="J343" s="661"/>
      <c r="K343" s="661"/>
    </row>
    <row r="344" spans="1:11">
      <c r="A344" s="658"/>
      <c r="B344" s="699"/>
      <c r="C344" s="700"/>
      <c r="D344" s="701"/>
      <c r="E344" s="701"/>
      <c r="F344" s="702"/>
      <c r="G344" s="697"/>
      <c r="H344" s="661"/>
      <c r="I344" s="661"/>
      <c r="J344" s="661"/>
      <c r="K344" s="661"/>
    </row>
    <row r="345" spans="1:11">
      <c r="A345" s="658"/>
      <c r="B345" s="694"/>
      <c r="C345" s="695"/>
      <c r="D345" s="660"/>
      <c r="E345" s="660"/>
      <c r="F345" s="696"/>
      <c r="G345" s="697"/>
      <c r="H345" s="661"/>
      <c r="I345" s="661"/>
      <c r="J345" s="661"/>
      <c r="K345" s="661"/>
    </row>
    <row r="346" spans="1:11">
      <c r="A346" s="658"/>
      <c r="B346" s="703"/>
      <c r="C346" s="704"/>
      <c r="D346" s="665"/>
      <c r="E346" s="665"/>
      <c r="F346" s="705"/>
      <c r="G346" s="706"/>
      <c r="H346" s="661"/>
      <c r="I346" s="661"/>
      <c r="J346" s="661"/>
      <c r="K346" s="661"/>
    </row>
    <row r="347" spans="1:11">
      <c r="A347" s="658"/>
      <c r="B347" s="694"/>
      <c r="C347" s="695"/>
      <c r="D347" s="660"/>
      <c r="E347" s="660"/>
      <c r="F347" s="696"/>
      <c r="G347" s="697"/>
      <c r="H347" s="661"/>
      <c r="I347" s="661"/>
      <c r="J347" s="661"/>
      <c r="K347" s="661"/>
    </row>
    <row r="348" spans="1:11">
      <c r="A348" s="658"/>
      <c r="B348" s="703"/>
      <c r="C348" s="704"/>
      <c r="D348" s="665"/>
      <c r="E348" s="665"/>
      <c r="F348" s="705"/>
      <c r="G348" s="706"/>
      <c r="H348" s="661"/>
      <c r="I348" s="661"/>
      <c r="J348" s="661"/>
      <c r="K348" s="661"/>
    </row>
    <row r="349" spans="1:11">
      <c r="A349" s="658"/>
      <c r="B349" s="694"/>
      <c r="C349" s="695"/>
      <c r="D349" s="660"/>
      <c r="E349" s="660"/>
      <c r="F349" s="696"/>
      <c r="G349" s="697"/>
      <c r="H349" s="661"/>
      <c r="I349" s="661"/>
      <c r="J349" s="661"/>
      <c r="K349" s="661"/>
    </row>
    <row r="350" spans="1:11">
      <c r="A350" s="658"/>
      <c r="B350" s="703"/>
      <c r="C350" s="704"/>
      <c r="D350" s="665"/>
      <c r="E350" s="665"/>
      <c r="F350" s="705"/>
      <c r="G350" s="706"/>
      <c r="H350" s="661"/>
      <c r="I350" s="661"/>
      <c r="J350" s="661"/>
      <c r="K350" s="661"/>
    </row>
    <row r="351" spans="1:11">
      <c r="A351" s="658"/>
      <c r="B351" s="694"/>
      <c r="C351" s="695"/>
      <c r="D351" s="660"/>
      <c r="E351" s="660"/>
      <c r="F351" s="696"/>
      <c r="G351" s="697"/>
      <c r="H351" s="661"/>
      <c r="I351" s="661"/>
      <c r="J351" s="661"/>
      <c r="K351" s="661"/>
    </row>
    <row r="352" spans="1:11">
      <c r="A352" s="658"/>
      <c r="B352" s="703"/>
      <c r="C352" s="704"/>
      <c r="D352" s="665"/>
      <c r="E352" s="665"/>
      <c r="F352" s="705"/>
      <c r="G352" s="706"/>
      <c r="H352" s="661"/>
      <c r="I352" s="661"/>
      <c r="J352" s="661"/>
      <c r="K352" s="661"/>
    </row>
    <row r="353" spans="1:11">
      <c r="A353" s="658"/>
      <c r="B353" s="694"/>
      <c r="C353" s="695"/>
      <c r="D353" s="660"/>
      <c r="E353" s="660"/>
      <c r="F353" s="696"/>
      <c r="G353" s="697"/>
      <c r="H353" s="661"/>
      <c r="I353" s="661"/>
      <c r="J353" s="661"/>
      <c r="K353" s="661"/>
    </row>
    <row r="354" spans="1:11">
      <c r="A354" s="658"/>
      <c r="B354" s="703"/>
      <c r="C354" s="704"/>
      <c r="D354" s="665"/>
      <c r="E354" s="665"/>
      <c r="F354" s="705"/>
      <c r="G354" s="706"/>
      <c r="H354" s="661"/>
      <c r="I354" s="661"/>
      <c r="J354" s="661"/>
      <c r="K354" s="661"/>
    </row>
    <row r="355" spans="1:11">
      <c r="A355" s="658"/>
      <c r="B355" s="694"/>
      <c r="C355" s="695"/>
      <c r="D355" s="660"/>
      <c r="E355" s="660"/>
      <c r="F355" s="696"/>
      <c r="G355" s="697"/>
      <c r="H355" s="661"/>
      <c r="I355" s="661"/>
      <c r="J355" s="661"/>
      <c r="K355" s="661"/>
    </row>
    <row r="356" spans="1:11">
      <c r="A356" s="658"/>
      <c r="B356" s="703"/>
      <c r="C356" s="704"/>
      <c r="D356" s="665"/>
      <c r="E356" s="665"/>
      <c r="F356" s="705"/>
      <c r="G356" s="706"/>
      <c r="H356" s="661"/>
      <c r="I356" s="661"/>
      <c r="J356" s="661"/>
      <c r="K356" s="661"/>
    </row>
    <row r="357" spans="1:11">
      <c r="A357" s="658"/>
      <c r="B357" s="694"/>
      <c r="C357" s="695"/>
      <c r="D357" s="660"/>
      <c r="E357" s="660"/>
      <c r="F357" s="696"/>
      <c r="G357" s="697"/>
      <c r="H357" s="661"/>
      <c r="I357" s="661"/>
      <c r="J357" s="661"/>
      <c r="K357" s="661"/>
    </row>
    <row r="358" spans="1:11">
      <c r="A358" s="658"/>
      <c r="B358" s="703"/>
      <c r="C358" s="704"/>
      <c r="D358" s="665"/>
      <c r="E358" s="665"/>
      <c r="F358" s="705"/>
      <c r="G358" s="706"/>
      <c r="H358" s="661"/>
      <c r="I358" s="661"/>
      <c r="J358" s="661"/>
      <c r="K358" s="661"/>
    </row>
    <row r="359" spans="1:11">
      <c r="A359" s="658"/>
      <c r="B359" s="694"/>
      <c r="C359" s="695"/>
      <c r="D359" s="660"/>
      <c r="E359" s="660"/>
      <c r="F359" s="696"/>
      <c r="G359" s="697"/>
      <c r="H359" s="661"/>
      <c r="I359" s="661"/>
      <c r="J359" s="661"/>
      <c r="K359" s="661"/>
    </row>
    <row r="360" spans="1:11">
      <c r="A360" s="658"/>
      <c r="B360" s="703"/>
      <c r="C360" s="704"/>
      <c r="D360" s="665"/>
      <c r="E360" s="665"/>
      <c r="F360" s="705"/>
      <c r="G360" s="706"/>
      <c r="H360" s="661"/>
      <c r="I360" s="661"/>
      <c r="J360" s="661"/>
      <c r="K360" s="661"/>
    </row>
    <row r="361" spans="1:11">
      <c r="A361" s="658"/>
      <c r="B361" s="694"/>
      <c r="C361" s="695"/>
      <c r="D361" s="660"/>
      <c r="E361" s="660"/>
      <c r="F361" s="696"/>
      <c r="G361" s="697"/>
      <c r="H361" s="661"/>
      <c r="I361" s="661"/>
      <c r="J361" s="661"/>
      <c r="K361" s="661"/>
    </row>
    <row r="362" spans="1:11">
      <c r="A362" s="658"/>
      <c r="B362" s="703"/>
      <c r="C362" s="704"/>
      <c r="D362" s="665"/>
      <c r="E362" s="665"/>
      <c r="F362" s="705"/>
      <c r="G362" s="706"/>
      <c r="H362" s="661"/>
      <c r="I362" s="661"/>
      <c r="J362" s="661"/>
      <c r="K362" s="661"/>
    </row>
    <row r="363" spans="1:11">
      <c r="A363" s="658"/>
      <c r="B363" s="694"/>
      <c r="C363" s="695"/>
      <c r="D363" s="660"/>
      <c r="E363" s="660"/>
      <c r="F363" s="696"/>
      <c r="G363" s="697"/>
      <c r="H363" s="661"/>
      <c r="I363" s="661"/>
      <c r="J363" s="661"/>
      <c r="K363" s="661"/>
    </row>
    <row r="364" spans="1:11">
      <c r="A364" s="658"/>
      <c r="B364" s="703"/>
      <c r="C364" s="704"/>
      <c r="D364" s="665"/>
      <c r="E364" s="665"/>
      <c r="F364" s="705"/>
      <c r="G364" s="706"/>
      <c r="H364" s="661"/>
      <c r="I364" s="661"/>
      <c r="J364" s="661"/>
      <c r="K364" s="661"/>
    </row>
    <row r="365" spans="1:11">
      <c r="A365" s="658"/>
      <c r="B365" s="694"/>
      <c r="C365" s="695"/>
      <c r="D365" s="660"/>
      <c r="E365" s="660"/>
      <c r="F365" s="696"/>
      <c r="G365" s="697"/>
      <c r="H365" s="661"/>
      <c r="I365" s="661"/>
      <c r="J365" s="661"/>
      <c r="K365" s="661"/>
    </row>
    <row r="366" spans="1:11">
      <c r="A366" s="658"/>
      <c r="B366" s="703"/>
      <c r="C366" s="704"/>
      <c r="D366" s="665"/>
      <c r="E366" s="665"/>
      <c r="F366" s="705"/>
      <c r="G366" s="706"/>
      <c r="H366" s="661"/>
      <c r="I366" s="661"/>
      <c r="J366" s="661"/>
      <c r="K366" s="661"/>
    </row>
    <row r="367" spans="1:11">
      <c r="A367" s="658"/>
      <c r="B367" s="703"/>
      <c r="C367" s="704"/>
      <c r="D367" s="665"/>
      <c r="E367" s="665"/>
      <c r="F367" s="705"/>
      <c r="G367" s="706"/>
      <c r="H367" s="661"/>
      <c r="I367" s="661"/>
      <c r="J367" s="661"/>
      <c r="K367" s="661"/>
    </row>
    <row r="368" spans="1:11">
      <c r="A368" s="658"/>
      <c r="B368" s="703"/>
      <c r="C368" s="704"/>
      <c r="D368" s="665"/>
      <c r="E368" s="665"/>
      <c r="F368" s="705"/>
      <c r="G368" s="706"/>
      <c r="H368" s="661"/>
      <c r="I368" s="661"/>
      <c r="J368" s="661"/>
      <c r="K368" s="661"/>
    </row>
    <row r="369" spans="1:11">
      <c r="A369" s="658"/>
      <c r="B369" s="703"/>
      <c r="C369" s="704"/>
      <c r="D369" s="665"/>
      <c r="E369" s="665"/>
      <c r="F369" s="705"/>
      <c r="G369" s="706"/>
      <c r="H369" s="661"/>
      <c r="I369" s="661"/>
      <c r="J369" s="661"/>
      <c r="K369" s="661"/>
    </row>
    <row r="370" spans="1:11">
      <c r="A370" s="658"/>
      <c r="B370" s="703"/>
      <c r="C370" s="704"/>
      <c r="D370" s="665"/>
      <c r="E370" s="665"/>
      <c r="F370" s="705"/>
      <c r="G370" s="706"/>
      <c r="H370" s="661"/>
      <c r="I370" s="661"/>
      <c r="J370" s="661"/>
      <c r="K370" s="661"/>
    </row>
    <row r="371" spans="1:11">
      <c r="A371" s="658"/>
      <c r="B371" s="703"/>
      <c r="C371" s="704"/>
      <c r="D371" s="665"/>
      <c r="E371" s="665"/>
      <c r="F371" s="705"/>
      <c r="G371" s="706"/>
      <c r="H371" s="661"/>
      <c r="I371" s="661"/>
      <c r="J371" s="661"/>
      <c r="K371" s="661"/>
    </row>
    <row r="372" spans="1:11">
      <c r="A372" s="658"/>
      <c r="B372" s="703"/>
      <c r="C372" s="704"/>
      <c r="D372" s="665"/>
      <c r="E372" s="665"/>
      <c r="F372" s="705"/>
      <c r="G372" s="706"/>
      <c r="H372" s="661"/>
      <c r="I372" s="661"/>
      <c r="J372" s="661"/>
      <c r="K372" s="661"/>
    </row>
    <row r="373" spans="1:11">
      <c r="A373" s="658"/>
      <c r="B373" s="703"/>
      <c r="C373" s="704"/>
      <c r="D373" s="665"/>
      <c r="E373" s="665"/>
      <c r="F373" s="705"/>
      <c r="G373" s="706"/>
      <c r="H373" s="661"/>
      <c r="I373" s="661"/>
      <c r="J373" s="661"/>
      <c r="K373" s="661"/>
    </row>
    <row r="374" spans="1:11">
      <c r="A374" s="658"/>
      <c r="B374" s="703"/>
      <c r="C374" s="704"/>
      <c r="D374" s="665"/>
      <c r="E374" s="665"/>
      <c r="F374" s="705"/>
      <c r="G374" s="706"/>
      <c r="H374" s="661"/>
      <c r="I374" s="661"/>
      <c r="J374" s="661"/>
      <c r="K374" s="661"/>
    </row>
    <row r="375" spans="1:11">
      <c r="A375" s="658"/>
      <c r="B375" s="703"/>
      <c r="C375" s="704"/>
      <c r="D375" s="665"/>
      <c r="E375" s="665"/>
      <c r="F375" s="705"/>
      <c r="G375" s="706"/>
      <c r="H375" s="661"/>
      <c r="I375" s="661"/>
      <c r="J375" s="661"/>
      <c r="K375" s="661"/>
    </row>
    <row r="376" spans="1:11">
      <c r="A376" s="658"/>
      <c r="B376" s="703"/>
      <c r="C376" s="704"/>
      <c r="D376" s="665"/>
      <c r="E376" s="665"/>
      <c r="F376" s="705"/>
      <c r="G376" s="706"/>
      <c r="H376" s="661"/>
      <c r="I376" s="661"/>
      <c r="J376" s="661"/>
      <c r="K376" s="661"/>
    </row>
    <row r="377" spans="1:11">
      <c r="A377" s="658"/>
      <c r="B377" s="703"/>
      <c r="C377" s="704"/>
      <c r="D377" s="665"/>
      <c r="E377" s="665"/>
      <c r="F377" s="705"/>
      <c r="G377" s="706"/>
      <c r="H377" s="661"/>
      <c r="I377" s="661"/>
      <c r="J377" s="661"/>
      <c r="K377" s="661"/>
    </row>
    <row r="378" spans="1:11">
      <c r="A378" s="658"/>
      <c r="B378" s="703"/>
      <c r="C378" s="704"/>
      <c r="D378" s="665"/>
      <c r="E378" s="665"/>
      <c r="F378" s="705"/>
      <c r="G378" s="706"/>
      <c r="H378" s="661"/>
      <c r="I378" s="661"/>
      <c r="J378" s="661"/>
      <c r="K378" s="661"/>
    </row>
    <row r="379" spans="1:11">
      <c r="A379" s="658"/>
      <c r="B379" s="703"/>
      <c r="C379" s="704"/>
      <c r="D379" s="665"/>
      <c r="E379" s="665"/>
      <c r="F379" s="705"/>
      <c r="G379" s="706"/>
      <c r="H379" s="661"/>
      <c r="I379" s="661"/>
      <c r="J379" s="661"/>
      <c r="K379" s="661"/>
    </row>
    <row r="380" spans="1:11">
      <c r="A380" s="658"/>
      <c r="B380" s="703"/>
      <c r="C380" s="704"/>
      <c r="D380" s="665"/>
      <c r="E380" s="665"/>
      <c r="F380" s="705"/>
      <c r="G380" s="706"/>
      <c r="H380" s="661"/>
      <c r="I380" s="661"/>
      <c r="J380" s="661"/>
      <c r="K380" s="661"/>
    </row>
    <row r="381" spans="1:11">
      <c r="A381" s="658"/>
      <c r="B381" s="694"/>
      <c r="C381" s="695"/>
      <c r="D381" s="660"/>
      <c r="E381" s="660"/>
      <c r="F381" s="696"/>
      <c r="G381" s="697"/>
      <c r="H381" s="661"/>
      <c r="I381" s="661"/>
      <c r="J381" s="661"/>
      <c r="K381" s="661"/>
    </row>
    <row r="382" spans="1:11">
      <c r="A382" s="658"/>
      <c r="B382" s="703"/>
      <c r="C382" s="704"/>
      <c r="D382" s="665"/>
      <c r="E382" s="665"/>
      <c r="F382" s="705"/>
      <c r="G382" s="706"/>
      <c r="H382" s="661"/>
      <c r="I382" s="661"/>
      <c r="J382" s="661"/>
      <c r="K382" s="661"/>
    </row>
    <row r="383" spans="1:11">
      <c r="A383" s="658"/>
      <c r="B383" s="694"/>
      <c r="C383" s="695"/>
      <c r="D383" s="660"/>
      <c r="E383" s="660"/>
      <c r="F383" s="696"/>
      <c r="G383" s="697"/>
      <c r="H383" s="661"/>
      <c r="I383" s="661"/>
      <c r="J383" s="661"/>
      <c r="K383" s="661"/>
    </row>
    <row r="384" spans="1:11">
      <c r="A384" s="658"/>
      <c r="B384" s="703"/>
      <c r="C384" s="704"/>
      <c r="D384" s="665"/>
      <c r="E384" s="665"/>
      <c r="F384" s="705"/>
      <c r="G384" s="706"/>
      <c r="H384" s="661"/>
      <c r="I384" s="661"/>
      <c r="J384" s="661"/>
      <c r="K384" s="661"/>
    </row>
    <row r="385" spans="1:11">
      <c r="A385" s="658"/>
      <c r="B385" s="694"/>
      <c r="C385" s="695"/>
      <c r="D385" s="660"/>
      <c r="E385" s="660"/>
      <c r="F385" s="696"/>
      <c r="G385" s="697"/>
      <c r="H385" s="661"/>
      <c r="I385" s="661"/>
      <c r="J385" s="661"/>
      <c r="K385" s="661"/>
    </row>
    <row r="386" spans="1:11">
      <c r="A386" s="658"/>
      <c r="B386" s="703"/>
      <c r="C386" s="704"/>
      <c r="D386" s="665"/>
      <c r="E386" s="665"/>
      <c r="F386" s="705"/>
      <c r="G386" s="706"/>
      <c r="H386" s="661"/>
      <c r="I386" s="661"/>
      <c r="J386" s="661"/>
      <c r="K386" s="661"/>
    </row>
    <row r="387" spans="1:11">
      <c r="A387" s="658"/>
      <c r="B387" s="694"/>
      <c r="C387" s="695"/>
      <c r="D387" s="660"/>
      <c r="E387" s="660"/>
      <c r="F387" s="696"/>
      <c r="G387" s="697"/>
      <c r="H387" s="661"/>
      <c r="I387" s="661"/>
      <c r="J387" s="661"/>
      <c r="K387" s="661"/>
    </row>
    <row r="388" spans="1:11">
      <c r="A388" s="658"/>
      <c r="B388" s="703"/>
      <c r="C388" s="704"/>
      <c r="D388" s="665"/>
      <c r="E388" s="665"/>
      <c r="F388" s="705"/>
      <c r="G388" s="706"/>
      <c r="H388" s="661"/>
      <c r="I388" s="661"/>
      <c r="J388" s="661"/>
      <c r="K388" s="661"/>
    </row>
    <row r="389" spans="1:11">
      <c r="A389" s="658"/>
      <c r="B389" s="694"/>
      <c r="C389" s="695"/>
      <c r="D389" s="660"/>
      <c r="E389" s="660"/>
      <c r="F389" s="696"/>
      <c r="G389" s="697"/>
      <c r="H389" s="661"/>
      <c r="I389" s="661"/>
      <c r="J389" s="661"/>
      <c r="K389" s="661"/>
    </row>
    <row r="390" spans="1:11">
      <c r="A390" s="658"/>
      <c r="B390" s="703"/>
      <c r="C390" s="704"/>
      <c r="D390" s="665"/>
      <c r="E390" s="665"/>
      <c r="F390" s="705"/>
      <c r="G390" s="706"/>
      <c r="H390" s="661"/>
      <c r="I390" s="661"/>
      <c r="J390" s="661"/>
      <c r="K390" s="661"/>
    </row>
    <row r="391" spans="1:11">
      <c r="A391" s="658"/>
      <c r="B391" s="694"/>
      <c r="C391" s="695"/>
      <c r="D391" s="660"/>
      <c r="E391" s="660"/>
      <c r="F391" s="696"/>
      <c r="G391" s="697"/>
      <c r="H391" s="661"/>
      <c r="I391" s="661"/>
      <c r="J391" s="661"/>
      <c r="K391" s="661"/>
    </row>
    <row r="392" spans="1:11">
      <c r="A392" s="658"/>
      <c r="B392" s="694"/>
      <c r="C392" s="695"/>
      <c r="D392" s="660"/>
      <c r="E392" s="660"/>
      <c r="F392" s="696"/>
      <c r="G392" s="697"/>
      <c r="H392" s="661"/>
      <c r="I392" s="661"/>
      <c r="J392" s="661"/>
      <c r="K392" s="661"/>
    </row>
    <row r="393" spans="1:11">
      <c r="A393" s="658"/>
      <c r="B393" s="694"/>
      <c r="C393" s="695"/>
      <c r="D393" s="660"/>
      <c r="E393" s="660"/>
      <c r="F393" s="696"/>
      <c r="G393" s="697"/>
      <c r="H393" s="661"/>
      <c r="I393" s="661"/>
      <c r="J393" s="661"/>
      <c r="K393" s="661"/>
    </row>
    <row r="394" spans="1:11">
      <c r="A394" s="658"/>
      <c r="B394" s="694"/>
      <c r="C394" s="695"/>
      <c r="D394" s="660"/>
      <c r="E394" s="660"/>
      <c r="F394" s="696"/>
      <c r="G394" s="697"/>
      <c r="H394" s="661"/>
      <c r="I394" s="661"/>
      <c r="J394" s="661"/>
      <c r="K394" s="661"/>
    </row>
    <row r="395" spans="1:11">
      <c r="A395" s="669"/>
      <c r="B395" s="709"/>
      <c r="C395" s="710"/>
      <c r="D395" s="670"/>
      <c r="E395" s="670"/>
      <c r="F395" s="711"/>
      <c r="G395" s="712"/>
      <c r="H395" s="671"/>
      <c r="I395" s="671"/>
      <c r="J395" s="671"/>
      <c r="K395" s="671"/>
    </row>
    <row r="396" spans="1:11">
      <c r="A396" s="672" t="s">
        <v>154</v>
      </c>
      <c r="B396" s="713"/>
      <c r="C396" s="714"/>
      <c r="D396" s="715"/>
      <c r="E396" s="715"/>
      <c r="F396" s="716" t="s">
        <v>261</v>
      </c>
      <c r="G396" s="717"/>
      <c r="H396" s="718" t="s">
        <v>234</v>
      </c>
      <c r="I396" s="675">
        <f>SUM(I342:I395)</f>
        <v>0</v>
      </c>
      <c r="J396" s="718"/>
      <c r="K396" s="675">
        <f>SUM(K342:K395)</f>
        <v>0</v>
      </c>
    </row>
    <row r="397" spans="1:11">
      <c r="A397" s="652" t="s">
        <v>143</v>
      </c>
      <c r="B397" s="686" t="s">
        <v>212</v>
      </c>
      <c r="C397" s="920" t="s">
        <v>213</v>
      </c>
      <c r="D397" s="921"/>
      <c r="E397" s="921"/>
      <c r="F397" s="922"/>
      <c r="G397" s="687" t="s">
        <v>214</v>
      </c>
      <c r="H397" s="654" t="s">
        <v>215</v>
      </c>
      <c r="I397" s="654" t="s">
        <v>164</v>
      </c>
      <c r="J397" s="722" t="s">
        <v>309</v>
      </c>
      <c r="K397" s="722" t="s">
        <v>311</v>
      </c>
    </row>
    <row r="398" spans="1:11">
      <c r="A398" s="332"/>
      <c r="B398" s="689"/>
      <c r="C398" s="690" t="s">
        <v>199</v>
      </c>
      <c r="D398" s="691" t="s">
        <v>195</v>
      </c>
      <c r="E398" s="691" t="s">
        <v>200</v>
      </c>
      <c r="F398" s="692" t="s">
        <v>201</v>
      </c>
      <c r="G398" s="693"/>
      <c r="H398" s="656" t="s">
        <v>262</v>
      </c>
      <c r="I398" s="656" t="s">
        <v>262</v>
      </c>
      <c r="J398" s="723" t="s">
        <v>310</v>
      </c>
      <c r="K398" s="723" t="s">
        <v>310</v>
      </c>
    </row>
    <row r="399" spans="1:11">
      <c r="A399" s="658"/>
      <c r="B399" s="694"/>
      <c r="C399" s="695"/>
      <c r="D399" s="660"/>
      <c r="E399" s="660"/>
      <c r="F399" s="696"/>
      <c r="G399" s="697"/>
      <c r="H399" s="661"/>
      <c r="I399" s="661"/>
      <c r="J399" s="661"/>
      <c r="K399" s="661"/>
    </row>
    <row r="400" spans="1:11">
      <c r="A400" s="658"/>
      <c r="B400" s="694"/>
      <c r="C400" s="695"/>
      <c r="D400" s="660"/>
      <c r="E400" s="660"/>
      <c r="F400" s="696"/>
      <c r="G400" s="697"/>
      <c r="H400" s="661"/>
      <c r="I400" s="661"/>
      <c r="J400" s="661"/>
      <c r="K400" s="661"/>
    </row>
    <row r="401" spans="1:11">
      <c r="A401" s="658"/>
      <c r="B401" s="699"/>
      <c r="C401" s="700"/>
      <c r="D401" s="701"/>
      <c r="E401" s="701"/>
      <c r="F401" s="702"/>
      <c r="G401" s="697"/>
      <c r="H401" s="661"/>
      <c r="I401" s="661"/>
      <c r="J401" s="661"/>
      <c r="K401" s="661"/>
    </row>
    <row r="402" spans="1:11">
      <c r="A402" s="658"/>
      <c r="B402" s="694"/>
      <c r="C402" s="695"/>
      <c r="D402" s="660"/>
      <c r="E402" s="660"/>
      <c r="F402" s="696"/>
      <c r="G402" s="697"/>
      <c r="H402" s="661"/>
      <c r="I402" s="661"/>
      <c r="J402" s="661"/>
      <c r="K402" s="661"/>
    </row>
    <row r="403" spans="1:11">
      <c r="A403" s="658"/>
      <c r="B403" s="703"/>
      <c r="C403" s="704"/>
      <c r="D403" s="665"/>
      <c r="E403" s="665"/>
      <c r="F403" s="705"/>
      <c r="G403" s="706"/>
      <c r="H403" s="661"/>
      <c r="I403" s="661"/>
      <c r="J403" s="661"/>
      <c r="K403" s="661"/>
    </row>
    <row r="404" spans="1:11">
      <c r="A404" s="658"/>
      <c r="B404" s="694"/>
      <c r="C404" s="695"/>
      <c r="D404" s="660"/>
      <c r="E404" s="660"/>
      <c r="F404" s="696"/>
      <c r="G404" s="697"/>
      <c r="H404" s="661"/>
      <c r="I404" s="661"/>
      <c r="J404" s="661"/>
      <c r="K404" s="661"/>
    </row>
    <row r="405" spans="1:11">
      <c r="A405" s="658"/>
      <c r="B405" s="703"/>
      <c r="C405" s="704"/>
      <c r="D405" s="665"/>
      <c r="E405" s="665"/>
      <c r="F405" s="705"/>
      <c r="G405" s="706"/>
      <c r="H405" s="661"/>
      <c r="I405" s="661"/>
      <c r="J405" s="661"/>
      <c r="K405" s="661"/>
    </row>
    <row r="406" spans="1:11">
      <c r="A406" s="658"/>
      <c r="B406" s="694"/>
      <c r="C406" s="695"/>
      <c r="D406" s="660"/>
      <c r="E406" s="660"/>
      <c r="F406" s="696"/>
      <c r="G406" s="697"/>
      <c r="H406" s="661"/>
      <c r="I406" s="661"/>
      <c r="J406" s="661"/>
      <c r="K406" s="661"/>
    </row>
    <row r="407" spans="1:11">
      <c r="A407" s="658"/>
      <c r="B407" s="703"/>
      <c r="C407" s="704"/>
      <c r="D407" s="665"/>
      <c r="E407" s="665"/>
      <c r="F407" s="705"/>
      <c r="G407" s="706"/>
      <c r="H407" s="661"/>
      <c r="I407" s="661"/>
      <c r="J407" s="661"/>
      <c r="K407" s="661"/>
    </row>
    <row r="408" spans="1:11">
      <c r="A408" s="658"/>
      <c r="B408" s="694"/>
      <c r="C408" s="695"/>
      <c r="D408" s="660"/>
      <c r="E408" s="660"/>
      <c r="F408" s="696"/>
      <c r="G408" s="697"/>
      <c r="H408" s="661"/>
      <c r="I408" s="661"/>
      <c r="J408" s="661"/>
      <c r="K408" s="661"/>
    </row>
    <row r="409" spans="1:11">
      <c r="A409" s="658"/>
      <c r="B409" s="703"/>
      <c r="C409" s="704"/>
      <c r="D409" s="665"/>
      <c r="E409" s="665"/>
      <c r="F409" s="705"/>
      <c r="G409" s="706"/>
      <c r="H409" s="661"/>
      <c r="I409" s="661"/>
      <c r="J409" s="661"/>
      <c r="K409" s="661"/>
    </row>
    <row r="410" spans="1:11">
      <c r="A410" s="658"/>
      <c r="B410" s="694"/>
      <c r="C410" s="695"/>
      <c r="D410" s="660"/>
      <c r="E410" s="660"/>
      <c r="F410" s="696"/>
      <c r="G410" s="697"/>
      <c r="H410" s="661"/>
      <c r="I410" s="661"/>
      <c r="J410" s="661"/>
      <c r="K410" s="661"/>
    </row>
    <row r="411" spans="1:11">
      <c r="A411" s="658"/>
      <c r="B411" s="703"/>
      <c r="C411" s="704"/>
      <c r="D411" s="665"/>
      <c r="E411" s="665"/>
      <c r="F411" s="705"/>
      <c r="G411" s="706"/>
      <c r="H411" s="661"/>
      <c r="I411" s="661"/>
      <c r="J411" s="661"/>
      <c r="K411" s="661"/>
    </row>
    <row r="412" spans="1:11">
      <c r="A412" s="658"/>
      <c r="B412" s="694"/>
      <c r="C412" s="695"/>
      <c r="D412" s="660"/>
      <c r="E412" s="660"/>
      <c r="F412" s="696"/>
      <c r="G412" s="697"/>
      <c r="H412" s="661"/>
      <c r="I412" s="661"/>
      <c r="J412" s="661"/>
      <c r="K412" s="661"/>
    </row>
    <row r="413" spans="1:11">
      <c r="A413" s="658"/>
      <c r="B413" s="703"/>
      <c r="C413" s="704"/>
      <c r="D413" s="665"/>
      <c r="E413" s="665"/>
      <c r="F413" s="705"/>
      <c r="G413" s="706"/>
      <c r="H413" s="661"/>
      <c r="I413" s="661"/>
      <c r="J413" s="661"/>
      <c r="K413" s="661"/>
    </row>
    <row r="414" spans="1:11">
      <c r="A414" s="658"/>
      <c r="B414" s="694"/>
      <c r="C414" s="695"/>
      <c r="D414" s="660"/>
      <c r="E414" s="660"/>
      <c r="F414" s="696"/>
      <c r="G414" s="697"/>
      <c r="H414" s="661"/>
      <c r="I414" s="661"/>
      <c r="J414" s="661"/>
      <c r="K414" s="661"/>
    </row>
    <row r="415" spans="1:11">
      <c r="A415" s="658"/>
      <c r="B415" s="703"/>
      <c r="C415" s="704"/>
      <c r="D415" s="665"/>
      <c r="E415" s="665"/>
      <c r="F415" s="705"/>
      <c r="G415" s="706"/>
      <c r="H415" s="661"/>
      <c r="I415" s="661"/>
      <c r="J415" s="661"/>
      <c r="K415" s="661"/>
    </row>
    <row r="416" spans="1:11">
      <c r="A416" s="658"/>
      <c r="B416" s="694"/>
      <c r="C416" s="695"/>
      <c r="D416" s="660"/>
      <c r="E416" s="660"/>
      <c r="F416" s="696"/>
      <c r="G416" s="697"/>
      <c r="H416" s="661"/>
      <c r="I416" s="661"/>
      <c r="J416" s="661"/>
      <c r="K416" s="661"/>
    </row>
    <row r="417" spans="1:11">
      <c r="A417" s="658"/>
      <c r="B417" s="703"/>
      <c r="C417" s="704"/>
      <c r="D417" s="665"/>
      <c r="E417" s="665"/>
      <c r="F417" s="705"/>
      <c r="G417" s="706"/>
      <c r="H417" s="661"/>
      <c r="I417" s="661"/>
      <c r="J417" s="661"/>
      <c r="K417" s="661"/>
    </row>
    <row r="418" spans="1:11">
      <c r="A418" s="658"/>
      <c r="B418" s="694"/>
      <c r="C418" s="695"/>
      <c r="D418" s="660"/>
      <c r="E418" s="660"/>
      <c r="F418" s="696"/>
      <c r="G418" s="697"/>
      <c r="H418" s="661"/>
      <c r="I418" s="661"/>
      <c r="J418" s="661"/>
      <c r="K418" s="661"/>
    </row>
    <row r="419" spans="1:11">
      <c r="A419" s="658"/>
      <c r="B419" s="703"/>
      <c r="C419" s="704"/>
      <c r="D419" s="665"/>
      <c r="E419" s="665"/>
      <c r="F419" s="705"/>
      <c r="G419" s="706"/>
      <c r="H419" s="661"/>
      <c r="I419" s="661"/>
      <c r="J419" s="661"/>
      <c r="K419" s="661"/>
    </row>
    <row r="420" spans="1:11">
      <c r="A420" s="658"/>
      <c r="B420" s="694"/>
      <c r="C420" s="695"/>
      <c r="D420" s="660"/>
      <c r="E420" s="660"/>
      <c r="F420" s="696"/>
      <c r="G420" s="697"/>
      <c r="H420" s="661"/>
      <c r="I420" s="661"/>
      <c r="J420" s="661"/>
      <c r="K420" s="661"/>
    </row>
    <row r="421" spans="1:11">
      <c r="A421" s="658"/>
      <c r="B421" s="703"/>
      <c r="C421" s="704"/>
      <c r="D421" s="665"/>
      <c r="E421" s="665"/>
      <c r="F421" s="705"/>
      <c r="G421" s="706"/>
      <c r="H421" s="661"/>
      <c r="I421" s="661"/>
      <c r="J421" s="661"/>
      <c r="K421" s="661"/>
    </row>
    <row r="422" spans="1:11">
      <c r="A422" s="658"/>
      <c r="B422" s="694"/>
      <c r="C422" s="695"/>
      <c r="D422" s="660"/>
      <c r="E422" s="660"/>
      <c r="F422" s="696"/>
      <c r="G422" s="697"/>
      <c r="H422" s="661"/>
      <c r="I422" s="661"/>
      <c r="J422" s="661"/>
      <c r="K422" s="661"/>
    </row>
    <row r="423" spans="1:11">
      <c r="A423" s="658"/>
      <c r="B423" s="703"/>
      <c r="C423" s="704"/>
      <c r="D423" s="665"/>
      <c r="E423" s="665"/>
      <c r="F423" s="705"/>
      <c r="G423" s="706"/>
      <c r="H423" s="661"/>
      <c r="I423" s="661"/>
      <c r="J423" s="661"/>
      <c r="K423" s="661"/>
    </row>
    <row r="424" spans="1:11">
      <c r="A424" s="658"/>
      <c r="B424" s="703"/>
      <c r="C424" s="704"/>
      <c r="D424" s="665"/>
      <c r="E424" s="665"/>
      <c r="F424" s="705"/>
      <c r="G424" s="706"/>
      <c r="H424" s="661"/>
      <c r="I424" s="661"/>
      <c r="J424" s="661"/>
      <c r="K424" s="661"/>
    </row>
    <row r="425" spans="1:11">
      <c r="A425" s="658"/>
      <c r="B425" s="703"/>
      <c r="C425" s="704"/>
      <c r="D425" s="665"/>
      <c r="E425" s="665"/>
      <c r="F425" s="705"/>
      <c r="G425" s="706"/>
      <c r="H425" s="661"/>
      <c r="I425" s="661"/>
      <c r="J425" s="661"/>
      <c r="K425" s="661"/>
    </row>
    <row r="426" spans="1:11">
      <c r="A426" s="658"/>
      <c r="B426" s="703"/>
      <c r="C426" s="704"/>
      <c r="D426" s="665"/>
      <c r="E426" s="665"/>
      <c r="F426" s="705"/>
      <c r="G426" s="706"/>
      <c r="H426" s="661"/>
      <c r="I426" s="661"/>
      <c r="J426" s="661"/>
      <c r="K426" s="661"/>
    </row>
    <row r="427" spans="1:11">
      <c r="A427" s="658"/>
      <c r="B427" s="703"/>
      <c r="C427" s="704"/>
      <c r="D427" s="665"/>
      <c r="E427" s="665"/>
      <c r="F427" s="705"/>
      <c r="G427" s="706"/>
      <c r="H427" s="661"/>
      <c r="I427" s="661"/>
      <c r="J427" s="661"/>
      <c r="K427" s="661"/>
    </row>
    <row r="428" spans="1:11">
      <c r="A428" s="658"/>
      <c r="B428" s="703"/>
      <c r="C428" s="704"/>
      <c r="D428" s="665"/>
      <c r="E428" s="665"/>
      <c r="F428" s="705"/>
      <c r="G428" s="706"/>
      <c r="H428" s="661"/>
      <c r="I428" s="661"/>
      <c r="J428" s="661"/>
      <c r="K428" s="661"/>
    </row>
    <row r="429" spans="1:11">
      <c r="A429" s="658"/>
      <c r="B429" s="703"/>
      <c r="C429" s="704"/>
      <c r="D429" s="665"/>
      <c r="E429" s="665"/>
      <c r="F429" s="705"/>
      <c r="G429" s="706"/>
      <c r="H429" s="661"/>
      <c r="I429" s="661"/>
      <c r="J429" s="661"/>
      <c r="K429" s="661"/>
    </row>
    <row r="430" spans="1:11">
      <c r="A430" s="658"/>
      <c r="B430" s="703"/>
      <c r="C430" s="704"/>
      <c r="D430" s="665"/>
      <c r="E430" s="665"/>
      <c r="F430" s="705"/>
      <c r="G430" s="706"/>
      <c r="H430" s="661"/>
      <c r="I430" s="661"/>
      <c r="J430" s="661"/>
      <c r="K430" s="661"/>
    </row>
    <row r="431" spans="1:11">
      <c r="A431" s="658"/>
      <c r="B431" s="703"/>
      <c r="C431" s="704"/>
      <c r="D431" s="665"/>
      <c r="E431" s="665"/>
      <c r="F431" s="705"/>
      <c r="G431" s="706"/>
      <c r="H431" s="661"/>
      <c r="I431" s="661"/>
      <c r="J431" s="661"/>
      <c r="K431" s="661"/>
    </row>
    <row r="432" spans="1:11">
      <c r="A432" s="658"/>
      <c r="B432" s="703"/>
      <c r="C432" s="704"/>
      <c r="D432" s="665"/>
      <c r="E432" s="665"/>
      <c r="F432" s="705"/>
      <c r="G432" s="706"/>
      <c r="H432" s="661"/>
      <c r="I432" s="661"/>
      <c r="J432" s="661"/>
      <c r="K432" s="661"/>
    </row>
    <row r="433" spans="1:11">
      <c r="A433" s="658"/>
      <c r="B433" s="703"/>
      <c r="C433" s="704"/>
      <c r="D433" s="665"/>
      <c r="E433" s="665"/>
      <c r="F433" s="705"/>
      <c r="G433" s="706"/>
      <c r="H433" s="661"/>
      <c r="I433" s="661"/>
      <c r="J433" s="661"/>
      <c r="K433" s="661"/>
    </row>
    <row r="434" spans="1:11">
      <c r="A434" s="658"/>
      <c r="B434" s="703"/>
      <c r="C434" s="704"/>
      <c r="D434" s="665"/>
      <c r="E434" s="665"/>
      <c r="F434" s="705"/>
      <c r="G434" s="706"/>
      <c r="H434" s="661"/>
      <c r="I434" s="661"/>
      <c r="J434" s="661"/>
      <c r="K434" s="661"/>
    </row>
    <row r="435" spans="1:11">
      <c r="A435" s="658"/>
      <c r="B435" s="703"/>
      <c r="C435" s="704"/>
      <c r="D435" s="665"/>
      <c r="E435" s="665"/>
      <c r="F435" s="705"/>
      <c r="G435" s="706"/>
      <c r="H435" s="661"/>
      <c r="I435" s="661"/>
      <c r="J435" s="661"/>
      <c r="K435" s="661"/>
    </row>
    <row r="436" spans="1:11">
      <c r="A436" s="658"/>
      <c r="B436" s="703"/>
      <c r="C436" s="704"/>
      <c r="D436" s="665"/>
      <c r="E436" s="665"/>
      <c r="F436" s="705"/>
      <c r="G436" s="706"/>
      <c r="H436" s="661"/>
      <c r="I436" s="661"/>
      <c r="J436" s="661"/>
      <c r="K436" s="661"/>
    </row>
    <row r="437" spans="1:11">
      <c r="A437" s="658"/>
      <c r="B437" s="694"/>
      <c r="C437" s="695"/>
      <c r="D437" s="660"/>
      <c r="E437" s="660"/>
      <c r="F437" s="696"/>
      <c r="G437" s="697"/>
      <c r="H437" s="661"/>
      <c r="I437" s="661"/>
      <c r="J437" s="661"/>
      <c r="K437" s="661"/>
    </row>
    <row r="438" spans="1:11">
      <c r="A438" s="658"/>
      <c r="B438" s="703"/>
      <c r="C438" s="704"/>
      <c r="D438" s="665"/>
      <c r="E438" s="665"/>
      <c r="F438" s="705"/>
      <c r="G438" s="706"/>
      <c r="H438" s="661"/>
      <c r="I438" s="661"/>
      <c r="J438" s="661"/>
      <c r="K438" s="661"/>
    </row>
    <row r="439" spans="1:11">
      <c r="A439" s="658"/>
      <c r="B439" s="694"/>
      <c r="C439" s="695"/>
      <c r="D439" s="660"/>
      <c r="E439" s="660"/>
      <c r="F439" s="696"/>
      <c r="G439" s="697"/>
      <c r="H439" s="661"/>
      <c r="I439" s="661"/>
      <c r="J439" s="661"/>
      <c r="K439" s="661"/>
    </row>
    <row r="440" spans="1:11">
      <c r="A440" s="658"/>
      <c r="B440" s="703"/>
      <c r="C440" s="704"/>
      <c r="D440" s="665"/>
      <c r="E440" s="665"/>
      <c r="F440" s="705"/>
      <c r="G440" s="706"/>
      <c r="H440" s="661"/>
      <c r="I440" s="661"/>
      <c r="J440" s="661"/>
      <c r="K440" s="661"/>
    </row>
    <row r="441" spans="1:11">
      <c r="A441" s="658"/>
      <c r="B441" s="694"/>
      <c r="C441" s="695"/>
      <c r="D441" s="660"/>
      <c r="E441" s="660"/>
      <c r="F441" s="696"/>
      <c r="G441" s="697"/>
      <c r="H441" s="661"/>
      <c r="I441" s="661"/>
      <c r="J441" s="661"/>
      <c r="K441" s="661"/>
    </row>
    <row r="442" spans="1:11">
      <c r="A442" s="658"/>
      <c r="B442" s="703"/>
      <c r="C442" s="704"/>
      <c r="D442" s="665"/>
      <c r="E442" s="665"/>
      <c r="F442" s="705"/>
      <c r="G442" s="706"/>
      <c r="H442" s="661"/>
      <c r="I442" s="661"/>
      <c r="J442" s="661"/>
      <c r="K442" s="661"/>
    </row>
    <row r="443" spans="1:11">
      <c r="A443" s="658"/>
      <c r="B443" s="694"/>
      <c r="C443" s="695"/>
      <c r="D443" s="660"/>
      <c r="E443" s="660"/>
      <c r="F443" s="696"/>
      <c r="G443" s="697"/>
      <c r="H443" s="661"/>
      <c r="I443" s="661"/>
      <c r="J443" s="661"/>
      <c r="K443" s="661"/>
    </row>
    <row r="444" spans="1:11">
      <c r="A444" s="658"/>
      <c r="B444" s="703"/>
      <c r="C444" s="704"/>
      <c r="D444" s="665"/>
      <c r="E444" s="665"/>
      <c r="F444" s="705"/>
      <c r="G444" s="706"/>
      <c r="H444" s="661"/>
      <c r="I444" s="661"/>
      <c r="J444" s="661"/>
      <c r="K444" s="661"/>
    </row>
    <row r="445" spans="1:11">
      <c r="A445" s="658"/>
      <c r="B445" s="694"/>
      <c r="C445" s="695"/>
      <c r="D445" s="660"/>
      <c r="E445" s="660"/>
      <c r="F445" s="696"/>
      <c r="G445" s="697"/>
      <c r="H445" s="661"/>
      <c r="I445" s="661"/>
      <c r="J445" s="661"/>
      <c r="K445" s="661"/>
    </row>
    <row r="446" spans="1:11">
      <c r="A446" s="658"/>
      <c r="B446" s="703"/>
      <c r="C446" s="704"/>
      <c r="D446" s="665"/>
      <c r="E446" s="665"/>
      <c r="F446" s="705"/>
      <c r="G446" s="706"/>
      <c r="H446" s="661"/>
      <c r="I446" s="661"/>
      <c r="J446" s="661"/>
      <c r="K446" s="661"/>
    </row>
    <row r="447" spans="1:11">
      <c r="A447" s="658"/>
      <c r="B447" s="694"/>
      <c r="C447" s="695"/>
      <c r="D447" s="660"/>
      <c r="E447" s="660"/>
      <c r="F447" s="696"/>
      <c r="G447" s="697"/>
      <c r="H447" s="661"/>
      <c r="I447" s="661"/>
      <c r="J447" s="661"/>
      <c r="K447" s="661"/>
    </row>
    <row r="448" spans="1:11">
      <c r="A448" s="658"/>
      <c r="B448" s="694"/>
      <c r="C448" s="695"/>
      <c r="D448" s="660"/>
      <c r="E448" s="660"/>
      <c r="F448" s="696"/>
      <c r="G448" s="697"/>
      <c r="H448" s="661"/>
      <c r="I448" s="661"/>
      <c r="J448" s="661"/>
      <c r="K448" s="661"/>
    </row>
    <row r="449" spans="1:11">
      <c r="A449" s="658"/>
      <c r="B449" s="694"/>
      <c r="C449" s="695"/>
      <c r="D449" s="660"/>
      <c r="E449" s="660"/>
      <c r="F449" s="696"/>
      <c r="G449" s="697"/>
      <c r="H449" s="661"/>
      <c r="I449" s="661"/>
      <c r="J449" s="661"/>
      <c r="K449" s="661"/>
    </row>
    <row r="450" spans="1:11">
      <c r="A450" s="658"/>
      <c r="B450" s="694"/>
      <c r="C450" s="695"/>
      <c r="D450" s="660"/>
      <c r="E450" s="660"/>
      <c r="F450" s="696"/>
      <c r="G450" s="697"/>
      <c r="H450" s="661"/>
      <c r="I450" s="661"/>
      <c r="J450" s="661"/>
      <c r="K450" s="661"/>
    </row>
    <row r="451" spans="1:11">
      <c r="A451" s="658"/>
      <c r="B451" s="694"/>
      <c r="C451" s="695"/>
      <c r="D451" s="660"/>
      <c r="E451" s="660"/>
      <c r="F451" s="696"/>
      <c r="G451" s="697"/>
      <c r="H451" s="661"/>
      <c r="I451" s="661"/>
      <c r="J451" s="661"/>
      <c r="K451" s="661"/>
    </row>
    <row r="452" spans="1:11">
      <c r="A452" s="669"/>
      <c r="B452" s="709"/>
      <c r="C452" s="710"/>
      <c r="D452" s="670"/>
      <c r="E452" s="670"/>
      <c r="F452" s="711"/>
      <c r="G452" s="712"/>
      <c r="H452" s="671"/>
      <c r="I452" s="671"/>
      <c r="J452" s="671"/>
      <c r="K452" s="671"/>
    </row>
    <row r="453" spans="1:11">
      <c r="A453" s="672" t="s">
        <v>154</v>
      </c>
      <c r="B453" s="713"/>
      <c r="C453" s="714"/>
      <c r="D453" s="715"/>
      <c r="E453" s="715"/>
      <c r="F453" s="716" t="s">
        <v>261</v>
      </c>
      <c r="G453" s="717"/>
      <c r="H453" s="718" t="s">
        <v>234</v>
      </c>
      <c r="I453" s="675">
        <f>SUM(I399:I452)</f>
        <v>0</v>
      </c>
      <c r="J453" s="718"/>
      <c r="K453" s="675">
        <f>SUM(K399:K452)</f>
        <v>0</v>
      </c>
    </row>
    <row r="454" spans="1:11">
      <c r="A454" s="652" t="s">
        <v>143</v>
      </c>
      <c r="B454" s="686" t="s">
        <v>212</v>
      </c>
      <c r="C454" s="920" t="s">
        <v>213</v>
      </c>
      <c r="D454" s="921"/>
      <c r="E454" s="921"/>
      <c r="F454" s="922"/>
      <c r="G454" s="687" t="s">
        <v>214</v>
      </c>
      <c r="H454" s="654" t="s">
        <v>215</v>
      </c>
      <c r="I454" s="654" t="s">
        <v>164</v>
      </c>
      <c r="J454" s="722" t="s">
        <v>309</v>
      </c>
      <c r="K454" s="722" t="s">
        <v>311</v>
      </c>
    </row>
    <row r="455" spans="1:11">
      <c r="A455" s="332"/>
      <c r="B455" s="689"/>
      <c r="C455" s="690" t="s">
        <v>199</v>
      </c>
      <c r="D455" s="691" t="s">
        <v>195</v>
      </c>
      <c r="E455" s="691" t="s">
        <v>200</v>
      </c>
      <c r="F455" s="692" t="s">
        <v>201</v>
      </c>
      <c r="G455" s="693"/>
      <c r="H455" s="656" t="s">
        <v>262</v>
      </c>
      <c r="I455" s="656" t="s">
        <v>262</v>
      </c>
      <c r="J455" s="723" t="s">
        <v>310</v>
      </c>
      <c r="K455" s="723" t="s">
        <v>310</v>
      </c>
    </row>
    <row r="456" spans="1:11">
      <c r="A456" s="658"/>
      <c r="B456" s="694"/>
      <c r="C456" s="695"/>
      <c r="D456" s="660"/>
      <c r="E456" s="660"/>
      <c r="F456" s="696"/>
      <c r="G456" s="697"/>
      <c r="H456" s="661"/>
      <c r="I456" s="661"/>
      <c r="J456" s="661"/>
      <c r="K456" s="661"/>
    </row>
    <row r="457" spans="1:11">
      <c r="A457" s="658"/>
      <c r="B457" s="694"/>
      <c r="C457" s="695"/>
      <c r="D457" s="660"/>
      <c r="E457" s="660"/>
      <c r="F457" s="696"/>
      <c r="G457" s="697"/>
      <c r="H457" s="661"/>
      <c r="I457" s="661"/>
      <c r="J457" s="661"/>
      <c r="K457" s="661"/>
    </row>
    <row r="458" spans="1:11">
      <c r="A458" s="658"/>
      <c r="B458" s="699"/>
      <c r="C458" s="700"/>
      <c r="D458" s="701"/>
      <c r="E458" s="701"/>
      <c r="F458" s="702"/>
      <c r="G458" s="697"/>
      <c r="H458" s="661"/>
      <c r="I458" s="661"/>
      <c r="J458" s="661"/>
      <c r="K458" s="661"/>
    </row>
    <row r="459" spans="1:11">
      <c r="A459" s="658"/>
      <c r="B459" s="694"/>
      <c r="C459" s="695"/>
      <c r="D459" s="660"/>
      <c r="E459" s="660"/>
      <c r="F459" s="696"/>
      <c r="G459" s="697"/>
      <c r="H459" s="661"/>
      <c r="I459" s="661"/>
      <c r="J459" s="661"/>
      <c r="K459" s="661"/>
    </row>
    <row r="460" spans="1:11">
      <c r="A460" s="658"/>
      <c r="B460" s="703"/>
      <c r="C460" s="704"/>
      <c r="D460" s="665"/>
      <c r="E460" s="665"/>
      <c r="F460" s="705"/>
      <c r="G460" s="706"/>
      <c r="H460" s="661"/>
      <c r="I460" s="661"/>
      <c r="J460" s="661"/>
      <c r="K460" s="661"/>
    </row>
    <row r="461" spans="1:11">
      <c r="A461" s="658"/>
      <c r="B461" s="694"/>
      <c r="C461" s="695"/>
      <c r="D461" s="660"/>
      <c r="E461" s="660"/>
      <c r="F461" s="696"/>
      <c r="G461" s="697"/>
      <c r="H461" s="661"/>
      <c r="I461" s="661"/>
      <c r="J461" s="661"/>
      <c r="K461" s="661"/>
    </row>
    <row r="462" spans="1:11">
      <c r="A462" s="658"/>
      <c r="B462" s="703"/>
      <c r="C462" s="704"/>
      <c r="D462" s="665"/>
      <c r="E462" s="665"/>
      <c r="F462" s="705"/>
      <c r="G462" s="706"/>
      <c r="H462" s="661"/>
      <c r="I462" s="661"/>
      <c r="J462" s="661"/>
      <c r="K462" s="661"/>
    </row>
    <row r="463" spans="1:11">
      <c r="A463" s="658"/>
      <c r="B463" s="694"/>
      <c r="C463" s="695"/>
      <c r="D463" s="660"/>
      <c r="E463" s="660"/>
      <c r="F463" s="696"/>
      <c r="G463" s="697"/>
      <c r="H463" s="661"/>
      <c r="I463" s="661"/>
      <c r="J463" s="661"/>
      <c r="K463" s="661"/>
    </row>
    <row r="464" spans="1:11">
      <c r="A464" s="658"/>
      <c r="B464" s="703"/>
      <c r="C464" s="704"/>
      <c r="D464" s="665"/>
      <c r="E464" s="665"/>
      <c r="F464" s="705"/>
      <c r="G464" s="706"/>
      <c r="H464" s="661"/>
      <c r="I464" s="661"/>
      <c r="J464" s="661"/>
      <c r="K464" s="661"/>
    </row>
    <row r="465" spans="1:11">
      <c r="A465" s="658"/>
      <c r="B465" s="694"/>
      <c r="C465" s="695"/>
      <c r="D465" s="660"/>
      <c r="E465" s="660"/>
      <c r="F465" s="696"/>
      <c r="G465" s="697"/>
      <c r="H465" s="661"/>
      <c r="I465" s="661"/>
      <c r="J465" s="661"/>
      <c r="K465" s="661"/>
    </row>
    <row r="466" spans="1:11">
      <c r="A466" s="658"/>
      <c r="B466" s="703"/>
      <c r="C466" s="704"/>
      <c r="D466" s="665"/>
      <c r="E466" s="665"/>
      <c r="F466" s="705"/>
      <c r="G466" s="706"/>
      <c r="H466" s="661"/>
      <c r="I466" s="661"/>
      <c r="J466" s="661"/>
      <c r="K466" s="661"/>
    </row>
    <row r="467" spans="1:11">
      <c r="A467" s="658"/>
      <c r="B467" s="694"/>
      <c r="C467" s="695"/>
      <c r="D467" s="660"/>
      <c r="E467" s="660"/>
      <c r="F467" s="696"/>
      <c r="G467" s="697"/>
      <c r="H467" s="661"/>
      <c r="I467" s="661"/>
      <c r="J467" s="661"/>
      <c r="K467" s="661"/>
    </row>
    <row r="468" spans="1:11">
      <c r="A468" s="658"/>
      <c r="B468" s="703"/>
      <c r="C468" s="704"/>
      <c r="D468" s="665"/>
      <c r="E468" s="665"/>
      <c r="F468" s="705"/>
      <c r="G468" s="706"/>
      <c r="H468" s="661"/>
      <c r="I468" s="661"/>
      <c r="J468" s="661"/>
      <c r="K468" s="661"/>
    </row>
    <row r="469" spans="1:11">
      <c r="A469" s="658"/>
      <c r="B469" s="694"/>
      <c r="C469" s="695"/>
      <c r="D469" s="660"/>
      <c r="E469" s="660"/>
      <c r="F469" s="696"/>
      <c r="G469" s="697"/>
      <c r="H469" s="661"/>
      <c r="I469" s="661"/>
      <c r="J469" s="661"/>
      <c r="K469" s="661"/>
    </row>
    <row r="470" spans="1:11">
      <c r="A470" s="658"/>
      <c r="B470" s="703"/>
      <c r="C470" s="704"/>
      <c r="D470" s="665"/>
      <c r="E470" s="665"/>
      <c r="F470" s="705"/>
      <c r="G470" s="706"/>
      <c r="H470" s="661"/>
      <c r="I470" s="661"/>
      <c r="J470" s="661"/>
      <c r="K470" s="661"/>
    </row>
    <row r="471" spans="1:11">
      <c r="A471" s="658"/>
      <c r="B471" s="694"/>
      <c r="C471" s="695"/>
      <c r="D471" s="660"/>
      <c r="E471" s="660"/>
      <c r="F471" s="696"/>
      <c r="G471" s="697"/>
      <c r="H471" s="661"/>
      <c r="I471" s="661"/>
      <c r="J471" s="661"/>
      <c r="K471" s="661"/>
    </row>
    <row r="472" spans="1:11">
      <c r="A472" s="658"/>
      <c r="B472" s="703"/>
      <c r="C472" s="704"/>
      <c r="D472" s="665"/>
      <c r="E472" s="665"/>
      <c r="F472" s="705"/>
      <c r="G472" s="706"/>
      <c r="H472" s="661"/>
      <c r="I472" s="661"/>
      <c r="J472" s="661"/>
      <c r="K472" s="661"/>
    </row>
    <row r="473" spans="1:11">
      <c r="A473" s="658"/>
      <c r="B473" s="694"/>
      <c r="C473" s="695"/>
      <c r="D473" s="660"/>
      <c r="E473" s="660"/>
      <c r="F473" s="696"/>
      <c r="G473" s="697"/>
      <c r="H473" s="661"/>
      <c r="I473" s="661"/>
      <c r="J473" s="661"/>
      <c r="K473" s="661"/>
    </row>
    <row r="474" spans="1:11">
      <c r="A474" s="658"/>
      <c r="B474" s="703"/>
      <c r="C474" s="704"/>
      <c r="D474" s="665"/>
      <c r="E474" s="665"/>
      <c r="F474" s="705"/>
      <c r="G474" s="706"/>
      <c r="H474" s="661"/>
      <c r="I474" s="661"/>
      <c r="J474" s="661"/>
      <c r="K474" s="661"/>
    </row>
    <row r="475" spans="1:11">
      <c r="A475" s="658"/>
      <c r="B475" s="694"/>
      <c r="C475" s="695"/>
      <c r="D475" s="660"/>
      <c r="E475" s="660"/>
      <c r="F475" s="696"/>
      <c r="G475" s="697"/>
      <c r="H475" s="661"/>
      <c r="I475" s="661"/>
      <c r="J475" s="661"/>
      <c r="K475" s="661"/>
    </row>
    <row r="476" spans="1:11">
      <c r="A476" s="658"/>
      <c r="B476" s="703"/>
      <c r="C476" s="704"/>
      <c r="D476" s="665"/>
      <c r="E476" s="665"/>
      <c r="F476" s="705"/>
      <c r="G476" s="706"/>
      <c r="H476" s="661"/>
      <c r="I476" s="661"/>
      <c r="J476" s="661"/>
      <c r="K476" s="661"/>
    </row>
    <row r="477" spans="1:11">
      <c r="A477" s="658"/>
      <c r="B477" s="694"/>
      <c r="C477" s="695"/>
      <c r="D477" s="660"/>
      <c r="E477" s="660"/>
      <c r="F477" s="696"/>
      <c r="G477" s="697"/>
      <c r="H477" s="661"/>
      <c r="I477" s="661"/>
      <c r="J477" s="661"/>
      <c r="K477" s="661"/>
    </row>
    <row r="478" spans="1:11">
      <c r="A478" s="658"/>
      <c r="B478" s="703"/>
      <c r="C478" s="704"/>
      <c r="D478" s="665"/>
      <c r="E478" s="665"/>
      <c r="F478" s="705"/>
      <c r="G478" s="706"/>
      <c r="H478" s="661"/>
      <c r="I478" s="661"/>
      <c r="J478" s="661"/>
      <c r="K478" s="661"/>
    </row>
    <row r="479" spans="1:11">
      <c r="A479" s="658"/>
      <c r="B479" s="694"/>
      <c r="C479" s="695"/>
      <c r="D479" s="660"/>
      <c r="E479" s="660"/>
      <c r="F479" s="696"/>
      <c r="G479" s="697"/>
      <c r="H479" s="661"/>
      <c r="I479" s="661"/>
      <c r="J479" s="661"/>
      <c r="K479" s="661"/>
    </row>
    <row r="480" spans="1:11">
      <c r="A480" s="658"/>
      <c r="B480" s="703"/>
      <c r="C480" s="704"/>
      <c r="D480" s="665"/>
      <c r="E480" s="665"/>
      <c r="F480" s="705"/>
      <c r="G480" s="706"/>
      <c r="H480" s="661"/>
      <c r="I480" s="661"/>
      <c r="J480" s="661"/>
      <c r="K480" s="661"/>
    </row>
    <row r="481" spans="1:11">
      <c r="A481" s="658"/>
      <c r="B481" s="694"/>
      <c r="C481" s="695"/>
      <c r="D481" s="660"/>
      <c r="E481" s="660"/>
      <c r="F481" s="696"/>
      <c r="G481" s="697"/>
      <c r="H481" s="661"/>
      <c r="I481" s="661"/>
      <c r="J481" s="661"/>
      <c r="K481" s="661"/>
    </row>
    <row r="482" spans="1:11">
      <c r="A482" s="658"/>
      <c r="B482" s="694"/>
      <c r="C482" s="695"/>
      <c r="D482" s="660"/>
      <c r="E482" s="660"/>
      <c r="F482" s="696"/>
      <c r="G482" s="697"/>
      <c r="H482" s="661"/>
      <c r="I482" s="661"/>
      <c r="J482" s="661"/>
      <c r="K482" s="661"/>
    </row>
    <row r="483" spans="1:11">
      <c r="A483" s="658"/>
      <c r="B483" s="694"/>
      <c r="C483" s="695"/>
      <c r="D483" s="660"/>
      <c r="E483" s="660"/>
      <c r="F483" s="696"/>
      <c r="G483" s="697"/>
      <c r="H483" s="661"/>
      <c r="I483" s="661"/>
      <c r="J483" s="661"/>
      <c r="K483" s="661"/>
    </row>
    <row r="484" spans="1:11">
      <c r="A484" s="658"/>
      <c r="B484" s="694"/>
      <c r="C484" s="695"/>
      <c r="D484" s="660"/>
      <c r="E484" s="660"/>
      <c r="F484" s="696"/>
      <c r="G484" s="697"/>
      <c r="H484" s="661"/>
      <c r="I484" s="661"/>
      <c r="J484" s="661"/>
      <c r="K484" s="661"/>
    </row>
    <row r="485" spans="1:11">
      <c r="A485" s="658"/>
      <c r="B485" s="694"/>
      <c r="C485" s="695"/>
      <c r="D485" s="660"/>
      <c r="E485" s="660"/>
      <c r="F485" s="696"/>
      <c r="G485" s="697"/>
      <c r="H485" s="661"/>
      <c r="I485" s="661"/>
      <c r="J485" s="661"/>
      <c r="K485" s="661"/>
    </row>
    <row r="486" spans="1:11">
      <c r="A486" s="658"/>
      <c r="B486" s="694"/>
      <c r="C486" s="695"/>
      <c r="D486" s="660"/>
      <c r="E486" s="660"/>
      <c r="F486" s="696"/>
      <c r="G486" s="697"/>
      <c r="H486" s="661"/>
      <c r="I486" s="661"/>
      <c r="J486" s="661"/>
      <c r="K486" s="661"/>
    </row>
    <row r="487" spans="1:11">
      <c r="A487" s="658"/>
      <c r="B487" s="694"/>
      <c r="C487" s="695"/>
      <c r="D487" s="660"/>
      <c r="E487" s="660"/>
      <c r="F487" s="696"/>
      <c r="G487" s="697"/>
      <c r="H487" s="661"/>
      <c r="I487" s="661"/>
      <c r="J487" s="661"/>
      <c r="K487" s="661"/>
    </row>
    <row r="488" spans="1:11">
      <c r="A488" s="658"/>
      <c r="B488" s="694"/>
      <c r="C488" s="695"/>
      <c r="D488" s="660"/>
      <c r="E488" s="660"/>
      <c r="F488" s="696"/>
      <c r="G488" s="697"/>
      <c r="H488" s="661"/>
      <c r="I488" s="661"/>
      <c r="J488" s="661"/>
      <c r="K488" s="661"/>
    </row>
    <row r="489" spans="1:11">
      <c r="A489" s="658"/>
      <c r="B489" s="694"/>
      <c r="C489" s="695"/>
      <c r="D489" s="660"/>
      <c r="E489" s="660"/>
      <c r="F489" s="696"/>
      <c r="G489" s="697"/>
      <c r="H489" s="661"/>
      <c r="I489" s="661"/>
      <c r="J489" s="661"/>
      <c r="K489" s="661"/>
    </row>
    <row r="490" spans="1:11">
      <c r="A490" s="658"/>
      <c r="B490" s="694"/>
      <c r="C490" s="695"/>
      <c r="D490" s="660"/>
      <c r="E490" s="660"/>
      <c r="F490" s="696"/>
      <c r="G490" s="697"/>
      <c r="H490" s="661"/>
      <c r="I490" s="661"/>
      <c r="J490" s="661"/>
      <c r="K490" s="661"/>
    </row>
    <row r="491" spans="1:11">
      <c r="A491" s="658"/>
      <c r="B491" s="694"/>
      <c r="C491" s="695"/>
      <c r="D491" s="660"/>
      <c r="E491" s="660"/>
      <c r="F491" s="696"/>
      <c r="G491" s="697"/>
      <c r="H491" s="661"/>
      <c r="I491" s="661"/>
      <c r="J491" s="661"/>
      <c r="K491" s="661"/>
    </row>
    <row r="492" spans="1:11">
      <c r="A492" s="658"/>
      <c r="B492" s="694"/>
      <c r="C492" s="695"/>
      <c r="D492" s="660"/>
      <c r="E492" s="660"/>
      <c r="F492" s="696"/>
      <c r="G492" s="697"/>
      <c r="H492" s="661"/>
      <c r="I492" s="661"/>
      <c r="J492" s="661"/>
      <c r="K492" s="661"/>
    </row>
    <row r="493" spans="1:11">
      <c r="A493" s="658"/>
      <c r="B493" s="694"/>
      <c r="C493" s="695"/>
      <c r="D493" s="660"/>
      <c r="E493" s="660"/>
      <c r="F493" s="696"/>
      <c r="G493" s="697"/>
      <c r="H493" s="661"/>
      <c r="I493" s="661"/>
      <c r="J493" s="661"/>
      <c r="K493" s="661"/>
    </row>
    <row r="494" spans="1:11">
      <c r="A494" s="658"/>
      <c r="B494" s="694"/>
      <c r="C494" s="695"/>
      <c r="D494" s="660"/>
      <c r="E494" s="660"/>
      <c r="F494" s="696"/>
      <c r="G494" s="697"/>
      <c r="H494" s="661"/>
      <c r="I494" s="661"/>
      <c r="J494" s="661"/>
      <c r="K494" s="661"/>
    </row>
    <row r="495" spans="1:11">
      <c r="A495" s="658"/>
      <c r="B495" s="703"/>
      <c r="C495" s="704"/>
      <c r="D495" s="665"/>
      <c r="E495" s="665"/>
      <c r="F495" s="705"/>
      <c r="G495" s="706"/>
      <c r="H495" s="661"/>
      <c r="I495" s="661"/>
      <c r="J495" s="661"/>
      <c r="K495" s="661"/>
    </row>
    <row r="496" spans="1:11">
      <c r="A496" s="658"/>
      <c r="B496" s="694"/>
      <c r="C496" s="695"/>
      <c r="D496" s="660"/>
      <c r="E496" s="660"/>
      <c r="F496" s="696"/>
      <c r="G496" s="697"/>
      <c r="H496" s="661"/>
      <c r="I496" s="661"/>
      <c r="J496" s="661"/>
      <c r="K496" s="661"/>
    </row>
    <row r="497" spans="1:11">
      <c r="A497" s="658"/>
      <c r="B497" s="703"/>
      <c r="C497" s="704"/>
      <c r="D497" s="665"/>
      <c r="E497" s="665"/>
      <c r="F497" s="705"/>
      <c r="G497" s="706"/>
      <c r="H497" s="661"/>
      <c r="I497" s="661"/>
      <c r="J497" s="661"/>
      <c r="K497" s="661"/>
    </row>
    <row r="498" spans="1:11">
      <c r="A498" s="658"/>
      <c r="B498" s="694"/>
      <c r="C498" s="695"/>
      <c r="D498" s="660"/>
      <c r="E498" s="660"/>
      <c r="F498" s="696"/>
      <c r="G498" s="697"/>
      <c r="H498" s="661"/>
      <c r="I498" s="661"/>
      <c r="J498" s="661"/>
      <c r="K498" s="661"/>
    </row>
    <row r="499" spans="1:11">
      <c r="A499" s="658"/>
      <c r="B499" s="703"/>
      <c r="C499" s="704"/>
      <c r="D499" s="665"/>
      <c r="E499" s="665"/>
      <c r="F499" s="705"/>
      <c r="G499" s="706"/>
      <c r="H499" s="661"/>
      <c r="I499" s="661"/>
      <c r="J499" s="661"/>
      <c r="K499" s="661"/>
    </row>
    <row r="500" spans="1:11">
      <c r="A500" s="658"/>
      <c r="B500" s="694"/>
      <c r="C500" s="695"/>
      <c r="D500" s="660"/>
      <c r="E500" s="660"/>
      <c r="F500" s="696"/>
      <c r="G500" s="697"/>
      <c r="H500" s="661"/>
      <c r="I500" s="661"/>
      <c r="J500" s="661"/>
      <c r="K500" s="661"/>
    </row>
    <row r="501" spans="1:11">
      <c r="A501" s="658"/>
      <c r="B501" s="703"/>
      <c r="C501" s="704"/>
      <c r="D501" s="665"/>
      <c r="E501" s="665"/>
      <c r="F501" s="705"/>
      <c r="G501" s="706"/>
      <c r="H501" s="661"/>
      <c r="I501" s="661"/>
      <c r="J501" s="661"/>
      <c r="K501" s="661"/>
    </row>
    <row r="502" spans="1:11">
      <c r="A502" s="658"/>
      <c r="B502" s="694"/>
      <c r="C502" s="695"/>
      <c r="D502" s="660"/>
      <c r="E502" s="660"/>
      <c r="F502" s="696"/>
      <c r="G502" s="697"/>
      <c r="H502" s="661"/>
      <c r="I502" s="661"/>
      <c r="J502" s="661"/>
      <c r="K502" s="661"/>
    </row>
    <row r="503" spans="1:11">
      <c r="A503" s="658"/>
      <c r="B503" s="703"/>
      <c r="C503" s="704"/>
      <c r="D503" s="665"/>
      <c r="E503" s="665"/>
      <c r="F503" s="705"/>
      <c r="G503" s="706"/>
      <c r="H503" s="661"/>
      <c r="I503" s="661"/>
      <c r="J503" s="661"/>
      <c r="K503" s="661"/>
    </row>
    <row r="504" spans="1:11">
      <c r="A504" s="658"/>
      <c r="B504" s="694"/>
      <c r="C504" s="695"/>
      <c r="D504" s="660"/>
      <c r="E504" s="660"/>
      <c r="F504" s="696"/>
      <c r="G504" s="697"/>
      <c r="H504" s="661"/>
      <c r="I504" s="661"/>
      <c r="J504" s="661"/>
      <c r="K504" s="661"/>
    </row>
    <row r="505" spans="1:11">
      <c r="A505" s="658"/>
      <c r="B505" s="694"/>
      <c r="C505" s="695"/>
      <c r="D505" s="660"/>
      <c r="E505" s="660"/>
      <c r="F505" s="696"/>
      <c r="G505" s="697"/>
      <c r="H505" s="661"/>
      <c r="I505" s="661"/>
      <c r="J505" s="661"/>
      <c r="K505" s="661"/>
    </row>
    <row r="506" spans="1:11">
      <c r="A506" s="658"/>
      <c r="B506" s="694"/>
      <c r="C506" s="695"/>
      <c r="D506" s="660"/>
      <c r="E506" s="660"/>
      <c r="F506" s="696"/>
      <c r="G506" s="697"/>
      <c r="H506" s="661"/>
      <c r="I506" s="661"/>
      <c r="J506" s="661"/>
      <c r="K506" s="661"/>
    </row>
    <row r="507" spans="1:11">
      <c r="A507" s="658"/>
      <c r="B507" s="694"/>
      <c r="C507" s="695"/>
      <c r="D507" s="660"/>
      <c r="E507" s="660"/>
      <c r="F507" s="696"/>
      <c r="G507" s="697"/>
      <c r="H507" s="661"/>
      <c r="I507" s="661"/>
      <c r="J507" s="661"/>
      <c r="K507" s="661"/>
    </row>
    <row r="508" spans="1:11">
      <c r="A508" s="658"/>
      <c r="B508" s="694"/>
      <c r="C508" s="695"/>
      <c r="D508" s="660"/>
      <c r="E508" s="660"/>
      <c r="F508" s="696"/>
      <c r="G508" s="697"/>
      <c r="H508" s="661"/>
      <c r="I508" s="661"/>
      <c r="J508" s="661"/>
      <c r="K508" s="661"/>
    </row>
    <row r="509" spans="1:11">
      <c r="A509" s="669"/>
      <c r="B509" s="709"/>
      <c r="C509" s="710"/>
      <c r="D509" s="670"/>
      <c r="E509" s="670"/>
      <c r="F509" s="711"/>
      <c r="G509" s="712"/>
      <c r="H509" s="671"/>
      <c r="I509" s="671"/>
      <c r="J509" s="671"/>
      <c r="K509" s="671"/>
    </row>
    <row r="510" spans="1:11">
      <c r="A510" s="672" t="s">
        <v>154</v>
      </c>
      <c r="B510" s="713"/>
      <c r="C510" s="714"/>
      <c r="D510" s="715"/>
      <c r="E510" s="715"/>
      <c r="F510" s="716" t="s">
        <v>261</v>
      </c>
      <c r="G510" s="717"/>
      <c r="H510" s="718" t="s">
        <v>234</v>
      </c>
      <c r="I510" s="675">
        <f>SUM(I456:I509)</f>
        <v>0</v>
      </c>
      <c r="J510" s="718"/>
      <c r="K510" s="675">
        <f>SUM(K456:K509)</f>
        <v>0</v>
      </c>
    </row>
    <row r="511" spans="1:11">
      <c r="A511" s="652" t="s">
        <v>143</v>
      </c>
      <c r="B511" s="686" t="s">
        <v>212</v>
      </c>
      <c r="C511" s="920" t="s">
        <v>213</v>
      </c>
      <c r="D511" s="921"/>
      <c r="E511" s="921"/>
      <c r="F511" s="922"/>
      <c r="G511" s="687" t="s">
        <v>214</v>
      </c>
      <c r="H511" s="654" t="s">
        <v>215</v>
      </c>
      <c r="I511" s="654" t="s">
        <v>164</v>
      </c>
      <c r="J511" s="722" t="s">
        <v>309</v>
      </c>
      <c r="K511" s="722" t="s">
        <v>311</v>
      </c>
    </row>
    <row r="512" spans="1:11">
      <c r="A512" s="332"/>
      <c r="B512" s="689"/>
      <c r="C512" s="690" t="s">
        <v>199</v>
      </c>
      <c r="D512" s="691" t="s">
        <v>195</v>
      </c>
      <c r="E512" s="691" t="s">
        <v>200</v>
      </c>
      <c r="F512" s="692" t="s">
        <v>201</v>
      </c>
      <c r="G512" s="693"/>
      <c r="H512" s="656" t="s">
        <v>262</v>
      </c>
      <c r="I512" s="656" t="s">
        <v>262</v>
      </c>
      <c r="J512" s="723" t="s">
        <v>310</v>
      </c>
      <c r="K512" s="723" t="s">
        <v>310</v>
      </c>
    </row>
    <row r="513" spans="1:11">
      <c r="A513" s="658"/>
      <c r="B513" s="694"/>
      <c r="C513" s="695"/>
      <c r="D513" s="660"/>
      <c r="E513" s="660"/>
      <c r="F513" s="696"/>
      <c r="G513" s="697"/>
      <c r="H513" s="661"/>
      <c r="I513" s="661"/>
      <c r="J513" s="661"/>
      <c r="K513" s="661"/>
    </row>
    <row r="514" spans="1:11">
      <c r="A514" s="658"/>
      <c r="B514" s="694"/>
      <c r="C514" s="695"/>
      <c r="D514" s="660"/>
      <c r="E514" s="660"/>
      <c r="F514" s="696"/>
      <c r="G514" s="697"/>
      <c r="H514" s="661"/>
      <c r="I514" s="661"/>
      <c r="J514" s="661"/>
      <c r="K514" s="661"/>
    </row>
    <row r="515" spans="1:11">
      <c r="A515" s="658"/>
      <c r="B515" s="699"/>
      <c r="C515" s="700"/>
      <c r="D515" s="701"/>
      <c r="E515" s="701"/>
      <c r="F515" s="702"/>
      <c r="G515" s="697"/>
      <c r="H515" s="661"/>
      <c r="I515" s="661"/>
      <c r="J515" s="661"/>
      <c r="K515" s="661"/>
    </row>
    <row r="516" spans="1:11">
      <c r="A516" s="658"/>
      <c r="B516" s="694"/>
      <c r="C516" s="695"/>
      <c r="D516" s="660"/>
      <c r="E516" s="660"/>
      <c r="F516" s="696"/>
      <c r="G516" s="697"/>
      <c r="H516" s="661"/>
      <c r="I516" s="661"/>
      <c r="J516" s="661"/>
      <c r="K516" s="661"/>
    </row>
    <row r="517" spans="1:11">
      <c r="A517" s="658"/>
      <c r="B517" s="703"/>
      <c r="C517" s="704"/>
      <c r="D517" s="665"/>
      <c r="E517" s="665"/>
      <c r="F517" s="705"/>
      <c r="G517" s="706"/>
      <c r="H517" s="661"/>
      <c r="I517" s="661"/>
      <c r="J517" s="661"/>
      <c r="K517" s="661"/>
    </row>
    <row r="518" spans="1:11">
      <c r="A518" s="658"/>
      <c r="B518" s="694"/>
      <c r="C518" s="695"/>
      <c r="D518" s="660"/>
      <c r="E518" s="660"/>
      <c r="F518" s="696"/>
      <c r="G518" s="697"/>
      <c r="H518" s="661"/>
      <c r="I518" s="661"/>
      <c r="J518" s="661"/>
      <c r="K518" s="661"/>
    </row>
    <row r="519" spans="1:11">
      <c r="A519" s="658"/>
      <c r="B519" s="703"/>
      <c r="C519" s="704"/>
      <c r="D519" s="665"/>
      <c r="E519" s="665"/>
      <c r="F519" s="705"/>
      <c r="G519" s="706"/>
      <c r="H519" s="661"/>
      <c r="I519" s="661"/>
      <c r="J519" s="661"/>
      <c r="K519" s="661"/>
    </row>
    <row r="520" spans="1:11">
      <c r="A520" s="658"/>
      <c r="B520" s="694"/>
      <c r="C520" s="695"/>
      <c r="D520" s="660"/>
      <c r="E520" s="660"/>
      <c r="F520" s="696"/>
      <c r="G520" s="697"/>
      <c r="H520" s="661"/>
      <c r="I520" s="661"/>
      <c r="J520" s="661"/>
      <c r="K520" s="661"/>
    </row>
    <row r="521" spans="1:11">
      <c r="A521" s="658"/>
      <c r="B521" s="703"/>
      <c r="C521" s="704"/>
      <c r="D521" s="665"/>
      <c r="E521" s="665"/>
      <c r="F521" s="705"/>
      <c r="G521" s="706"/>
      <c r="H521" s="661"/>
      <c r="I521" s="661"/>
      <c r="J521" s="661"/>
      <c r="K521" s="661"/>
    </row>
    <row r="522" spans="1:11">
      <c r="A522" s="658"/>
      <c r="B522" s="694"/>
      <c r="C522" s="695"/>
      <c r="D522" s="660"/>
      <c r="E522" s="660"/>
      <c r="F522" s="696"/>
      <c r="G522" s="697"/>
      <c r="H522" s="661"/>
      <c r="I522" s="661"/>
      <c r="J522" s="661"/>
      <c r="K522" s="661"/>
    </row>
    <row r="523" spans="1:11">
      <c r="A523" s="658"/>
      <c r="B523" s="703"/>
      <c r="C523" s="704"/>
      <c r="D523" s="665"/>
      <c r="E523" s="665"/>
      <c r="F523" s="705"/>
      <c r="G523" s="706"/>
      <c r="H523" s="661"/>
      <c r="I523" s="661"/>
      <c r="J523" s="661"/>
      <c r="K523" s="661"/>
    </row>
    <row r="524" spans="1:11">
      <c r="A524" s="658"/>
      <c r="B524" s="694"/>
      <c r="C524" s="695"/>
      <c r="D524" s="660"/>
      <c r="E524" s="660"/>
      <c r="F524" s="696"/>
      <c r="G524" s="697"/>
      <c r="H524" s="661"/>
      <c r="I524" s="661"/>
      <c r="J524" s="661"/>
      <c r="K524" s="661"/>
    </row>
    <row r="525" spans="1:11">
      <c r="A525" s="658"/>
      <c r="B525" s="703"/>
      <c r="C525" s="704"/>
      <c r="D525" s="665"/>
      <c r="E525" s="665"/>
      <c r="F525" s="705"/>
      <c r="G525" s="706"/>
      <c r="H525" s="661"/>
      <c r="I525" s="661"/>
      <c r="J525" s="661"/>
      <c r="K525" s="661"/>
    </row>
    <row r="526" spans="1:11">
      <c r="A526" s="658"/>
      <c r="B526" s="694"/>
      <c r="C526" s="695"/>
      <c r="D526" s="660"/>
      <c r="E526" s="660"/>
      <c r="F526" s="696"/>
      <c r="G526" s="697"/>
      <c r="H526" s="661"/>
      <c r="I526" s="661"/>
      <c r="J526" s="661"/>
      <c r="K526" s="661"/>
    </row>
    <row r="527" spans="1:11">
      <c r="A527" s="658"/>
      <c r="B527" s="703"/>
      <c r="C527" s="704"/>
      <c r="D527" s="665"/>
      <c r="E527" s="665"/>
      <c r="F527" s="705"/>
      <c r="G527" s="706"/>
      <c r="H527" s="661"/>
      <c r="I527" s="661"/>
      <c r="J527" s="661"/>
      <c r="K527" s="661"/>
    </row>
    <row r="528" spans="1:11">
      <c r="A528" s="658"/>
      <c r="B528" s="694"/>
      <c r="C528" s="695"/>
      <c r="D528" s="660"/>
      <c r="E528" s="660"/>
      <c r="F528" s="696"/>
      <c r="G528" s="697"/>
      <c r="H528" s="661"/>
      <c r="I528" s="661"/>
      <c r="J528" s="661"/>
      <c r="K528" s="661"/>
    </row>
    <row r="529" spans="1:11">
      <c r="A529" s="658"/>
      <c r="B529" s="703"/>
      <c r="C529" s="704"/>
      <c r="D529" s="665"/>
      <c r="E529" s="665"/>
      <c r="F529" s="705"/>
      <c r="G529" s="706"/>
      <c r="H529" s="661"/>
      <c r="I529" s="661"/>
      <c r="J529" s="661"/>
      <c r="K529" s="661"/>
    </row>
    <row r="530" spans="1:11">
      <c r="A530" s="658"/>
      <c r="B530" s="694"/>
      <c r="C530" s="695"/>
      <c r="D530" s="660"/>
      <c r="E530" s="660"/>
      <c r="F530" s="696"/>
      <c r="G530" s="697"/>
      <c r="H530" s="661"/>
      <c r="I530" s="661"/>
      <c r="J530" s="661"/>
      <c r="K530" s="661"/>
    </row>
    <row r="531" spans="1:11">
      <c r="A531" s="658"/>
      <c r="B531" s="694"/>
      <c r="C531" s="695"/>
      <c r="D531" s="660"/>
      <c r="E531" s="660"/>
      <c r="F531" s="696"/>
      <c r="G531" s="697"/>
      <c r="H531" s="661"/>
      <c r="I531" s="661"/>
      <c r="J531" s="661"/>
      <c r="K531" s="661"/>
    </row>
    <row r="532" spans="1:11">
      <c r="A532" s="658"/>
      <c r="B532" s="694"/>
      <c r="C532" s="695"/>
      <c r="D532" s="660"/>
      <c r="E532" s="660"/>
      <c r="F532" s="696"/>
      <c r="G532" s="697"/>
      <c r="H532" s="661"/>
      <c r="I532" s="661"/>
      <c r="J532" s="661"/>
      <c r="K532" s="661"/>
    </row>
    <row r="533" spans="1:11">
      <c r="A533" s="658"/>
      <c r="B533" s="694"/>
      <c r="C533" s="695"/>
      <c r="D533" s="660"/>
      <c r="E533" s="660"/>
      <c r="F533" s="696"/>
      <c r="G533" s="697"/>
      <c r="H533" s="661"/>
      <c r="I533" s="661"/>
      <c r="J533" s="661"/>
      <c r="K533" s="661"/>
    </row>
    <row r="534" spans="1:11">
      <c r="A534" s="658"/>
      <c r="B534" s="694"/>
      <c r="C534" s="695"/>
      <c r="D534" s="660"/>
      <c r="E534" s="660"/>
      <c r="F534" s="696"/>
      <c r="G534" s="697"/>
      <c r="H534" s="661"/>
      <c r="I534" s="661"/>
      <c r="J534" s="661"/>
      <c r="K534" s="661"/>
    </row>
    <row r="535" spans="1:11">
      <c r="A535" s="658"/>
      <c r="B535" s="694"/>
      <c r="C535" s="695"/>
      <c r="D535" s="660"/>
      <c r="E535" s="660"/>
      <c r="F535" s="696"/>
      <c r="G535" s="697"/>
      <c r="H535" s="661"/>
      <c r="I535" s="661"/>
      <c r="J535" s="661"/>
      <c r="K535" s="661"/>
    </row>
    <row r="536" spans="1:11">
      <c r="A536" s="658"/>
      <c r="B536" s="694"/>
      <c r="C536" s="695"/>
      <c r="D536" s="660"/>
      <c r="E536" s="660"/>
      <c r="F536" s="696"/>
      <c r="G536" s="697"/>
      <c r="H536" s="661"/>
      <c r="I536" s="661"/>
      <c r="J536" s="661"/>
      <c r="K536" s="661"/>
    </row>
    <row r="537" spans="1:11">
      <c r="A537" s="658"/>
      <c r="B537" s="694"/>
      <c r="C537" s="695"/>
      <c r="D537" s="660"/>
      <c r="E537" s="660"/>
      <c r="F537" s="696"/>
      <c r="G537" s="697"/>
      <c r="H537" s="661"/>
      <c r="I537" s="661"/>
      <c r="J537" s="661"/>
      <c r="K537" s="661"/>
    </row>
    <row r="538" spans="1:11">
      <c r="A538" s="658"/>
      <c r="B538" s="694"/>
      <c r="C538" s="695"/>
      <c r="D538" s="660"/>
      <c r="E538" s="660"/>
      <c r="F538" s="696"/>
      <c r="G538" s="697"/>
      <c r="H538" s="661"/>
      <c r="I538" s="661"/>
      <c r="J538" s="661"/>
      <c r="K538" s="661"/>
    </row>
    <row r="539" spans="1:11">
      <c r="A539" s="658"/>
      <c r="B539" s="694"/>
      <c r="C539" s="695"/>
      <c r="D539" s="660"/>
      <c r="E539" s="660"/>
      <c r="F539" s="696"/>
      <c r="G539" s="697"/>
      <c r="H539" s="661"/>
      <c r="I539" s="661"/>
      <c r="J539" s="661"/>
      <c r="K539" s="661"/>
    </row>
    <row r="540" spans="1:11">
      <c r="A540" s="658"/>
      <c r="B540" s="694"/>
      <c r="C540" s="695"/>
      <c r="D540" s="660"/>
      <c r="E540" s="660"/>
      <c r="F540" s="696"/>
      <c r="G540" s="697"/>
      <c r="H540" s="661"/>
      <c r="I540" s="661"/>
      <c r="J540" s="661"/>
      <c r="K540" s="661"/>
    </row>
    <row r="541" spans="1:11">
      <c r="A541" s="658"/>
      <c r="B541" s="694"/>
      <c r="C541" s="695"/>
      <c r="D541" s="660"/>
      <c r="E541" s="660"/>
      <c r="F541" s="696"/>
      <c r="G541" s="697"/>
      <c r="H541" s="661"/>
      <c r="I541" s="661"/>
      <c r="J541" s="661"/>
      <c r="K541" s="661"/>
    </row>
    <row r="542" spans="1:11">
      <c r="A542" s="658"/>
      <c r="B542" s="694"/>
      <c r="C542" s="695"/>
      <c r="D542" s="660"/>
      <c r="E542" s="660"/>
      <c r="F542" s="696"/>
      <c r="G542" s="697"/>
      <c r="H542" s="661"/>
      <c r="I542" s="661"/>
      <c r="J542" s="661"/>
      <c r="K542" s="661"/>
    </row>
    <row r="543" spans="1:11">
      <c r="A543" s="658"/>
      <c r="B543" s="694"/>
      <c r="C543" s="695"/>
      <c r="D543" s="660"/>
      <c r="E543" s="660"/>
      <c r="F543" s="696"/>
      <c r="G543" s="697"/>
      <c r="H543" s="661"/>
      <c r="I543" s="661"/>
      <c r="J543" s="661"/>
      <c r="K543" s="661"/>
    </row>
    <row r="544" spans="1:11">
      <c r="A544" s="658"/>
      <c r="B544" s="703"/>
      <c r="C544" s="704"/>
      <c r="D544" s="665"/>
      <c r="E544" s="665"/>
      <c r="F544" s="705"/>
      <c r="G544" s="706"/>
      <c r="H544" s="661"/>
      <c r="I544" s="661"/>
      <c r="J544" s="661"/>
      <c r="K544" s="661"/>
    </row>
    <row r="545" spans="1:11">
      <c r="A545" s="658"/>
      <c r="B545" s="694"/>
      <c r="C545" s="695"/>
      <c r="D545" s="660"/>
      <c r="E545" s="660"/>
      <c r="F545" s="696"/>
      <c r="G545" s="697"/>
      <c r="H545" s="661"/>
      <c r="I545" s="661"/>
      <c r="J545" s="661"/>
      <c r="K545" s="661"/>
    </row>
    <row r="546" spans="1:11">
      <c r="A546" s="658"/>
      <c r="B546" s="703"/>
      <c r="C546" s="704"/>
      <c r="D546" s="665"/>
      <c r="E546" s="665"/>
      <c r="F546" s="705"/>
      <c r="G546" s="706"/>
      <c r="H546" s="661"/>
      <c r="I546" s="661"/>
      <c r="J546" s="661"/>
      <c r="K546" s="661"/>
    </row>
    <row r="547" spans="1:11">
      <c r="A547" s="658"/>
      <c r="B547" s="694"/>
      <c r="C547" s="695"/>
      <c r="D547" s="660"/>
      <c r="E547" s="660"/>
      <c r="F547" s="696"/>
      <c r="G547" s="697"/>
      <c r="H547" s="661"/>
      <c r="I547" s="661"/>
      <c r="J547" s="661"/>
      <c r="K547" s="661"/>
    </row>
    <row r="548" spans="1:11">
      <c r="A548" s="658"/>
      <c r="B548" s="703"/>
      <c r="C548" s="704"/>
      <c r="D548" s="665"/>
      <c r="E548" s="665"/>
      <c r="F548" s="705"/>
      <c r="G548" s="706"/>
      <c r="H548" s="661"/>
      <c r="I548" s="661"/>
      <c r="J548" s="661"/>
      <c r="K548" s="661"/>
    </row>
    <row r="549" spans="1:11">
      <c r="A549" s="658"/>
      <c r="B549" s="694"/>
      <c r="C549" s="695"/>
      <c r="D549" s="660"/>
      <c r="E549" s="660"/>
      <c r="F549" s="696"/>
      <c r="G549" s="697"/>
      <c r="H549" s="661"/>
      <c r="I549" s="661"/>
      <c r="J549" s="661"/>
      <c r="K549" s="661"/>
    </row>
    <row r="550" spans="1:11">
      <c r="A550" s="658"/>
      <c r="B550" s="703"/>
      <c r="C550" s="704"/>
      <c r="D550" s="665"/>
      <c r="E550" s="665"/>
      <c r="F550" s="705"/>
      <c r="G550" s="706"/>
      <c r="H550" s="661"/>
      <c r="I550" s="661"/>
      <c r="J550" s="661"/>
      <c r="K550" s="661"/>
    </row>
    <row r="551" spans="1:11">
      <c r="A551" s="658"/>
      <c r="B551" s="694"/>
      <c r="C551" s="695"/>
      <c r="D551" s="660"/>
      <c r="E551" s="660"/>
      <c r="F551" s="696"/>
      <c r="G551" s="697"/>
      <c r="H551" s="661"/>
      <c r="I551" s="661"/>
      <c r="J551" s="661"/>
      <c r="K551" s="661"/>
    </row>
    <row r="552" spans="1:11">
      <c r="A552" s="658"/>
      <c r="B552" s="703"/>
      <c r="C552" s="704"/>
      <c r="D552" s="665"/>
      <c r="E552" s="665"/>
      <c r="F552" s="705"/>
      <c r="G552" s="706"/>
      <c r="H552" s="661"/>
      <c r="I552" s="661"/>
      <c r="J552" s="661"/>
      <c r="K552" s="661"/>
    </row>
    <row r="553" spans="1:11">
      <c r="A553" s="658"/>
      <c r="B553" s="694"/>
      <c r="C553" s="695"/>
      <c r="D553" s="660"/>
      <c r="E553" s="660"/>
      <c r="F553" s="696"/>
      <c r="G553" s="697"/>
      <c r="H553" s="661"/>
      <c r="I553" s="661"/>
      <c r="J553" s="661"/>
      <c r="K553" s="661"/>
    </row>
    <row r="554" spans="1:11">
      <c r="A554" s="658"/>
      <c r="B554" s="703"/>
      <c r="C554" s="704"/>
      <c r="D554" s="665"/>
      <c r="E554" s="665"/>
      <c r="F554" s="705"/>
      <c r="G554" s="706"/>
      <c r="H554" s="661"/>
      <c r="I554" s="661"/>
      <c r="J554" s="661"/>
      <c r="K554" s="661"/>
    </row>
    <row r="555" spans="1:11">
      <c r="A555" s="658"/>
      <c r="B555" s="694"/>
      <c r="C555" s="695"/>
      <c r="D555" s="660"/>
      <c r="E555" s="660"/>
      <c r="F555" s="696"/>
      <c r="G555" s="697"/>
      <c r="H555" s="661"/>
      <c r="I555" s="661"/>
      <c r="J555" s="661"/>
      <c r="K555" s="661"/>
    </row>
    <row r="556" spans="1:11">
      <c r="A556" s="658"/>
      <c r="B556" s="703"/>
      <c r="C556" s="704"/>
      <c r="D556" s="665"/>
      <c r="E556" s="665"/>
      <c r="F556" s="705"/>
      <c r="G556" s="706"/>
      <c r="H556" s="661"/>
      <c r="I556" s="661"/>
      <c r="J556" s="661"/>
      <c r="K556" s="661"/>
    </row>
    <row r="557" spans="1:11">
      <c r="A557" s="658"/>
      <c r="B557" s="694"/>
      <c r="C557" s="695"/>
      <c r="D557" s="660"/>
      <c r="E557" s="660"/>
      <c r="F557" s="696"/>
      <c r="G557" s="697"/>
      <c r="H557" s="661"/>
      <c r="I557" s="661"/>
      <c r="J557" s="661"/>
      <c r="K557" s="661"/>
    </row>
    <row r="558" spans="1:11">
      <c r="A558" s="658"/>
      <c r="B558" s="703"/>
      <c r="C558" s="704"/>
      <c r="D558" s="665"/>
      <c r="E558" s="665"/>
      <c r="F558" s="705"/>
      <c r="G558" s="706"/>
      <c r="H558" s="661"/>
      <c r="I558" s="661"/>
      <c r="J558" s="661"/>
      <c r="K558" s="661"/>
    </row>
    <row r="559" spans="1:11">
      <c r="A559" s="658"/>
      <c r="B559" s="694"/>
      <c r="C559" s="695"/>
      <c r="D559" s="660"/>
      <c r="E559" s="660"/>
      <c r="F559" s="696"/>
      <c r="G559" s="697"/>
      <c r="H559" s="661"/>
      <c r="I559" s="661"/>
      <c r="J559" s="661"/>
      <c r="K559" s="661"/>
    </row>
    <row r="560" spans="1:11">
      <c r="A560" s="658"/>
      <c r="B560" s="703"/>
      <c r="C560" s="704"/>
      <c r="D560" s="665"/>
      <c r="E560" s="665"/>
      <c r="F560" s="705"/>
      <c r="G560" s="706"/>
      <c r="H560" s="661"/>
      <c r="I560" s="661"/>
      <c r="J560" s="661"/>
      <c r="K560" s="661"/>
    </row>
    <row r="561" spans="1:11">
      <c r="A561" s="658"/>
      <c r="B561" s="694"/>
      <c r="C561" s="695"/>
      <c r="D561" s="660"/>
      <c r="E561" s="660"/>
      <c r="F561" s="696"/>
      <c r="G561" s="697"/>
      <c r="H561" s="661"/>
      <c r="I561" s="661"/>
      <c r="J561" s="661"/>
      <c r="K561" s="661"/>
    </row>
    <row r="562" spans="1:11">
      <c r="A562" s="658"/>
      <c r="B562" s="694"/>
      <c r="C562" s="695"/>
      <c r="D562" s="660"/>
      <c r="E562" s="660"/>
      <c r="F562" s="696"/>
      <c r="G562" s="697"/>
      <c r="H562" s="661"/>
      <c r="I562" s="661"/>
      <c r="J562" s="661"/>
      <c r="K562" s="661"/>
    </row>
    <row r="563" spans="1:11">
      <c r="A563" s="658"/>
      <c r="B563" s="694"/>
      <c r="C563" s="695"/>
      <c r="D563" s="660"/>
      <c r="E563" s="660"/>
      <c r="F563" s="696"/>
      <c r="G563" s="697"/>
      <c r="H563" s="661"/>
      <c r="I563" s="661"/>
      <c r="J563" s="661"/>
      <c r="K563" s="661"/>
    </row>
    <row r="564" spans="1:11">
      <c r="A564" s="658"/>
      <c r="B564" s="694"/>
      <c r="C564" s="695"/>
      <c r="D564" s="660"/>
      <c r="E564" s="660"/>
      <c r="F564" s="696"/>
      <c r="G564" s="697"/>
      <c r="H564" s="661"/>
      <c r="I564" s="661"/>
      <c r="J564" s="661"/>
      <c r="K564" s="661"/>
    </row>
    <row r="565" spans="1:11">
      <c r="A565" s="658"/>
      <c r="B565" s="694"/>
      <c r="C565" s="695"/>
      <c r="D565" s="660"/>
      <c r="E565" s="660"/>
      <c r="F565" s="696"/>
      <c r="G565" s="697"/>
      <c r="H565" s="661"/>
      <c r="I565" s="661"/>
      <c r="J565" s="661"/>
      <c r="K565" s="661"/>
    </row>
    <row r="566" spans="1:11">
      <c r="A566" s="669"/>
      <c r="B566" s="709"/>
      <c r="C566" s="710"/>
      <c r="D566" s="670"/>
      <c r="E566" s="670"/>
      <c r="F566" s="711"/>
      <c r="G566" s="712"/>
      <c r="H566" s="671"/>
      <c r="I566" s="671"/>
      <c r="J566" s="671"/>
      <c r="K566" s="671"/>
    </row>
    <row r="567" spans="1:11">
      <c r="A567" s="672" t="s">
        <v>154</v>
      </c>
      <c r="B567" s="713"/>
      <c r="C567" s="714"/>
      <c r="D567" s="715"/>
      <c r="E567" s="715"/>
      <c r="F567" s="716" t="s">
        <v>261</v>
      </c>
      <c r="G567" s="717"/>
      <c r="H567" s="718" t="s">
        <v>234</v>
      </c>
      <c r="I567" s="675">
        <f>SUM(I513:I566)</f>
        <v>0</v>
      </c>
      <c r="J567" s="718"/>
      <c r="K567" s="675">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Notes</vt:lpstr>
      <vt:lpstr>ML_Sum</vt:lpstr>
      <vt:lpstr>Quote</vt:lpstr>
      <vt:lpstr>Elec_Rates</vt:lpstr>
      <vt:lpstr>Elec_Est</vt:lpstr>
      <vt:lpstr>Example_Blocks</vt:lpstr>
      <vt:lpstr>E_BOQ</vt:lpstr>
      <vt:lpstr>E_DBOQ</vt:lpstr>
      <vt:lpstr>AREAS</vt:lpstr>
      <vt:lpstr>E_BOQ!Print_Area</vt:lpstr>
      <vt:lpstr>Elec_Est!Print_Area</vt:lpstr>
      <vt:lpstr>Example_Blocks!Print_Area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2026-04-07T13:33:37Z</dcterms:modified>
  <cp:contentStatus/>
</cp:coreProperties>
</file>