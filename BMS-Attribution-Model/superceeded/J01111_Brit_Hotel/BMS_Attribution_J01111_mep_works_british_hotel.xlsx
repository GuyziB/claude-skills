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8e42587b76b10ba/Documents/Visual Code Studio/Claude/BMS-Attribution-Model/projects/J01111_Brit_Hotel/"/>
    </mc:Choice>
  </mc:AlternateContent>
  <xr:revisionPtr revIDLastSave="1" documentId="11_C20CEEEBB71CDAAA4E61B2173D5BDA16E6C879A9" xr6:coauthVersionLast="47" xr6:coauthVersionMax="47" xr10:uidLastSave="{84453BE2-246E-46BD-804D-958E06477672}"/>
  <bookViews>
    <workbookView xWindow="-108" yWindow="-108" windowWidth="23256" windowHeight="12456" xr2:uid="{00000000-000D-0000-FFFF-FFFF00000000}"/>
  </bookViews>
  <sheets>
    <sheet name="Attribution_Log" sheetId="1" r:id="rId1"/>
    <sheet name="Labour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J30" i="2"/>
  <c r="I30" i="2"/>
  <c r="H30" i="2"/>
  <c r="G30" i="2"/>
  <c r="F30" i="2"/>
  <c r="E30" i="2"/>
  <c r="D30" i="2"/>
  <c r="C30" i="2"/>
  <c r="B30" i="2" s="1"/>
  <c r="J17" i="2"/>
  <c r="I17" i="2"/>
  <c r="C41" i="2" s="1"/>
  <c r="H17" i="2"/>
  <c r="C40" i="2" s="1"/>
  <c r="G17" i="2"/>
  <c r="C39" i="2" s="1"/>
  <c r="F17" i="2"/>
  <c r="C38" i="2" s="1"/>
  <c r="E17" i="2"/>
  <c r="C37" i="2" s="1"/>
  <c r="D17" i="2"/>
  <c r="C36" i="2" s="1"/>
  <c r="C17" i="2"/>
  <c r="N15" i="1"/>
  <c r="M15" i="1"/>
  <c r="L15" i="1"/>
  <c r="K15" i="1"/>
  <c r="J15" i="1"/>
  <c r="I15" i="1"/>
  <c r="H15" i="1"/>
  <c r="G15" i="1"/>
  <c r="O15" i="1" s="1"/>
  <c r="C34" i="2" l="1"/>
  <c r="B17" i="2"/>
  <c r="C35" i="2" l="1"/>
  <c r="C42" i="2"/>
  <c r="C43" i="2" s="1"/>
</calcChain>
</file>

<file path=xl/sharedStrings.xml><?xml version="1.0" encoding="utf-8"?>
<sst xmlns="http://schemas.openxmlformats.org/spreadsheetml/2006/main" count="147" uniqueCount="75">
  <si>
    <t>PANTA CONTRACTING LIMITED — BMS Attribution Log   |   MEP Works British Hotel   |   v3.1</t>
  </si>
  <si>
    <t>ISELL/ICOST Cluster Scan   |   02 April 2026   |   Includes Labour Hours &amp; P&amp;L   |   All hours are BMS team hours</t>
  </si>
  <si>
    <t>Colour:  Green = BMS cluster rule (512/617)   |   Amber = Manual flag   |   Yellow = Maintenance (outside revenue scope)   |   mu_A/B/C = pricing rate bands — all hours are BMS team hours</t>
  </si>
  <si>
    <t>Log_ID</t>
  </si>
  <si>
    <t>Source_File</t>
  </si>
  <si>
    <t>Excel_Row</t>
  </si>
  <si>
    <t>Item_Number</t>
  </si>
  <si>
    <t>Item_Name</t>
  </si>
  <si>
    <t>BMS_Trigger</t>
  </si>
  <si>
    <t>Sell_Total
(€)</t>
  </si>
  <si>
    <t>Mat_Cost
(€)</t>
  </si>
  <si>
    <t>Total
Lab Hrs</t>
  </si>
  <si>
    <t>mu_A Hrs</t>
  </si>
  <si>
    <t>mu_B Hrs</t>
  </si>
  <si>
    <t>mu_C Hrs</t>
  </si>
  <si>
    <t>Lab_Cost
(€)</t>
  </si>
  <si>
    <t>Gross_Profit
(€)</t>
  </si>
  <si>
    <t>Margin
%</t>
  </si>
  <si>
    <t>Hour
Check</t>
  </si>
  <si>
    <t>EL25-0662B (EL)</t>
  </si>
  <si>
    <t>Item: a.</t>
  </si>
  <si>
    <t>8-Button Keypad to control corridor lighting from reception</t>
  </si>
  <si>
    <t>512</t>
  </si>
  <si>
    <t>OK</t>
  </si>
  <si>
    <t>1-Button Keypad for external lighting</t>
  </si>
  <si>
    <t>Item: b.</t>
  </si>
  <si>
    <t>4-Button Keypad to control corridor lighting from reception</t>
  </si>
  <si>
    <t>Item: e.</t>
  </si>
  <si>
    <t>OD 75 mm 2-port modulating Valves</t>
  </si>
  <si>
    <t>Item: f.</t>
  </si>
  <si>
    <t>OD 75 mm 3-port modulating Valves</t>
  </si>
  <si>
    <t>Item: i.</t>
  </si>
  <si>
    <t>OD25mm</t>
  </si>
  <si>
    <t>OD40mm</t>
  </si>
  <si>
    <t>Item: 53</t>
  </si>
  <si>
    <t>Item: 9</t>
  </si>
  <si>
    <t>Item: 10</t>
  </si>
  <si>
    <t>TOTALS — All BMS Clusters</t>
  </si>
  <si>
    <t>PANTA CONTRACTING LIMITED — BMS Labour Hours &amp; P&amp;L Summary   |   MEP Works British Hotel</t>
  </si>
  <si>
    <t>All hours are BMS team hours — mu_A/B/C are pricing rate bands only   |   02 April 2026</t>
  </si>
  <si>
    <t>IMPORTANT: The BMS department is entitled to the full revenue, hours and profit for all clusters shown. mu_A/B/C indicate which labour rate was used for pricing — they do NOT indicate who performed the work. All work within a BMS cluster is BMS scope.</t>
  </si>
  <si>
    <t xml:space="preserve">  EL25-0662B (EL) — EL</t>
  </si>
  <si>
    <t>mu_A = Electrical (cost €28.83/hr, sell €35.18/hr [ML_Sum (matches derived)])  |  mu_B = Controls Section (DALI) (cost €51.41/hr, sell €86.64/hr [ML_Sum (explicit)])  |  mu_C = Controls Section Engineer (DALI) (cost €86.64/hr, sell €51.41/hr [ML_Sum (explicit)])</t>
  </si>
  <si>
    <t>Item</t>
  </si>
  <si>
    <t>Item Name</t>
  </si>
  <si>
    <t>Sell Total
(€)</t>
  </si>
  <si>
    <t>Mat Cost
(€)</t>
  </si>
  <si>
    <t>Lab Hrs
Total</t>
  </si>
  <si>
    <t>mu_A
Electrical</t>
  </si>
  <si>
    <t>mu_B
Controls S</t>
  </si>
  <si>
    <t>mu_C
Controls S</t>
  </si>
  <si>
    <t>Lab Cost
(€)</t>
  </si>
  <si>
    <t>Gross Profit
(€)</t>
  </si>
  <si>
    <t>8-Button Keypad to control corridor lighti</t>
  </si>
  <si>
    <t>4-Button Keypad to control corridor lighti</t>
  </si>
  <si>
    <t>SUBTOTAL (in-scope)</t>
  </si>
  <si>
    <t xml:space="preserve">  ELM25-0665 (ELM) — ELM</t>
  </si>
  <si>
    <t>mu_A = Electrical (cost €27.46/hr, sell €27.46/hr [ML_Sum (matches derived)])  |  mu_B = Controls (cost €27.46/hr, sell €27.46/hr [Derived (sell÷markup)])  |  mu_C = 0 (cost €0.00/hr, sell €0.00/hr [Derived (sell÷markup)])</t>
  </si>
  <si>
    <t>mu_B
Controls</t>
  </si>
  <si>
    <t>mu_C
0</t>
  </si>
  <si>
    <t>PID controller c/w control temperature sen</t>
  </si>
  <si>
    <t>Provision for the supply, installation and</t>
  </si>
  <si>
    <t>Smoke control pressurization system for th</t>
  </si>
  <si>
    <t xml:space="preserve">  COMBINED BMS P&amp;L — MEP Works British Hotel (excl. Maintenance)</t>
  </si>
  <si>
    <t>Combined Project Revenue</t>
  </si>
  <si>
    <t>BMS Revenue (in-scope)</t>
  </si>
  <si>
    <t>BMS Attribution %</t>
  </si>
  <si>
    <t>BMS Material Cost</t>
  </si>
  <si>
    <t>BMS Labour Hours — Total</t>
  </si>
  <si>
    <t xml:space="preserve">  Electrical (mu_A)</t>
  </si>
  <si>
    <t xml:space="preserve">  Controls Section (DALI) (mu_B)</t>
  </si>
  <si>
    <t xml:space="preserve">  Controls Section Engineer (DALI) (mu_C)</t>
  </si>
  <si>
    <t>BMS Labour Cost</t>
  </si>
  <si>
    <t>BMS Gross Profit</t>
  </si>
  <si>
    <t>BMS Gross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</si>
</sst>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b/>
      <sz val="9"/>
      <color rgb="FF7F3F00"/>
      <name val="Arial"/>
    </font>
    <font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9"/>
      <color rgb="FF1F3864"/>
      <name val="Arial"/>
    </font>
    <font>
      <sz val="8"/>
      <color rgb="FF595959"/>
      <name val="Arial"/>
    </font>
    <font>
      <b/>
      <sz val="11"/>
      <color rgb="FFFFFFFF"/>
      <name val="Arial"/>
    </font>
    <font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EEAF1"/>
      </patternFill>
    </fill>
    <fill>
      <patternFill patternType="solid">
        <fgColor rgb="FFF5F5F5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4" fontId="7" fillId="6" borderId="1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4" fontId="11" fillId="8" borderId="1" xfId="0" applyNumberFormat="1" applyFont="1" applyFill="1" applyBorder="1" applyAlignment="1">
      <alignment horizontal="right" vertical="center"/>
    </xf>
    <xf numFmtId="0" fontId="0" fillId="8" borderId="1" xfId="0" applyFill="1" applyBorder="1"/>
    <xf numFmtId="4" fontId="7" fillId="9" borderId="1" xfId="0" applyNumberFormat="1" applyFont="1" applyFill="1" applyBorder="1" applyAlignment="1">
      <alignment horizontal="right" vertical="center"/>
    </xf>
    <xf numFmtId="0" fontId="0" fillId="9" borderId="1" xfId="0" applyFill="1" applyBorder="1"/>
    <xf numFmtId="165" fontId="7" fillId="9" borderId="1" xfId="0" applyNumberFormat="1" applyFont="1" applyFill="1" applyBorder="1" applyAlignment="1">
      <alignment horizontal="right" vertical="center"/>
    </xf>
    <xf numFmtId="4" fontId="11" fillId="7" borderId="1" xfId="0" applyNumberFormat="1" applyFont="1" applyFill="1" applyBorder="1" applyAlignment="1">
      <alignment horizontal="right" vertical="center"/>
    </xf>
    <xf numFmtId="0" fontId="0" fillId="7" borderId="1" xfId="0" applyFill="1" applyBorder="1"/>
    <xf numFmtId="164" fontId="11" fillId="7" borderId="1" xfId="0" applyNumberFormat="1" applyFont="1" applyFill="1" applyBorder="1" applyAlignment="1">
      <alignment horizontal="right" vertical="center"/>
    </xf>
    <xf numFmtId="164" fontId="11" fillId="8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165" fontId="7" fillId="6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6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31"/>
  </sheetPr>
  <dimension ref="A1:P15"/>
  <sheetViews>
    <sheetView showGridLines="0" tabSelected="1" workbookViewId="0">
      <pane ySplit="4" topLeftCell="A5" activePane="bottomLeft" state="frozen"/>
      <selection pane="bottomLeft" activeCell="A15" sqref="A15:XFD22"/>
    </sheetView>
  </sheetViews>
  <sheetFormatPr defaultRowHeight="14.4" x14ac:dyDescent="0.3"/>
  <cols>
    <col min="1" max="1" width="8" customWidth="1"/>
    <col min="2" max="2" width="22" customWidth="1"/>
    <col min="3" max="3" width="9" customWidth="1"/>
    <col min="4" max="4" width="14" customWidth="1"/>
    <col min="5" max="5" width="44" customWidth="1"/>
    <col min="6" max="6" width="14" customWidth="1"/>
    <col min="7" max="8" width="13" customWidth="1"/>
    <col min="9" max="9" width="11" customWidth="1"/>
    <col min="10" max="12" width="10" customWidth="1"/>
    <col min="13" max="13" width="13" customWidth="1"/>
    <col min="14" max="14" width="14" customWidth="1"/>
    <col min="15" max="15" width="9" customWidth="1"/>
    <col min="16" max="16" width="12" customWidth="1"/>
  </cols>
  <sheetData>
    <row r="1" spans="1:16" ht="22.05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22.05" customHeight="1" x14ac:dyDescent="0.3">
      <c r="A2" s="27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ht="13.05" customHeight="1" x14ac:dyDescent="0.3">
      <c r="A3" s="26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40.049999999999997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</row>
    <row r="5" spans="1:16" ht="22.05" customHeight="1" x14ac:dyDescent="0.3">
      <c r="A5" s="2">
        <v>1</v>
      </c>
      <c r="B5" s="3" t="s">
        <v>19</v>
      </c>
      <c r="C5" s="4">
        <v>978</v>
      </c>
      <c r="D5" s="4" t="s">
        <v>20</v>
      </c>
      <c r="E5" s="3" t="s">
        <v>21</v>
      </c>
      <c r="F5" s="4" t="s">
        <v>22</v>
      </c>
      <c r="G5" s="5">
        <v>1415.36</v>
      </c>
      <c r="H5" s="5">
        <v>856.38</v>
      </c>
      <c r="I5" s="6">
        <v>4.3899999999999997</v>
      </c>
      <c r="J5" s="6">
        <v>0.19</v>
      </c>
      <c r="K5" s="6">
        <v>4.2</v>
      </c>
      <c r="L5" s="6">
        <v>0</v>
      </c>
      <c r="M5" s="5">
        <v>221.40027000000001</v>
      </c>
      <c r="N5" s="5">
        <v>337.57972999999993</v>
      </c>
      <c r="O5" s="7">
        <v>0.2385115659620167</v>
      </c>
      <c r="P5" s="4" t="s">
        <v>23</v>
      </c>
    </row>
    <row r="6" spans="1:16" ht="22.05" customHeight="1" x14ac:dyDescent="0.3">
      <c r="A6" s="2">
        <v>2</v>
      </c>
      <c r="B6" s="3" t="s">
        <v>19</v>
      </c>
      <c r="C6" s="4">
        <v>1419</v>
      </c>
      <c r="D6" s="4" t="s">
        <v>20</v>
      </c>
      <c r="E6" s="3" t="s">
        <v>24</v>
      </c>
      <c r="F6" s="4" t="s">
        <v>22</v>
      </c>
      <c r="G6" s="5">
        <v>165.57</v>
      </c>
      <c r="H6" s="5">
        <v>103.83</v>
      </c>
      <c r="I6" s="6">
        <v>1.1100000000000001</v>
      </c>
      <c r="J6" s="6">
        <v>1.1054999999999999</v>
      </c>
      <c r="K6" s="6">
        <v>0</v>
      </c>
      <c r="L6" s="6">
        <v>0</v>
      </c>
      <c r="M6" s="5">
        <v>31.874881500000001</v>
      </c>
      <c r="N6" s="5">
        <v>29.865118499999991</v>
      </c>
      <c r="O6" s="7">
        <v>0.1803775955789092</v>
      </c>
      <c r="P6" s="4" t="s">
        <v>23</v>
      </c>
    </row>
    <row r="7" spans="1:16" ht="22.05" customHeight="1" x14ac:dyDescent="0.3">
      <c r="A7" s="2">
        <v>3</v>
      </c>
      <c r="B7" s="3" t="s">
        <v>19</v>
      </c>
      <c r="C7" s="4">
        <v>1437</v>
      </c>
      <c r="D7" s="4" t="s">
        <v>25</v>
      </c>
      <c r="E7" s="3" t="s">
        <v>26</v>
      </c>
      <c r="F7" s="4" t="s">
        <v>22</v>
      </c>
      <c r="G7" s="5">
        <v>973.68</v>
      </c>
      <c r="H7" s="5">
        <v>494.35</v>
      </c>
      <c r="I7" s="6">
        <v>4.3899999999999997</v>
      </c>
      <c r="J7" s="6">
        <v>0.19</v>
      </c>
      <c r="K7" s="6">
        <v>4.2</v>
      </c>
      <c r="L7" s="6">
        <v>0</v>
      </c>
      <c r="M7" s="5">
        <v>221.40027000000001</v>
      </c>
      <c r="N7" s="5">
        <v>257.92972999999989</v>
      </c>
      <c r="O7" s="7">
        <v>0.26490194930572669</v>
      </c>
      <c r="P7" s="4" t="s">
        <v>23</v>
      </c>
    </row>
    <row r="8" spans="1:16" ht="22.05" customHeight="1" x14ac:dyDescent="0.3">
      <c r="A8" s="2">
        <v>4</v>
      </c>
      <c r="B8" s="3" t="s">
        <v>19</v>
      </c>
      <c r="C8" s="4">
        <v>1946</v>
      </c>
      <c r="D8" s="4" t="s">
        <v>20</v>
      </c>
      <c r="E8" s="3" t="s">
        <v>24</v>
      </c>
      <c r="F8" s="4" t="s">
        <v>22</v>
      </c>
      <c r="G8" s="5">
        <v>165.57</v>
      </c>
      <c r="H8" s="5">
        <v>103.83</v>
      </c>
      <c r="I8" s="6">
        <v>1.1100000000000001</v>
      </c>
      <c r="J8" s="6">
        <v>1.1054999999999999</v>
      </c>
      <c r="K8" s="6">
        <v>0</v>
      </c>
      <c r="L8" s="6">
        <v>0</v>
      </c>
      <c r="M8" s="5">
        <v>31.874881500000001</v>
      </c>
      <c r="N8" s="5">
        <v>29.865118499999991</v>
      </c>
      <c r="O8" s="7">
        <v>0.1803775955789092</v>
      </c>
      <c r="P8" s="4" t="s">
        <v>23</v>
      </c>
    </row>
    <row r="9" spans="1:16" ht="22.05" customHeight="1" x14ac:dyDescent="0.3">
      <c r="A9" s="2">
        <v>5</v>
      </c>
      <c r="B9" s="3" t="s">
        <v>19</v>
      </c>
      <c r="C9" s="4">
        <v>1964</v>
      </c>
      <c r="D9" s="4" t="s">
        <v>25</v>
      </c>
      <c r="E9" s="3" t="s">
        <v>26</v>
      </c>
      <c r="F9" s="4" t="s">
        <v>22</v>
      </c>
      <c r="G9" s="5">
        <v>973.68</v>
      </c>
      <c r="H9" s="5">
        <v>494.35</v>
      </c>
      <c r="I9" s="6">
        <v>4.3899999999999997</v>
      </c>
      <c r="J9" s="6">
        <v>0.19</v>
      </c>
      <c r="K9" s="6">
        <v>4.2</v>
      </c>
      <c r="L9" s="6">
        <v>0</v>
      </c>
      <c r="M9" s="5">
        <v>221.40027000000001</v>
      </c>
      <c r="N9" s="5">
        <v>257.92972999999989</v>
      </c>
      <c r="O9" s="7">
        <v>0.26490194930572669</v>
      </c>
      <c r="P9" s="4" t="s">
        <v>23</v>
      </c>
    </row>
    <row r="10" spans="1:16" ht="22.05" customHeight="1" x14ac:dyDescent="0.3">
      <c r="A10" s="2">
        <v>6</v>
      </c>
      <c r="B10" s="3" t="s">
        <v>19</v>
      </c>
      <c r="C10" s="4">
        <v>2523</v>
      </c>
      <c r="D10" s="4" t="s">
        <v>20</v>
      </c>
      <c r="E10" s="3" t="s">
        <v>24</v>
      </c>
      <c r="F10" s="4" t="s">
        <v>22</v>
      </c>
      <c r="G10" s="5">
        <v>165.57</v>
      </c>
      <c r="H10" s="5">
        <v>103.83</v>
      </c>
      <c r="I10" s="6">
        <v>1.1100000000000001</v>
      </c>
      <c r="J10" s="6">
        <v>1.1054999999999999</v>
      </c>
      <c r="K10" s="6">
        <v>0</v>
      </c>
      <c r="L10" s="6">
        <v>0</v>
      </c>
      <c r="M10" s="5">
        <v>31.874881500000001</v>
      </c>
      <c r="N10" s="5">
        <v>29.865118499999991</v>
      </c>
      <c r="O10" s="7">
        <v>0.1803775955789092</v>
      </c>
      <c r="P10" s="4" t="s">
        <v>23</v>
      </c>
    </row>
    <row r="11" spans="1:16" ht="22.05" customHeight="1" x14ac:dyDescent="0.3">
      <c r="A11" s="2">
        <v>7</v>
      </c>
      <c r="B11" s="3" t="s">
        <v>19</v>
      </c>
      <c r="C11" s="4">
        <v>2541</v>
      </c>
      <c r="D11" s="4" t="s">
        <v>25</v>
      </c>
      <c r="E11" s="3" t="s">
        <v>26</v>
      </c>
      <c r="F11" s="4" t="s">
        <v>22</v>
      </c>
      <c r="G11" s="5">
        <v>973.68</v>
      </c>
      <c r="H11" s="5">
        <v>494.35</v>
      </c>
      <c r="I11" s="6">
        <v>4.3899999999999997</v>
      </c>
      <c r="J11" s="6">
        <v>0.19</v>
      </c>
      <c r="K11" s="6">
        <v>4.2</v>
      </c>
      <c r="L11" s="6">
        <v>0</v>
      </c>
      <c r="M11" s="5">
        <v>221.40027000000001</v>
      </c>
      <c r="N11" s="5">
        <v>257.92972999999989</v>
      </c>
      <c r="O11" s="7">
        <v>0.26490194930572669</v>
      </c>
      <c r="P11" s="4" t="s">
        <v>23</v>
      </c>
    </row>
    <row r="12" spans="1:16" ht="22.05" customHeight="1" x14ac:dyDescent="0.3">
      <c r="A12" s="2">
        <v>8</v>
      </c>
      <c r="B12" s="3" t="s">
        <v>19</v>
      </c>
      <c r="C12" s="4">
        <v>3056</v>
      </c>
      <c r="D12" s="4" t="s">
        <v>20</v>
      </c>
      <c r="E12" s="3" t="s">
        <v>24</v>
      </c>
      <c r="F12" s="4" t="s">
        <v>22</v>
      </c>
      <c r="G12" s="5">
        <v>165.57</v>
      </c>
      <c r="H12" s="5">
        <v>103.83</v>
      </c>
      <c r="I12" s="6">
        <v>1.1100000000000001</v>
      </c>
      <c r="J12" s="6">
        <v>1.1054999999999999</v>
      </c>
      <c r="K12" s="6">
        <v>0</v>
      </c>
      <c r="L12" s="6">
        <v>0</v>
      </c>
      <c r="M12" s="5">
        <v>31.874881500000001</v>
      </c>
      <c r="N12" s="5">
        <v>29.865118499999991</v>
      </c>
      <c r="O12" s="7">
        <v>0.1803775955789092</v>
      </c>
      <c r="P12" s="4" t="s">
        <v>23</v>
      </c>
    </row>
    <row r="13" spans="1:16" ht="22.05" customHeight="1" x14ac:dyDescent="0.3">
      <c r="A13" s="2">
        <v>9</v>
      </c>
      <c r="B13" s="3" t="s">
        <v>19</v>
      </c>
      <c r="C13" s="4">
        <v>3074</v>
      </c>
      <c r="D13" s="4" t="s">
        <v>25</v>
      </c>
      <c r="E13" s="3" t="s">
        <v>26</v>
      </c>
      <c r="F13" s="4" t="s">
        <v>22</v>
      </c>
      <c r="G13" s="5">
        <v>973.68</v>
      </c>
      <c r="H13" s="5">
        <v>494.35</v>
      </c>
      <c r="I13" s="6">
        <v>4.3899999999999997</v>
      </c>
      <c r="J13" s="6">
        <v>0.19</v>
      </c>
      <c r="K13" s="6">
        <v>4.2</v>
      </c>
      <c r="L13" s="6">
        <v>0</v>
      </c>
      <c r="M13" s="5">
        <v>221.40027000000001</v>
      </c>
      <c r="N13" s="5">
        <v>257.92972999999989</v>
      </c>
      <c r="O13" s="7">
        <v>0.26490194930572669</v>
      </c>
      <c r="P13" s="4" t="s">
        <v>23</v>
      </c>
    </row>
    <row r="14" spans="1:16" ht="22.05" customHeight="1" x14ac:dyDescent="0.3">
      <c r="A14" s="2">
        <v>10</v>
      </c>
      <c r="B14" s="3" t="s">
        <v>19</v>
      </c>
      <c r="C14" s="4">
        <v>3585</v>
      </c>
      <c r="D14" s="4" t="s">
        <v>20</v>
      </c>
      <c r="E14" s="3" t="s">
        <v>24</v>
      </c>
      <c r="F14" s="4" t="s">
        <v>22</v>
      </c>
      <c r="G14" s="5">
        <v>55.19</v>
      </c>
      <c r="H14" s="5">
        <v>34.61</v>
      </c>
      <c r="I14" s="6">
        <v>0.37</v>
      </c>
      <c r="J14" s="6">
        <v>0.36849999999999999</v>
      </c>
      <c r="K14" s="6">
        <v>0</v>
      </c>
      <c r="L14" s="6">
        <v>0</v>
      </c>
      <c r="M14" s="5">
        <v>10.6249605</v>
      </c>
      <c r="N14" s="5">
        <v>9.955039499999998</v>
      </c>
      <c r="O14" s="7">
        <v>0.1803775955789092</v>
      </c>
      <c r="P14" s="4" t="s">
        <v>23</v>
      </c>
    </row>
    <row r="15" spans="1:16" ht="18" customHeight="1" x14ac:dyDescent="0.3">
      <c r="A15" s="25" t="s">
        <v>37</v>
      </c>
      <c r="B15" s="24"/>
      <c r="C15" s="24"/>
      <c r="D15" s="24"/>
      <c r="E15" s="24"/>
      <c r="F15" s="24"/>
      <c r="G15" s="8">
        <f>SUM(G5:G14)</f>
        <v>6027.5499999999993</v>
      </c>
      <c r="H15" s="8">
        <f>SUM(H5:H14)</f>
        <v>3283.7099999999996</v>
      </c>
      <c r="I15" s="9">
        <f>SUM(I5:I14)</f>
        <v>26.76</v>
      </c>
      <c r="J15" s="9">
        <f>SUM(J5:J14)</f>
        <v>5.7405000000000008</v>
      </c>
      <c r="K15" s="9">
        <f>SUM(K5:K14)</f>
        <v>21</v>
      </c>
      <c r="L15" s="9">
        <f>SUM(L5:L14)</f>
        <v>0</v>
      </c>
      <c r="M15" s="8">
        <f>SUM(M5:M14)</f>
        <v>1245.1258365000001</v>
      </c>
      <c r="N15" s="8">
        <f>SUM(N5:N14)</f>
        <v>1498.7141634999994</v>
      </c>
      <c r="O15" s="10">
        <f>IF(G15&gt;0,N15/G15,0)</f>
        <v>0.248644003533774</v>
      </c>
    </row>
  </sheetData>
  <mergeCells count="4">
    <mergeCell ref="A1:P1"/>
    <mergeCell ref="A15:F15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J4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0" customWidth="1"/>
    <col min="2" max="2" width="42" customWidth="1"/>
    <col min="3" max="4" width="13" customWidth="1"/>
    <col min="5" max="5" width="11" customWidth="1"/>
    <col min="6" max="8" width="10" customWidth="1"/>
    <col min="9" max="10" width="13" customWidth="1"/>
  </cols>
  <sheetData>
    <row r="1" spans="1:10" ht="22.05" customHeight="1" x14ac:dyDescent="0.3">
      <c r="A1" s="23" t="s">
        <v>38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22.05" customHeight="1" x14ac:dyDescent="0.3">
      <c r="A2" s="27" t="s">
        <v>39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24" customHeight="1" x14ac:dyDescent="0.3">
      <c r="A3" s="35" t="s">
        <v>40</v>
      </c>
      <c r="B3" s="24"/>
      <c r="C3" s="24"/>
      <c r="D3" s="24"/>
      <c r="E3" s="24"/>
      <c r="F3" s="24"/>
      <c r="G3" s="24"/>
      <c r="H3" s="24"/>
      <c r="I3" s="24"/>
      <c r="J3" s="24"/>
    </row>
    <row r="4" spans="1:10" ht="16.05" customHeight="1" x14ac:dyDescent="0.3">
      <c r="A4" s="31" t="s">
        <v>41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ht="13.05" customHeight="1" x14ac:dyDescent="0.3">
      <c r="A5" s="28" t="s">
        <v>42</v>
      </c>
      <c r="B5" s="24"/>
      <c r="C5" s="24"/>
      <c r="D5" s="24"/>
      <c r="E5" s="24"/>
      <c r="F5" s="24"/>
      <c r="G5" s="24"/>
      <c r="H5" s="24"/>
      <c r="I5" s="24"/>
      <c r="J5" s="24"/>
    </row>
    <row r="6" spans="1:10" ht="36" customHeight="1" x14ac:dyDescent="0.3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</row>
    <row r="7" spans="1:10" ht="13.95" customHeight="1" x14ac:dyDescent="0.3">
      <c r="A7" s="2" t="s">
        <v>20</v>
      </c>
      <c r="B7" s="3" t="s">
        <v>53</v>
      </c>
      <c r="C7" s="5">
        <v>1415.36</v>
      </c>
      <c r="D7" s="5">
        <v>856.38</v>
      </c>
      <c r="E7" s="6">
        <v>4.3899999999999997</v>
      </c>
      <c r="F7" s="6">
        <v>0.19</v>
      </c>
      <c r="G7" s="6">
        <v>4.2</v>
      </c>
      <c r="H7" s="6">
        <v>0</v>
      </c>
      <c r="I7" s="5">
        <v>221.40027000000001</v>
      </c>
      <c r="J7" s="5">
        <v>337.57972999999993</v>
      </c>
    </row>
    <row r="8" spans="1:10" ht="13.95" customHeight="1" x14ac:dyDescent="0.3">
      <c r="A8" s="2" t="s">
        <v>20</v>
      </c>
      <c r="B8" s="3" t="s">
        <v>24</v>
      </c>
      <c r="C8" s="5">
        <v>165.57</v>
      </c>
      <c r="D8" s="5">
        <v>103.83</v>
      </c>
      <c r="E8" s="6">
        <v>1.1100000000000001</v>
      </c>
      <c r="F8" s="6">
        <v>1.1054999999999999</v>
      </c>
      <c r="G8" s="6">
        <v>0</v>
      </c>
      <c r="H8" s="6">
        <v>0</v>
      </c>
      <c r="I8" s="5">
        <v>31.874881500000001</v>
      </c>
      <c r="J8" s="5">
        <v>29.865118499999991</v>
      </c>
    </row>
    <row r="9" spans="1:10" ht="13.95" customHeight="1" x14ac:dyDescent="0.3">
      <c r="A9" s="2" t="s">
        <v>25</v>
      </c>
      <c r="B9" s="3" t="s">
        <v>54</v>
      </c>
      <c r="C9" s="5">
        <v>973.68</v>
      </c>
      <c r="D9" s="5">
        <v>494.35</v>
      </c>
      <c r="E9" s="6">
        <v>4.3899999999999997</v>
      </c>
      <c r="F9" s="6">
        <v>0.19</v>
      </c>
      <c r="G9" s="6">
        <v>4.2</v>
      </c>
      <c r="H9" s="6">
        <v>0</v>
      </c>
      <c r="I9" s="5">
        <v>221.40027000000001</v>
      </c>
      <c r="J9" s="5">
        <v>257.92972999999989</v>
      </c>
    </row>
    <row r="10" spans="1:10" ht="13.95" customHeight="1" x14ac:dyDescent="0.3">
      <c r="A10" s="2" t="s">
        <v>20</v>
      </c>
      <c r="B10" s="3" t="s">
        <v>24</v>
      </c>
      <c r="C10" s="5">
        <v>165.57</v>
      </c>
      <c r="D10" s="5">
        <v>103.83</v>
      </c>
      <c r="E10" s="6">
        <v>1.1100000000000001</v>
      </c>
      <c r="F10" s="6">
        <v>1.1054999999999999</v>
      </c>
      <c r="G10" s="6">
        <v>0</v>
      </c>
      <c r="H10" s="6">
        <v>0</v>
      </c>
      <c r="I10" s="5">
        <v>31.874881500000001</v>
      </c>
      <c r="J10" s="5">
        <v>29.865118499999991</v>
      </c>
    </row>
    <row r="11" spans="1:10" ht="13.95" customHeight="1" x14ac:dyDescent="0.3">
      <c r="A11" s="2" t="s">
        <v>25</v>
      </c>
      <c r="B11" s="3" t="s">
        <v>54</v>
      </c>
      <c r="C11" s="5">
        <v>973.68</v>
      </c>
      <c r="D11" s="5">
        <v>494.35</v>
      </c>
      <c r="E11" s="6">
        <v>4.3899999999999997</v>
      </c>
      <c r="F11" s="6">
        <v>0.19</v>
      </c>
      <c r="G11" s="6">
        <v>4.2</v>
      </c>
      <c r="H11" s="6">
        <v>0</v>
      </c>
      <c r="I11" s="5">
        <v>221.40027000000001</v>
      </c>
      <c r="J11" s="5">
        <v>257.92972999999989</v>
      </c>
    </row>
    <row r="12" spans="1:10" ht="13.95" customHeight="1" x14ac:dyDescent="0.3">
      <c r="A12" s="2" t="s">
        <v>20</v>
      </c>
      <c r="B12" s="3" t="s">
        <v>24</v>
      </c>
      <c r="C12" s="5">
        <v>165.57</v>
      </c>
      <c r="D12" s="5">
        <v>103.83</v>
      </c>
      <c r="E12" s="6">
        <v>1.1100000000000001</v>
      </c>
      <c r="F12" s="6">
        <v>1.1054999999999999</v>
      </c>
      <c r="G12" s="6">
        <v>0</v>
      </c>
      <c r="H12" s="6">
        <v>0</v>
      </c>
      <c r="I12" s="5">
        <v>31.874881500000001</v>
      </c>
      <c r="J12" s="5">
        <v>29.865118499999991</v>
      </c>
    </row>
    <row r="13" spans="1:10" ht="13.95" customHeight="1" x14ac:dyDescent="0.3">
      <c r="A13" s="2" t="s">
        <v>25</v>
      </c>
      <c r="B13" s="3" t="s">
        <v>54</v>
      </c>
      <c r="C13" s="5">
        <v>973.68</v>
      </c>
      <c r="D13" s="5">
        <v>494.35</v>
      </c>
      <c r="E13" s="6">
        <v>4.3899999999999997</v>
      </c>
      <c r="F13" s="6">
        <v>0.19</v>
      </c>
      <c r="G13" s="6">
        <v>4.2</v>
      </c>
      <c r="H13" s="6">
        <v>0</v>
      </c>
      <c r="I13" s="5">
        <v>221.40027000000001</v>
      </c>
      <c r="J13" s="5">
        <v>257.92972999999989</v>
      </c>
    </row>
    <row r="14" spans="1:10" ht="13.95" customHeight="1" x14ac:dyDescent="0.3">
      <c r="A14" s="2" t="s">
        <v>20</v>
      </c>
      <c r="B14" s="3" t="s">
        <v>24</v>
      </c>
      <c r="C14" s="5">
        <v>165.57</v>
      </c>
      <c r="D14" s="5">
        <v>103.83</v>
      </c>
      <c r="E14" s="6">
        <v>1.1100000000000001</v>
      </c>
      <c r="F14" s="6">
        <v>1.1054999999999999</v>
      </c>
      <c r="G14" s="6">
        <v>0</v>
      </c>
      <c r="H14" s="6">
        <v>0</v>
      </c>
      <c r="I14" s="5">
        <v>31.874881500000001</v>
      </c>
      <c r="J14" s="5">
        <v>29.865118499999991</v>
      </c>
    </row>
    <row r="15" spans="1:10" ht="13.95" customHeight="1" x14ac:dyDescent="0.3">
      <c r="A15" s="2" t="s">
        <v>25</v>
      </c>
      <c r="B15" s="3" t="s">
        <v>54</v>
      </c>
      <c r="C15" s="5">
        <v>973.68</v>
      </c>
      <c r="D15" s="5">
        <v>494.35</v>
      </c>
      <c r="E15" s="6">
        <v>4.3899999999999997</v>
      </c>
      <c r="F15" s="6">
        <v>0.19</v>
      </c>
      <c r="G15" s="6">
        <v>4.2</v>
      </c>
      <c r="H15" s="6">
        <v>0</v>
      </c>
      <c r="I15" s="5">
        <v>221.40027000000001</v>
      </c>
      <c r="J15" s="5">
        <v>257.92972999999989</v>
      </c>
    </row>
    <row r="16" spans="1:10" ht="13.95" customHeight="1" x14ac:dyDescent="0.3">
      <c r="A16" s="2" t="s">
        <v>20</v>
      </c>
      <c r="B16" s="3" t="s">
        <v>24</v>
      </c>
      <c r="C16" s="5">
        <v>55.19</v>
      </c>
      <c r="D16" s="5">
        <v>34.61</v>
      </c>
      <c r="E16" s="6">
        <v>0.37</v>
      </c>
      <c r="F16" s="6">
        <v>0.36849999999999999</v>
      </c>
      <c r="G16" s="6">
        <v>0</v>
      </c>
      <c r="H16" s="6">
        <v>0</v>
      </c>
      <c r="I16" s="5">
        <v>10.6249605</v>
      </c>
      <c r="J16" s="5">
        <v>9.955039499999998</v>
      </c>
    </row>
    <row r="17" spans="1:10" ht="16.05" customHeight="1" x14ac:dyDescent="0.3">
      <c r="A17" s="11" t="s">
        <v>55</v>
      </c>
      <c r="B17" s="11" t="str">
        <f>IF(C17&gt;0,"Margin "&amp;TEXT(J17/C17,"0.0%"),"Margin —")</f>
        <v>Margin 24.9%</v>
      </c>
      <c r="C17" s="8">
        <f t="shared" ref="C17:J17" si="0">SUM(C7:C16)</f>
        <v>6027.5499999999993</v>
      </c>
      <c r="D17" s="8">
        <f t="shared" si="0"/>
        <v>3283.7099999999996</v>
      </c>
      <c r="E17" s="9">
        <f t="shared" si="0"/>
        <v>26.76</v>
      </c>
      <c r="F17" s="9">
        <f t="shared" si="0"/>
        <v>5.7405000000000008</v>
      </c>
      <c r="G17" s="9">
        <f t="shared" si="0"/>
        <v>21</v>
      </c>
      <c r="H17" s="9">
        <f t="shared" si="0"/>
        <v>0</v>
      </c>
      <c r="I17" s="8">
        <f t="shared" si="0"/>
        <v>1245.1258365000001</v>
      </c>
      <c r="J17" s="8">
        <f t="shared" si="0"/>
        <v>1498.7141634999994</v>
      </c>
    </row>
    <row r="19" spans="1:10" ht="16.05" customHeight="1" x14ac:dyDescent="0.3">
      <c r="A19" s="31" t="s">
        <v>56</v>
      </c>
      <c r="B19" s="24"/>
      <c r="C19" s="24"/>
      <c r="D19" s="24"/>
      <c r="E19" s="24"/>
      <c r="F19" s="24"/>
      <c r="G19" s="24"/>
      <c r="H19" s="24"/>
      <c r="I19" s="24"/>
      <c r="J19" s="24"/>
    </row>
    <row r="20" spans="1:10" ht="13.05" customHeight="1" x14ac:dyDescent="0.3">
      <c r="A20" s="28" t="s">
        <v>57</v>
      </c>
      <c r="B20" s="24"/>
      <c r="C20" s="24"/>
      <c r="D20" s="24"/>
      <c r="E20" s="24"/>
      <c r="F20" s="24"/>
      <c r="G20" s="24"/>
      <c r="H20" s="24"/>
      <c r="I20" s="24"/>
      <c r="J20" s="24"/>
    </row>
    <row r="21" spans="1:10" ht="36" customHeight="1" x14ac:dyDescent="0.3">
      <c r="A21" s="1" t="s">
        <v>43</v>
      </c>
      <c r="B21" s="1" t="s">
        <v>44</v>
      </c>
      <c r="C21" s="1" t="s">
        <v>45</v>
      </c>
      <c r="D21" s="1" t="s">
        <v>46</v>
      </c>
      <c r="E21" s="1" t="s">
        <v>47</v>
      </c>
      <c r="F21" s="1" t="s">
        <v>48</v>
      </c>
      <c r="G21" s="1" t="s">
        <v>58</v>
      </c>
      <c r="H21" s="1" t="s">
        <v>59</v>
      </c>
      <c r="I21" s="1" t="s">
        <v>51</v>
      </c>
      <c r="J21" s="1" t="s">
        <v>52</v>
      </c>
    </row>
    <row r="22" spans="1:10" ht="13.95" customHeight="1" x14ac:dyDescent="0.3">
      <c r="A22" s="2" t="s">
        <v>27</v>
      </c>
      <c r="B22" s="3" t="s">
        <v>28</v>
      </c>
      <c r="C22" s="5">
        <v>804.74</v>
      </c>
      <c r="D22" s="5">
        <v>766.3</v>
      </c>
      <c r="E22" s="6">
        <v>1.4</v>
      </c>
      <c r="F22" s="6">
        <v>1.4</v>
      </c>
      <c r="G22" s="6">
        <v>0</v>
      </c>
      <c r="H22" s="6">
        <v>0</v>
      </c>
      <c r="I22" s="5">
        <v>38.444000000000003</v>
      </c>
      <c r="J22" s="5">
        <v>-3.9999999999480451E-3</v>
      </c>
    </row>
    <row r="23" spans="1:10" ht="13.95" customHeight="1" x14ac:dyDescent="0.3">
      <c r="A23" s="2" t="s">
        <v>29</v>
      </c>
      <c r="B23" s="3" t="s">
        <v>30</v>
      </c>
      <c r="C23" s="5">
        <v>559.85</v>
      </c>
      <c r="D23" s="5">
        <v>521.41</v>
      </c>
      <c r="E23" s="6">
        <v>1.4</v>
      </c>
      <c r="F23" s="6">
        <v>1.4</v>
      </c>
      <c r="G23" s="6">
        <v>0</v>
      </c>
      <c r="H23" s="6">
        <v>0</v>
      </c>
      <c r="I23" s="5">
        <v>38.444000000000003</v>
      </c>
      <c r="J23" s="5">
        <v>-3.9999999999480451E-3</v>
      </c>
    </row>
    <row r="24" spans="1:10" ht="13.95" customHeight="1" x14ac:dyDescent="0.3">
      <c r="A24" s="2" t="s">
        <v>31</v>
      </c>
      <c r="B24" s="3" t="s">
        <v>60</v>
      </c>
      <c r="C24" s="5">
        <v>0</v>
      </c>
      <c r="D24" s="5">
        <v>0</v>
      </c>
      <c r="E24" s="6">
        <v>0</v>
      </c>
      <c r="F24" s="6">
        <v>0</v>
      </c>
      <c r="G24" s="6">
        <v>0</v>
      </c>
      <c r="H24" s="6">
        <v>0</v>
      </c>
      <c r="I24" s="5">
        <v>0</v>
      </c>
      <c r="J24" s="5">
        <v>0</v>
      </c>
    </row>
    <row r="25" spans="1:10" ht="13.95" customHeight="1" x14ac:dyDescent="0.3">
      <c r="A25" s="2" t="s">
        <v>20</v>
      </c>
      <c r="B25" s="3" t="s">
        <v>32</v>
      </c>
      <c r="C25" s="5">
        <v>152.84</v>
      </c>
      <c r="D25" s="5">
        <v>53.96</v>
      </c>
      <c r="E25" s="6">
        <v>3.6</v>
      </c>
      <c r="F25" s="6">
        <v>3.600000000000001</v>
      </c>
      <c r="G25" s="6">
        <v>0</v>
      </c>
      <c r="H25" s="6">
        <v>0</v>
      </c>
      <c r="I25" s="5">
        <v>98.856000000000023</v>
      </c>
      <c r="J25" s="5">
        <v>2.3999999999972491E-2</v>
      </c>
    </row>
    <row r="26" spans="1:10" ht="13.95" customHeight="1" x14ac:dyDescent="0.3">
      <c r="A26" s="2" t="s">
        <v>25</v>
      </c>
      <c r="B26" s="3" t="s">
        <v>33</v>
      </c>
      <c r="C26" s="5">
        <v>152.84</v>
      </c>
      <c r="D26" s="5">
        <v>53.96</v>
      </c>
      <c r="E26" s="6">
        <v>3.6</v>
      </c>
      <c r="F26" s="6">
        <v>3.600000000000001</v>
      </c>
      <c r="G26" s="6">
        <v>0</v>
      </c>
      <c r="H26" s="6">
        <v>0</v>
      </c>
      <c r="I26" s="5">
        <v>98.856000000000023</v>
      </c>
      <c r="J26" s="5">
        <v>2.3999999999972491E-2</v>
      </c>
    </row>
    <row r="27" spans="1:10" ht="13.95" customHeight="1" x14ac:dyDescent="0.3">
      <c r="A27" s="2" t="s">
        <v>34</v>
      </c>
      <c r="B27" s="3" t="s">
        <v>61</v>
      </c>
      <c r="C27" s="5">
        <v>158.19999999999999</v>
      </c>
      <c r="D27" s="5">
        <v>133.49</v>
      </c>
      <c r="E27" s="6">
        <v>0.9</v>
      </c>
      <c r="F27" s="6">
        <v>0.90000000000000013</v>
      </c>
      <c r="G27" s="6">
        <v>0</v>
      </c>
      <c r="H27" s="6">
        <v>0</v>
      </c>
      <c r="I27" s="5">
        <v>24.714000000000009</v>
      </c>
      <c r="J27" s="5">
        <v>-4.0000000000262048E-3</v>
      </c>
    </row>
    <row r="28" spans="1:10" ht="13.95" customHeight="1" x14ac:dyDescent="0.3">
      <c r="A28" s="2" t="s">
        <v>35</v>
      </c>
      <c r="B28" s="3" t="s">
        <v>62</v>
      </c>
      <c r="C28" s="5">
        <v>214.66</v>
      </c>
      <c r="D28" s="5">
        <v>127.89</v>
      </c>
      <c r="E28" s="6">
        <v>3.16</v>
      </c>
      <c r="F28" s="6">
        <v>3.160000000000001</v>
      </c>
      <c r="G28" s="6">
        <v>0</v>
      </c>
      <c r="H28" s="6">
        <v>0</v>
      </c>
      <c r="I28" s="5">
        <v>86.773600000000016</v>
      </c>
      <c r="J28" s="5">
        <v>-3.6000000000200321E-3</v>
      </c>
    </row>
    <row r="29" spans="1:10" ht="13.95" customHeight="1" x14ac:dyDescent="0.3">
      <c r="A29" s="2" t="s">
        <v>36</v>
      </c>
      <c r="B29" s="3" t="s">
        <v>62</v>
      </c>
      <c r="C29" s="5">
        <v>214.66</v>
      </c>
      <c r="D29" s="5">
        <v>127.89</v>
      </c>
      <c r="E29" s="6">
        <v>3.16</v>
      </c>
      <c r="F29" s="6">
        <v>3.160000000000001</v>
      </c>
      <c r="G29" s="6">
        <v>0</v>
      </c>
      <c r="H29" s="6">
        <v>0</v>
      </c>
      <c r="I29" s="5">
        <v>86.773600000000016</v>
      </c>
      <c r="J29" s="5">
        <v>-3.6000000000200321E-3</v>
      </c>
    </row>
    <row r="30" spans="1:10" ht="16.05" customHeight="1" x14ac:dyDescent="0.3">
      <c r="A30" s="11" t="s">
        <v>55</v>
      </c>
      <c r="B30" s="11" t="str">
        <f>IF(C30&gt;0,"Margin "&amp;TEXT(J30/C30,"0.0%"),"Margin —")</f>
        <v>Margin 0.0%</v>
      </c>
      <c r="C30" s="8">
        <f t="shared" ref="C30:J30" si="1">SUM(C22:C29)</f>
        <v>2257.79</v>
      </c>
      <c r="D30" s="8">
        <f t="shared" si="1"/>
        <v>1784.9000000000003</v>
      </c>
      <c r="E30" s="9">
        <f t="shared" si="1"/>
        <v>17.22</v>
      </c>
      <c r="F30" s="9">
        <f t="shared" si="1"/>
        <v>17.220000000000002</v>
      </c>
      <c r="G30" s="9">
        <f t="shared" si="1"/>
        <v>0</v>
      </c>
      <c r="H30" s="9">
        <f t="shared" si="1"/>
        <v>0</v>
      </c>
      <c r="I30" s="8">
        <f t="shared" si="1"/>
        <v>472.86120000000005</v>
      </c>
      <c r="J30" s="8">
        <f t="shared" si="1"/>
        <v>2.8799999999982624E-2</v>
      </c>
    </row>
    <row r="32" spans="1:10" ht="19.95" customHeight="1" x14ac:dyDescent="0.3">
      <c r="A32" s="29" t="s">
        <v>63</v>
      </c>
      <c r="B32" s="24"/>
      <c r="C32" s="24"/>
      <c r="D32" s="24"/>
      <c r="E32" s="24"/>
      <c r="F32" s="24"/>
      <c r="G32" s="24"/>
      <c r="H32" s="24"/>
      <c r="I32" s="24"/>
      <c r="J32" s="24"/>
    </row>
    <row r="33" spans="1:10" ht="16.05" customHeight="1" x14ac:dyDescent="0.3">
      <c r="A33" s="32" t="s">
        <v>64</v>
      </c>
      <c r="B33" s="24"/>
      <c r="C33" s="12">
        <f>289556.73</f>
        <v>289556.73</v>
      </c>
      <c r="D33" s="13"/>
      <c r="E33" s="13"/>
      <c r="F33" s="13"/>
      <c r="G33" s="13"/>
      <c r="H33" s="13"/>
      <c r="I33" s="13"/>
      <c r="J33" s="13"/>
    </row>
    <row r="34" spans="1:10" ht="16.05" customHeight="1" x14ac:dyDescent="0.3">
      <c r="A34" s="34" t="s">
        <v>65</v>
      </c>
      <c r="B34" s="24"/>
      <c r="C34" s="14">
        <f>C17+C30</f>
        <v>8285.34</v>
      </c>
      <c r="D34" s="15"/>
      <c r="E34" s="15"/>
      <c r="F34" s="15"/>
      <c r="G34" s="15"/>
      <c r="H34" s="15"/>
      <c r="I34" s="15"/>
      <c r="J34" s="15"/>
    </row>
    <row r="35" spans="1:10" ht="16.05" customHeight="1" x14ac:dyDescent="0.3">
      <c r="A35" s="34" t="s">
        <v>66</v>
      </c>
      <c r="B35" s="24"/>
      <c r="C35" s="16">
        <f>IF(C33&gt;0,C34/C33,0)</f>
        <v>2.8613874731904871E-2</v>
      </c>
      <c r="D35" s="15"/>
      <c r="E35" s="15"/>
      <c r="F35" s="15"/>
      <c r="G35" s="15"/>
      <c r="H35" s="15"/>
      <c r="I35" s="15"/>
      <c r="J35" s="15"/>
    </row>
    <row r="36" spans="1:10" ht="16.05" customHeight="1" x14ac:dyDescent="0.3">
      <c r="A36" s="30" t="s">
        <v>67</v>
      </c>
      <c r="B36" s="24"/>
      <c r="C36" s="17">
        <f>D17+D30</f>
        <v>5068.6099999999997</v>
      </c>
      <c r="D36" s="18"/>
      <c r="E36" s="18"/>
      <c r="F36" s="18"/>
      <c r="G36" s="18"/>
      <c r="H36" s="18"/>
      <c r="I36" s="18"/>
      <c r="J36" s="18"/>
    </row>
    <row r="37" spans="1:10" ht="16.05" customHeight="1" x14ac:dyDescent="0.3">
      <c r="A37" s="30" t="s">
        <v>68</v>
      </c>
      <c r="B37" s="24"/>
      <c r="C37" s="19">
        <f>E17+E30</f>
        <v>43.980000000000004</v>
      </c>
      <c r="D37" s="18"/>
      <c r="E37" s="18"/>
      <c r="F37" s="18"/>
      <c r="G37" s="18"/>
      <c r="H37" s="18"/>
      <c r="I37" s="18"/>
      <c r="J37" s="18"/>
    </row>
    <row r="38" spans="1:10" ht="16.05" customHeight="1" x14ac:dyDescent="0.3">
      <c r="A38" s="32" t="s">
        <v>69</v>
      </c>
      <c r="B38" s="24"/>
      <c r="C38" s="20">
        <f>F17+F30</f>
        <v>22.960500000000003</v>
      </c>
      <c r="D38" s="13"/>
      <c r="E38" s="13"/>
      <c r="F38" s="13"/>
      <c r="G38" s="13"/>
      <c r="H38" s="13"/>
      <c r="I38" s="13"/>
      <c r="J38" s="13"/>
    </row>
    <row r="39" spans="1:10" ht="16.05" customHeight="1" x14ac:dyDescent="0.3">
      <c r="A39" s="32" t="s">
        <v>70</v>
      </c>
      <c r="B39" s="24"/>
      <c r="C39" s="20">
        <f>G17+G30</f>
        <v>21</v>
      </c>
      <c r="D39" s="13"/>
      <c r="E39" s="13"/>
      <c r="F39" s="13"/>
      <c r="G39" s="13"/>
      <c r="H39" s="13"/>
      <c r="I39" s="13"/>
      <c r="J39" s="13"/>
    </row>
    <row r="40" spans="1:10" ht="16.05" customHeight="1" x14ac:dyDescent="0.3">
      <c r="A40" s="32" t="s">
        <v>71</v>
      </c>
      <c r="B40" s="24"/>
      <c r="C40" s="20">
        <f>H17+H30</f>
        <v>0</v>
      </c>
      <c r="D40" s="13"/>
      <c r="E40" s="13"/>
      <c r="F40" s="13"/>
      <c r="G40" s="13"/>
      <c r="H40" s="13"/>
      <c r="I40" s="13"/>
      <c r="J40" s="13"/>
    </row>
    <row r="41" spans="1:10" ht="16.05" customHeight="1" x14ac:dyDescent="0.3">
      <c r="A41" s="30" t="s">
        <v>72</v>
      </c>
      <c r="B41" s="24"/>
      <c r="C41" s="17">
        <f>I17+I30</f>
        <v>1717.9870365000002</v>
      </c>
      <c r="D41" s="18"/>
      <c r="E41" s="18"/>
      <c r="F41" s="18"/>
      <c r="G41" s="18"/>
      <c r="H41" s="18"/>
      <c r="I41" s="18"/>
      <c r="J41" s="18"/>
    </row>
    <row r="42" spans="1:10" ht="16.05" customHeight="1" x14ac:dyDescent="0.3">
      <c r="A42" s="33" t="s">
        <v>73</v>
      </c>
      <c r="B42" s="24"/>
      <c r="C42" s="8">
        <f>C34-C36-C41</f>
        <v>1498.7429635000003</v>
      </c>
      <c r="D42" s="21"/>
      <c r="E42" s="21"/>
      <c r="F42" s="21"/>
      <c r="G42" s="21"/>
      <c r="H42" s="21"/>
      <c r="I42" s="21"/>
      <c r="J42" s="21"/>
    </row>
    <row r="43" spans="1:10" ht="16.05" customHeight="1" x14ac:dyDescent="0.3">
      <c r="A43" s="33" t="s">
        <v>74</v>
      </c>
      <c r="B43" s="24"/>
      <c r="C43" s="22">
        <f>IF(C34&gt;0,C42/C34,0)</f>
        <v>0.18089094273741335</v>
      </c>
      <c r="D43" s="21"/>
      <c r="E43" s="21"/>
      <c r="F43" s="21"/>
      <c r="G43" s="21"/>
      <c r="H43" s="21"/>
      <c r="I43" s="21"/>
      <c r="J43" s="21"/>
    </row>
  </sheetData>
  <mergeCells count="19">
    <mergeCell ref="A43:B43"/>
    <mergeCell ref="A3:J3"/>
    <mergeCell ref="A2:J2"/>
    <mergeCell ref="A39:B39"/>
    <mergeCell ref="A34:B34"/>
    <mergeCell ref="A40:B40"/>
    <mergeCell ref="A41:B41"/>
    <mergeCell ref="A37:B37"/>
    <mergeCell ref="A1:J1"/>
    <mergeCell ref="A33:B33"/>
    <mergeCell ref="A42:B42"/>
    <mergeCell ref="A35:B35"/>
    <mergeCell ref="A38:B38"/>
    <mergeCell ref="A5:J5"/>
    <mergeCell ref="A32:J32"/>
    <mergeCell ref="A36:B36"/>
    <mergeCell ref="A4:J4"/>
    <mergeCell ref="A20:J20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Attribution_Log</vt:lpstr>
      <vt:lpstr>Labour_Summary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Baranyay</cp:lastModifiedBy>
  <dcterms:created xsi:type="dcterms:W3CDTF">2026-04-02T07:46:21Z</dcterms:created>
  <dcterms:modified xsi:type="dcterms:W3CDTF">2026-04-02T07:48:01Z</dcterms:modified>
</cp:coreProperties>
</file>